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courses\PROJECTS\HR Employee Attrition Analysis\"/>
    </mc:Choice>
  </mc:AlternateContent>
  <bookViews>
    <workbookView xWindow="0" yWindow="0" windowWidth="23040" windowHeight="9072" activeTab="4"/>
  </bookViews>
  <sheets>
    <sheet name="WA_Fn-UseC_-HR-Employee-Attriti" sheetId="1" r:id="rId1"/>
    <sheet name="Pivot table results" sheetId="2" r:id="rId2"/>
    <sheet name="helper" sheetId="6" state="hidden" r:id="rId3"/>
    <sheet name="chi2 test" sheetId="3" r:id="rId4"/>
    <sheet name="Dashboard" sheetId="4" r:id="rId5"/>
  </sheets>
  <definedNames>
    <definedName name="Slicer_Department">#N/A</definedName>
    <definedName name="Slicer_DistanceFromHome1">#N/A</definedName>
    <definedName name="Slicer_Gender">#N/A</definedName>
    <definedName name="Slicer_OverTime">#N/A</definedName>
  </definedNames>
  <calcPr calcId="162913"/>
  <pivotCaches>
    <pivotCache cacheId="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84" i="3" l="1"/>
  <c r="H84" i="3"/>
  <c r="H85" i="3"/>
  <c r="H86" i="3"/>
  <c r="H87" i="3"/>
  <c r="H88" i="3"/>
  <c r="H89" i="3"/>
  <c r="H90" i="3"/>
  <c r="H91" i="3"/>
  <c r="H92" i="3"/>
  <c r="G85" i="3"/>
  <c r="G86" i="3"/>
  <c r="G87" i="3"/>
  <c r="G88" i="3"/>
  <c r="G89" i="3"/>
  <c r="G90" i="3"/>
  <c r="G91" i="3"/>
  <c r="G92" i="3"/>
  <c r="G84" i="3"/>
  <c r="J75" i="3"/>
  <c r="H75" i="3"/>
  <c r="H76" i="3"/>
  <c r="H77" i="3"/>
  <c r="H78" i="3"/>
  <c r="G76" i="3"/>
  <c r="G77" i="3"/>
  <c r="G78" i="3"/>
  <c r="G75" i="3"/>
  <c r="J66" i="3"/>
  <c r="H66" i="3"/>
  <c r="H67" i="3"/>
  <c r="H68" i="3"/>
  <c r="H69" i="3"/>
  <c r="G67" i="3"/>
  <c r="G68" i="3"/>
  <c r="G69" i="3"/>
  <c r="G66" i="3"/>
  <c r="J58" i="3"/>
  <c r="H58" i="3"/>
  <c r="H59" i="3"/>
  <c r="H60" i="3"/>
  <c r="G59" i="3"/>
  <c r="G60" i="3"/>
  <c r="G58" i="3"/>
  <c r="G46" i="3"/>
  <c r="H47" i="3"/>
  <c r="H38" i="3"/>
  <c r="H46" i="3"/>
  <c r="G52" i="3"/>
  <c r="G51" i="3"/>
  <c r="G50" i="3"/>
  <c r="G49" i="3"/>
  <c r="G48" i="3"/>
  <c r="G47" i="3"/>
  <c r="H48" i="3"/>
  <c r="J46" i="3" s="1"/>
  <c r="H49" i="3"/>
  <c r="H50" i="3"/>
  <c r="H51" i="3"/>
  <c r="H52" i="3"/>
  <c r="A14" i="6"/>
  <c r="D2" i="6"/>
  <c r="J38" i="3" l="1"/>
  <c r="H39" i="3"/>
  <c r="H40" i="3"/>
  <c r="G39" i="3"/>
  <c r="G40" i="3"/>
  <c r="G38" i="3"/>
  <c r="H29" i="3"/>
  <c r="H30" i="3"/>
  <c r="H31" i="3"/>
  <c r="G30" i="3"/>
  <c r="G31" i="3"/>
  <c r="G29" i="3"/>
  <c r="H23" i="3"/>
  <c r="H22" i="3"/>
  <c r="H21" i="3"/>
  <c r="G23" i="3"/>
  <c r="G22" i="3"/>
  <c r="G21" i="3"/>
  <c r="H14" i="3"/>
  <c r="H13" i="3"/>
  <c r="G15" i="3"/>
  <c r="G14" i="3"/>
  <c r="G13" i="3"/>
  <c r="H15" i="3"/>
  <c r="J6" i="3"/>
  <c r="G7" i="3"/>
  <c r="H7" i="3"/>
  <c r="H6" i="3"/>
  <c r="G6" i="3"/>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J29" i="3" l="1"/>
  <c r="J21" i="3"/>
  <c r="J13" i="3"/>
</calcChain>
</file>

<file path=xl/sharedStrings.xml><?xml version="1.0" encoding="utf-8"?>
<sst xmlns="http://schemas.openxmlformats.org/spreadsheetml/2006/main" count="13612" uniqueCount="128">
  <si>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</si>
  <si>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</si>
  <si>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</si>
  <si>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</si>
  <si>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</si>
  <si>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</si>
  <si>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</si>
  <si>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</si>
  <si>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</si>
  <si>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</si>
  <si>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</si>
  <si>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</si>
  <si>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</si>
  <si>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</si>
  <si>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</si>
  <si>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</si>
  <si>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</si>
  <si>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</si>
  <si>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</si>
  <si>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</si>
  <si>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</si>
  <si>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</si>
  <si>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</si>
  <si>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</si>
  <si>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</si>
  <si>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</si>
  <si>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</si>
  <si>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</si>
  <si>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</si>
  <si>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</si>
  <si>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</si>
  <si>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</si>
  <si>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</si>
  <si>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</si>
  <si>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</si>
  <si>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</si>
  <si>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</si>
  <si>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</si>
  <si>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</si>
  <si>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</si>
  <si>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</si>
  <si>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</si>
  <si>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</si>
  <si>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</si>
  <si>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</si>
  <si>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</si>
  <si>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</si>
  <si>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</si>
  <si>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</si>
  <si>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</si>
  <si>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</si>
  <si>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</si>
  <si>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</si>
  <si>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</si>
  <si>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</si>
  <si>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</si>
  <si>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</si>
  <si>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36-45</t>
  </si>
  <si>
    <t>46+</t>
  </si>
  <si>
    <t>26-35</t>
  </si>
  <si>
    <t>18-25</t>
  </si>
  <si>
    <t>TenureBand</t>
  </si>
  <si>
    <t>6-10</t>
  </si>
  <si>
    <t>0-2</t>
  </si>
  <si>
    <t>3-5</t>
  </si>
  <si>
    <t>10+</t>
  </si>
  <si>
    <t>Attrition rate by Department</t>
  </si>
  <si>
    <t>Row Labels</t>
  </si>
  <si>
    <t>Grand Total</t>
  </si>
  <si>
    <t>Average of Attrition</t>
  </si>
  <si>
    <t>Count of Attrition2</t>
  </si>
  <si>
    <t>Attrition rate by OverTime</t>
  </si>
  <si>
    <t>Attrition rate by Income band</t>
  </si>
  <si>
    <t>1000-3999</t>
  </si>
  <si>
    <t>4000-6999</t>
  </si>
  <si>
    <t>7000-9999</t>
  </si>
  <si>
    <t>10000-12999</t>
  </si>
  <si>
    <t>13000-15999</t>
  </si>
  <si>
    <t>16000-18999</t>
  </si>
  <si>
    <t>19000-21999</t>
  </si>
  <si>
    <t>Attrition rate by Tenure band</t>
  </si>
  <si>
    <t>Attrition rate by Job Role</t>
  </si>
  <si>
    <t>Attrition rate by gender</t>
  </si>
  <si>
    <t>Attrition rate by Age</t>
  </si>
  <si>
    <t>Attrition rate by employee number</t>
  </si>
  <si>
    <t>Column Labels</t>
  </si>
  <si>
    <t>Count of EmployeeNumber</t>
  </si>
  <si>
    <t>Attrition rate by Business travel</t>
  </si>
  <si>
    <t>Attrition rate by Job satisfication</t>
  </si>
  <si>
    <t>Attrition rate by Martítalstatus</t>
  </si>
  <si>
    <t>Attrition rate by StockOptionLevel</t>
  </si>
  <si>
    <t>Attrition rate by DistancefromHome</t>
  </si>
  <si>
    <t>DistanceFromHome1</t>
  </si>
  <si>
    <t>long</t>
  </si>
  <si>
    <t>medium</t>
  </si>
  <si>
    <t>short</t>
  </si>
  <si>
    <t>TotalWorkingYears2</t>
  </si>
  <si>
    <t>Early (0-5)</t>
  </si>
  <si>
    <t>Mid (6-15)</t>
  </si>
  <si>
    <t>Senior (16+)</t>
  </si>
  <si>
    <t>expected</t>
  </si>
  <si>
    <t>p-value</t>
  </si>
  <si>
    <t>Attrition rate by working years</t>
  </si>
  <si>
    <t>Count of Attrition</t>
  </si>
  <si>
    <t>Sum of Attrition</t>
  </si>
  <si>
    <t>AttritionRate</t>
  </si>
  <si>
    <t>Sales Representative (40%)</t>
  </si>
  <si>
    <t>Total Attrition</t>
  </si>
  <si>
    <t>Highest Risk Role</t>
  </si>
  <si>
    <t>Total Employees</t>
  </si>
  <si>
    <r>
      <t>Employees at Risk</t>
    </r>
    <r>
      <rPr>
        <b/>
        <sz val="9"/>
        <color theme="0"/>
        <rFont val="Calibri"/>
        <family val="2"/>
        <scheme val="minor"/>
      </rPr>
      <t xml:space="preserve"> (OverTime + Long Distance)</t>
    </r>
  </si>
  <si>
    <t>Employee Attrition Risk Dashboard</t>
  </si>
  <si>
    <t>Attrition rate by Monthlyincome</t>
  </si>
  <si>
    <t>Attrition rate by Tenureband</t>
  </si>
  <si>
    <t>Attrition rate by JobRole</t>
  </si>
  <si>
    <t>Driver</t>
  </si>
  <si>
    <t>Significance</t>
  </si>
  <si>
    <t>Job Role</t>
  </si>
  <si>
    <t>Tenure</t>
  </si>
  <si>
    <t>Income</t>
  </si>
  <si>
    <t>Business Travel</t>
  </si>
  <si>
    <t>Distance</t>
  </si>
  <si>
    <t>***</t>
  </si>
  <si>
    <t>**</t>
  </si>
  <si>
    <t>*</t>
  </si>
  <si>
    <t>TOP ATTRITION DRIVERS</t>
  </si>
  <si>
    <t>*** p&lt;0.001, ** p&lt;0.01,  * p&lt;0.05</t>
  </si>
  <si>
    <t>Overall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</si>
</sst>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6"/>
      <color theme="1"/>
      <name val="Calibri"/>
      <family val="2"/>
      <scheme val="minor"/>
    </font>
    <font>
      <sz val="18"/>
      <color theme="1"/>
      <name val="Calibri"/>
      <family val="2"/>
      <scheme val="minor"/>
    </font>
    <font>
      <b/>
      <sz val="16"/>
      <color theme="1"/>
      <name val="Calibri"/>
      <family val="2"/>
      <scheme val="minor"/>
    </font>
    <font>
      <b/>
      <sz val="9"/>
      <color theme="0"/>
      <name val="Calibri"/>
      <family val="2"/>
      <scheme val="minor"/>
    </font>
    <font>
      <b/>
      <sz val="11"/>
      <color theme="0" tint="-4.9989318521683403E-2"/>
      <name val="Calibri"/>
      <family val="2"/>
      <scheme val="minor"/>
    </font>
    <font>
      <sz val="11"/>
      <color theme="0" tint="-4.9989318521683403E-2"/>
      <name val="Calibri"/>
      <family val="2"/>
      <scheme val="minor"/>
    </font>
    <font>
      <b/>
      <sz val="10"/>
      <color theme="0" tint="-4.9989318521683403E-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1"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tint="-0.34998626667073579"/>
      </bottom>
      <diagonal/>
    </border>
    <border>
      <left/>
      <right/>
      <top style="thin">
        <color theme="0" tint="-0.14999847407452621"/>
      </top>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4" borderId="0" xfId="0" applyFill="1" applyBorder="1"/>
    <xf numFmtId="0" fontId="18" fillId="34" borderId="0" xfId="0" applyFont="1" applyFill="1" applyAlignment="1">
      <alignment horizontal="center"/>
    </xf>
    <xf numFmtId="0" fontId="0" fillId="34" borderId="0" xfId="0" applyFill="1"/>
    <xf numFmtId="9" fontId="0" fillId="0" borderId="0" xfId="0" applyNumberFormat="1"/>
    <xf numFmtId="9" fontId="20" fillId="34" borderId="0" xfId="0" applyNumberFormat="1" applyFont="1" applyFill="1" applyAlignment="1">
      <alignment horizontal="center" vertical="center"/>
    </xf>
    <xf numFmtId="0" fontId="19" fillId="34" borderId="0" xfId="0" applyNumberFormat="1" applyFont="1" applyFill="1" applyAlignment="1">
      <alignment horizontal="center" vertical="center"/>
    </xf>
    <xf numFmtId="0" fontId="18" fillId="34" borderId="10" xfId="0" applyFont="1" applyFill="1" applyBorder="1" applyAlignment="1">
      <alignment horizontal="center"/>
    </xf>
    <xf numFmtId="0" fontId="16" fillId="34" borderId="0" xfId="0" applyNumberFormat="1" applyFont="1" applyFill="1" applyAlignment="1">
      <alignment horizontal="center" vertical="center"/>
    </xf>
    <xf numFmtId="0" fontId="18" fillId="34" borderId="0" xfId="0" applyFont="1" applyFill="1" applyBorder="1" applyAlignment="1">
      <alignment horizontal="center"/>
    </xf>
    <xf numFmtId="0" fontId="19" fillId="34" borderId="11" xfId="0" applyNumberFormat="1" applyFont="1" applyFill="1" applyBorder="1" applyAlignment="1">
      <alignment horizontal="center" vertical="center"/>
    </xf>
    <xf numFmtId="0" fontId="18" fillId="34" borderId="12" xfId="0" applyFont="1" applyFill="1" applyBorder="1" applyAlignment="1">
      <alignment horizontal="center"/>
    </xf>
    <xf numFmtId="0" fontId="24" fillId="34" borderId="13" xfId="0" applyFont="1" applyFill="1" applyBorder="1" applyAlignment="1">
      <alignment horizontal="center" vertical="center"/>
    </xf>
    <xf numFmtId="0" fontId="24" fillId="34" borderId="0" xfId="0" applyFont="1" applyFill="1" applyBorder="1" applyAlignment="1">
      <alignment horizontal="left"/>
    </xf>
    <xf numFmtId="0" fontId="23" fillId="35" borderId="14" xfId="0" applyFont="1" applyFill="1" applyBorder="1" applyAlignment="1">
      <alignment horizontal="center" vertical="center" wrapText="1"/>
    </xf>
    <xf numFmtId="0" fontId="24" fillId="35" borderId="15" xfId="0" applyFont="1" applyFill="1" applyBorder="1" applyAlignment="1">
      <alignment horizontal="center" vertical="center" wrapText="1"/>
    </xf>
    <xf numFmtId="0" fontId="25" fillId="35" borderId="13" xfId="0" applyFont="1" applyFill="1" applyBorder="1" applyAlignment="1">
      <alignment horizontal="center" vertical="center"/>
    </xf>
    <xf numFmtId="0" fontId="21" fillId="35"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5">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theme="1"/>
      </font>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font>
        <color rgb="FFFF0000"/>
      </font>
    </dxf>
    <dxf>
      <alignment vertical="center" readingOrder="0"/>
    </dxf>
    <dxf>
      <alignment horizontal="center" readingOrder="0"/>
    </dxf>
    <dxf>
      <font>
        <sz val="18"/>
      </font>
    </dxf>
    <dxf>
      <font>
        <sz val="16"/>
      </font>
    </dxf>
    <dxf>
      <font>
        <sz val="14"/>
      </font>
    </dxf>
    <dxf>
      <font>
        <sz val="12"/>
      </font>
    </dxf>
    <dxf>
      <numFmt numFmtId="13" formatCode="0%"/>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1" tint="0.34998626667073579"/>
        </patternFill>
      </fill>
      <alignment horizontal="general" vertical="bottom" textRotation="0" wrapText="0" indent="0" justifyLastLine="0" shrinkToFit="0" readingOrder="0"/>
    </dxf>
    <dxf>
      <font>
        <b/>
        <sz val="12"/>
        <color theme="0"/>
      </font>
      <alignment horizontal="center" readingOrder="0"/>
    </dxf>
    <dxf>
      <font>
        <b/>
        <sz val="12"/>
        <color theme="0"/>
      </font>
      <alignment horizontal="center" readingOrder="0"/>
    </dxf>
    <dxf>
      <font>
        <sz val="18"/>
      </font>
    </dxf>
    <dxf>
      <font>
        <sz val="16"/>
      </font>
    </dxf>
    <dxf>
      <font>
        <sz val="14"/>
      </font>
    </dxf>
    <dxf>
      <font>
        <sz val="12"/>
      </font>
    </dxf>
    <dxf>
      <alignment vertical="center" readingOrder="0"/>
    </dxf>
    <dxf>
      <alignment horizontal="center" readingOrder="0"/>
    </dxf>
    <dxf>
      <alignment horizontal="left" readingOrder="0"/>
    </dxf>
    <dxf>
      <numFmt numFmtId="13" formatCode="0%"/>
    </dxf>
    <dxf>
      <numFmt numFmtId="13" formatCode="0%"/>
    </dxf>
    <dxf>
      <fill>
        <patternFill patternType="solid">
          <fgColor indexed="64"/>
          <bgColor theme="1" tint="0.34998626667073579"/>
        </patternFill>
      </fill>
    </dxf>
    <dxf>
      <fill>
        <patternFill patternType="solid">
          <fgColor indexed="64"/>
          <bgColor theme="1" tint="0.34998626667073579"/>
        </patternFill>
      </fill>
    </dxf>
    <dxf>
      <numFmt numFmtId="13" formatCode="0%"/>
    </dxf>
    <dxf>
      <alignment horizontal="center" readingOrder="0"/>
    </dxf>
    <dxf>
      <alignment vertical="center" readingOrder="0"/>
    </dxf>
    <dxf>
      <font>
        <sz val="16"/>
      </font>
    </dxf>
    <dxf>
      <font>
        <sz val="18"/>
      </font>
    </dxf>
    <dxf>
      <font>
        <sz val="16"/>
      </font>
    </dxf>
    <dxf>
      <font>
        <sz val="14"/>
      </font>
    </dxf>
    <dxf>
      <font>
        <sz val="12"/>
      </font>
    </dxf>
    <dxf>
      <font>
        <b val="0"/>
        <i val="0"/>
        <strike val="0"/>
        <condense val="0"/>
        <extend val="0"/>
        <outline val="0"/>
        <shadow val="0"/>
        <u val="none"/>
        <vertAlign val="baseline"/>
        <sz val="11"/>
        <color theme="1"/>
        <name val="Calibri"/>
        <scheme val="minor"/>
      </font>
      <fill>
        <patternFill patternType="solid">
          <fgColor indexed="64"/>
          <bgColor theme="1" tint="0.34998626667073579"/>
        </patternFill>
      </fill>
      <alignment horizontal="general" vertical="bottom" textRotation="0" wrapText="0" indent="0" justifyLastLine="0" shrinkToFit="0" readingOrder="0"/>
    </dxf>
    <dxf>
      <fill>
        <patternFill patternType="solid">
          <fgColor indexed="64"/>
          <bgColor theme="1" tint="0.34998626667073579"/>
        </patternFill>
      </fill>
    </dxf>
    <dxf>
      <fill>
        <patternFill patternType="solid">
          <fgColor indexed="64"/>
          <bgColor theme="1" tint="0.34998626667073579"/>
        </patternFill>
      </fill>
    </dxf>
    <dxf>
      <font>
        <sz val="18"/>
      </font>
      <alignment horizontal="center" readingOrder="0"/>
    </dxf>
    <dxf>
      <font>
        <b/>
        <sz val="12"/>
        <color theme="0"/>
      </font>
      <alignment horizontal="center" readingOrder="0"/>
    </dxf>
    <dxf>
      <font>
        <b/>
        <sz val="12"/>
        <color theme="0"/>
      </font>
      <alignment horizontal="center" readingOrder="0"/>
    </dxf>
    <dxf>
      <alignment vertical="center" readingOrder="0"/>
    </dxf>
    <dxf>
      <alignment horizontal="center" readingOrder="0"/>
    </dxf>
    <dxf>
      <font>
        <sz val="16"/>
      </font>
    </dxf>
    <dxf>
      <font>
        <sz val="14"/>
      </font>
    </dxf>
    <dxf>
      <font>
        <sz val="12"/>
      </font>
    </dxf>
    <dxf>
      <font>
        <b val="0"/>
        <i val="0"/>
        <strike val="0"/>
        <condense val="0"/>
        <extend val="0"/>
        <outline val="0"/>
        <shadow val="0"/>
        <u val="none"/>
        <vertAlign val="baseline"/>
        <sz val="11"/>
        <color theme="1"/>
        <name val="Calibri"/>
        <scheme val="minor"/>
      </font>
      <fill>
        <patternFill patternType="solid">
          <fgColor indexed="64"/>
          <bgColor theme="1" tint="0.34998626667073579"/>
        </patternFill>
      </fill>
      <alignment horizontal="general" vertical="bottom" textRotation="0" wrapText="0" indent="0" justifyLastLine="0" shrinkToFit="0" readingOrder="0"/>
    </dxf>
    <dxf>
      <fill>
        <patternFill patternType="solid">
          <fgColor indexed="64"/>
          <bgColor theme="1" tint="0.34998626667073579"/>
        </patternFill>
      </fill>
    </dxf>
    <dxf>
      <fill>
        <patternFill patternType="solid">
          <fgColor indexed="64"/>
          <bgColor theme="1" tint="0.34998626667073579"/>
        </patternFill>
      </fill>
    </dxf>
    <dxf>
      <font>
        <b val="0"/>
      </font>
    </dxf>
    <dxf>
      <font>
        <sz val="18"/>
      </font>
    </dxf>
    <dxf>
      <font>
        <b/>
      </font>
    </dxf>
    <dxf>
      <alignment horizontal="center" readingOrder="0"/>
    </dxf>
    <dxf>
      <font>
        <sz val="16"/>
      </font>
    </dxf>
    <dxf>
      <font>
        <sz val="14"/>
      </font>
    </dxf>
    <dxf>
      <font>
        <sz val="12"/>
      </font>
    </dxf>
    <dxf>
      <font>
        <b/>
        <sz val="12"/>
        <color theme="0"/>
      </font>
      <alignment horizontal="center" readingOrder="0"/>
    </dxf>
    <dxf>
      <font>
        <b/>
        <sz val="12"/>
        <color theme="0"/>
      </font>
      <alignment horizontal="center" readingOrder="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64" formatCode="0.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3" formatCode="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 results'!$B$12</c:f>
              <c:strCache>
                <c:ptCount val="1"/>
                <c:pt idx="0">
                  <c:v>Total</c:v>
                </c:pt>
              </c:strCache>
            </c:strRef>
          </c:tx>
          <c:spPr>
            <a:solidFill>
              <a:schemeClr val="accent1"/>
            </a:solidFill>
            <a:ln>
              <a:noFill/>
            </a:ln>
            <a:effectLst/>
          </c:spPr>
          <c:invertIfNegative val="0"/>
          <c:cat>
            <c:strRef>
              <c:f>'Pivot table results'!$A$13:$A$15</c:f>
              <c:strCache>
                <c:ptCount val="2"/>
                <c:pt idx="0">
                  <c:v>No</c:v>
                </c:pt>
                <c:pt idx="1">
                  <c:v>Yes</c:v>
                </c:pt>
              </c:strCache>
            </c:strRef>
          </c:cat>
          <c:val>
            <c:numRef>
              <c:f>'Pivot table results'!$B$13:$B$15</c:f>
              <c:numCache>
                <c:formatCode>0%</c:formatCode>
                <c:ptCount val="2"/>
                <c:pt idx="0">
                  <c:v>0.10436432637571158</c:v>
                </c:pt>
                <c:pt idx="1">
                  <c:v>0.30528846153846156</c:v>
                </c:pt>
              </c:numCache>
            </c:numRef>
          </c:val>
          <c:extLst>
            <c:ext xmlns:c16="http://schemas.microsoft.com/office/drawing/2014/chart" uri="{C3380CC4-5D6E-409C-BE32-E72D297353CC}">
              <c16:uniqueId val="{00000000-338C-49BF-8FCB-227C4A94C666}"/>
            </c:ext>
          </c:extLst>
        </c:ser>
        <c:dLbls>
          <c:showLegendKey val="0"/>
          <c:showVal val="0"/>
          <c:showCatName val="0"/>
          <c:showSerName val="0"/>
          <c:showPercent val="0"/>
          <c:showBubbleSize val="0"/>
        </c:dLbls>
        <c:gapWidth val="219"/>
        <c:overlap val="-27"/>
        <c:axId val="659425984"/>
        <c:axId val="659417664"/>
      </c:barChart>
      <c:catAx>
        <c:axId val="6594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17664"/>
        <c:crosses val="autoZero"/>
        <c:auto val="1"/>
        <c:lblAlgn val="ctr"/>
        <c:lblOffset val="100"/>
        <c:noMultiLvlLbl val="0"/>
      </c:catAx>
      <c:valAx>
        <c:axId val="65941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25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strRef>
              <c:f>'Pivot table results'!$B$3</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3ED3-4511-A03F-5D9CE0BED1FF}"/>
              </c:ext>
            </c:extLst>
          </c:dPt>
          <c:dPt>
            <c:idx val="1"/>
            <c:invertIfNegative val="0"/>
            <c:bubble3D val="0"/>
            <c:extLst>
              <c:ext xmlns:c16="http://schemas.microsoft.com/office/drawing/2014/chart" uri="{C3380CC4-5D6E-409C-BE32-E72D297353CC}">
                <c16:uniqueId val="{00000003-3ED3-4511-A03F-5D9CE0BED1FF}"/>
              </c:ext>
            </c:extLst>
          </c:dPt>
          <c:dPt>
            <c:idx val="2"/>
            <c:invertIfNegative val="0"/>
            <c:bubble3D val="0"/>
            <c:extLst>
              <c:ext xmlns:c16="http://schemas.microsoft.com/office/drawing/2014/chart" uri="{C3380CC4-5D6E-409C-BE32-E72D297353CC}">
                <c16:uniqueId val="{00000005-3ED3-4511-A03F-5D9CE0BED1FF}"/>
              </c:ext>
            </c:extLst>
          </c:dPt>
          <c:cat>
            <c:strRef>
              <c:f>'Pivot table results'!$A$4:$A$7</c:f>
              <c:strCache>
                <c:ptCount val="3"/>
                <c:pt idx="0">
                  <c:v>Human Resources</c:v>
                </c:pt>
                <c:pt idx="1">
                  <c:v>Research &amp; Development</c:v>
                </c:pt>
                <c:pt idx="2">
                  <c:v>Sales</c:v>
                </c:pt>
              </c:strCache>
            </c:strRef>
          </c:cat>
          <c:val>
            <c:numRef>
              <c:f>'Pivot table results'!$B$4:$B$7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E961-411B-9B24-7119667F28E8}"/>
            </c:ext>
          </c:extLst>
        </c:ser>
        <c:dLbls>
          <c:showLegendKey val="0"/>
          <c:showVal val="0"/>
          <c:showCatName val="0"/>
          <c:showSerName val="0"/>
          <c:showPercent val="0"/>
          <c:showBubbleSize val="0"/>
        </c:dLbls>
        <c:gapWidth val="100"/>
        <c:axId val="750611136"/>
        <c:axId val="750615712"/>
      </c:barChart>
      <c:catAx>
        <c:axId val="75061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15712"/>
        <c:auto val="1"/>
        <c:lblAlgn val="ctr"/>
        <c:lblOffset val="100"/>
        <c:noMultiLvlLbl val="0"/>
      </c:catAx>
      <c:valAx>
        <c:axId val="750615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11136"/>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 results'!$B$45</c:f>
              <c:strCache>
                <c:ptCount val="1"/>
                <c:pt idx="0">
                  <c:v>Total</c:v>
                </c:pt>
              </c:strCache>
            </c:strRef>
          </c:tx>
          <c:spPr>
            <a:solidFill>
              <a:schemeClr val="accent1"/>
            </a:solidFill>
            <a:ln>
              <a:noFill/>
            </a:ln>
            <a:effectLst/>
          </c:spPr>
          <c:invertIfNegative val="0"/>
          <c:cat>
            <c:strRef>
              <c:f>'Pivot table results'!$A$46:$A$55</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 results'!$B$46:$B$55</c:f>
              <c:numCache>
                <c:formatCode>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45A9-4FC2-96A7-A42286215FF7}"/>
            </c:ext>
          </c:extLst>
        </c:ser>
        <c:dLbls>
          <c:showLegendKey val="0"/>
          <c:showVal val="0"/>
          <c:showCatName val="0"/>
          <c:showSerName val="0"/>
          <c:showPercent val="0"/>
          <c:showBubbleSize val="0"/>
        </c:dLbls>
        <c:gapWidth val="182"/>
        <c:axId val="118592640"/>
        <c:axId val="118593472"/>
      </c:barChart>
      <c:catAx>
        <c:axId val="11859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93472"/>
        <c:crosses val="autoZero"/>
        <c:auto val="1"/>
        <c:lblAlgn val="ctr"/>
        <c:lblOffset val="100"/>
        <c:noMultiLvlLbl val="0"/>
      </c:catAx>
      <c:valAx>
        <c:axId val="1185934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92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 results'!$B$22</c:f>
              <c:strCache>
                <c:ptCount val="1"/>
                <c:pt idx="0">
                  <c:v>Total</c:v>
                </c:pt>
              </c:strCache>
            </c:strRef>
          </c:tx>
          <c:spPr>
            <a:ln w="28575" cap="rnd">
              <a:solidFill>
                <a:schemeClr val="accent1"/>
              </a:solidFill>
              <a:round/>
            </a:ln>
            <a:effectLst/>
          </c:spPr>
          <c:marker>
            <c:symbol val="none"/>
          </c:marker>
          <c:cat>
            <c:strRef>
              <c:f>'Pivot table results'!$A$23:$A$30</c:f>
              <c:strCache>
                <c:ptCount val="7"/>
                <c:pt idx="0">
                  <c:v>1000-3999</c:v>
                </c:pt>
                <c:pt idx="1">
                  <c:v>4000-6999</c:v>
                </c:pt>
                <c:pt idx="2">
                  <c:v>7000-9999</c:v>
                </c:pt>
                <c:pt idx="3">
                  <c:v>10000-12999</c:v>
                </c:pt>
                <c:pt idx="4">
                  <c:v>13000-15999</c:v>
                </c:pt>
                <c:pt idx="5">
                  <c:v>16000-18999</c:v>
                </c:pt>
                <c:pt idx="6">
                  <c:v>19000-21999</c:v>
                </c:pt>
              </c:strCache>
            </c:strRef>
          </c:cat>
          <c:val>
            <c:numRef>
              <c:f>'Pivot table results'!$B$23:$B$30</c:f>
              <c:numCache>
                <c:formatCode>0%</c:formatCode>
                <c:ptCount val="7"/>
                <c:pt idx="0">
                  <c:v>0.25276752767527677</c:v>
                </c:pt>
                <c:pt idx="1">
                  <c:v>0.10750507099391481</c:v>
                </c:pt>
                <c:pt idx="2">
                  <c:v>0.14285714285714285</c:v>
                </c:pt>
                <c:pt idx="3">
                  <c:v>0.16666666666666666</c:v>
                </c:pt>
                <c:pt idx="4">
                  <c:v>6.7796610169491525E-2</c:v>
                </c:pt>
                <c:pt idx="5">
                  <c:v>1.3157894736842105E-2</c:v>
                </c:pt>
                <c:pt idx="6">
                  <c:v>0.08</c:v>
                </c:pt>
              </c:numCache>
            </c:numRef>
          </c:val>
          <c:smooth val="0"/>
          <c:extLst>
            <c:ext xmlns:c16="http://schemas.microsoft.com/office/drawing/2014/chart" uri="{C3380CC4-5D6E-409C-BE32-E72D297353CC}">
              <c16:uniqueId val="{00000000-0F92-4FBF-A19F-78074CC6C60B}"/>
            </c:ext>
          </c:extLst>
        </c:ser>
        <c:dLbls>
          <c:showLegendKey val="0"/>
          <c:showVal val="0"/>
          <c:showCatName val="0"/>
          <c:showSerName val="0"/>
          <c:showPercent val="0"/>
          <c:showBubbleSize val="0"/>
        </c:dLbls>
        <c:smooth val="0"/>
        <c:axId val="472258512"/>
        <c:axId val="472259344"/>
      </c:lineChart>
      <c:catAx>
        <c:axId val="47225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59344"/>
        <c:crosses val="autoZero"/>
        <c:auto val="1"/>
        <c:lblAlgn val="ctr"/>
        <c:lblOffset val="100"/>
        <c:noMultiLvlLbl val="0"/>
      </c:catAx>
      <c:valAx>
        <c:axId val="472259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58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results!PivotTable13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results'!$L$22</c:f>
              <c:strCache>
                <c:ptCount val="1"/>
                <c:pt idx="0">
                  <c:v>Total</c:v>
                </c:pt>
              </c:strCache>
            </c:strRef>
          </c:tx>
          <c:spPr>
            <a:solidFill>
              <a:schemeClr val="accent1"/>
            </a:solidFill>
            <a:ln>
              <a:noFill/>
            </a:ln>
            <a:effectLst/>
          </c:spPr>
          <c:invertIfNegative val="0"/>
          <c:cat>
            <c:strRef>
              <c:f>'Pivot table results'!$K$23:$K$26</c:f>
              <c:strCache>
                <c:ptCount val="3"/>
                <c:pt idx="0">
                  <c:v>long</c:v>
                </c:pt>
                <c:pt idx="1">
                  <c:v>medium</c:v>
                </c:pt>
                <c:pt idx="2">
                  <c:v>short</c:v>
                </c:pt>
              </c:strCache>
            </c:strRef>
          </c:cat>
          <c:val>
            <c:numRef>
              <c:f>'Pivot table results'!$L$23:$L$26</c:f>
              <c:numCache>
                <c:formatCode>0%</c:formatCode>
                <c:ptCount val="3"/>
                <c:pt idx="0">
                  <c:v>0.20668693009118541</c:v>
                </c:pt>
                <c:pt idx="1">
                  <c:v>0.16110019646365423</c:v>
                </c:pt>
                <c:pt idx="2">
                  <c:v>0.13765822784810128</c:v>
                </c:pt>
              </c:numCache>
            </c:numRef>
          </c:val>
          <c:extLst>
            <c:ext xmlns:c16="http://schemas.microsoft.com/office/drawing/2014/chart" uri="{C3380CC4-5D6E-409C-BE32-E72D297353CC}">
              <c16:uniqueId val="{00000000-8F7B-4D17-8A96-C8878E001515}"/>
            </c:ext>
          </c:extLst>
        </c:ser>
        <c:dLbls>
          <c:showLegendKey val="0"/>
          <c:showVal val="0"/>
          <c:showCatName val="0"/>
          <c:showSerName val="0"/>
          <c:showPercent val="0"/>
          <c:showBubbleSize val="0"/>
        </c:dLbls>
        <c:gapWidth val="219"/>
        <c:overlap val="-27"/>
        <c:axId val="598082832"/>
        <c:axId val="598084080"/>
      </c:barChart>
      <c:catAx>
        <c:axId val="59808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084080"/>
        <c:crosses val="autoZero"/>
        <c:auto val="1"/>
        <c:lblAlgn val="ctr"/>
        <c:lblOffset val="100"/>
        <c:noMultiLvlLbl val="0"/>
      </c:catAx>
      <c:valAx>
        <c:axId val="598084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082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 results'!$B$35</c:f>
              <c:strCache>
                <c:ptCount val="1"/>
                <c:pt idx="0">
                  <c:v>Total</c:v>
                </c:pt>
              </c:strCache>
            </c:strRef>
          </c:tx>
          <c:spPr>
            <a:solidFill>
              <a:schemeClr val="accent1"/>
            </a:solidFill>
            <a:ln>
              <a:noFill/>
            </a:ln>
            <a:effectLst/>
          </c:spPr>
          <c:invertIfNegative val="0"/>
          <c:cat>
            <c:strRef>
              <c:f>'Pivot table results'!$A$36:$A$40</c:f>
              <c:strCache>
                <c:ptCount val="4"/>
                <c:pt idx="0">
                  <c:v>0-2</c:v>
                </c:pt>
                <c:pt idx="1">
                  <c:v>3-5</c:v>
                </c:pt>
                <c:pt idx="2">
                  <c:v>6-10</c:v>
                </c:pt>
                <c:pt idx="3">
                  <c:v>10+</c:v>
                </c:pt>
              </c:strCache>
            </c:strRef>
          </c:cat>
          <c:val>
            <c:numRef>
              <c:f>'Pivot table results'!$B$36:$B$40</c:f>
              <c:numCache>
                <c:formatCode>0%</c:formatCode>
                <c:ptCount val="4"/>
                <c:pt idx="0">
                  <c:v>0.2982456140350877</c:v>
                </c:pt>
                <c:pt idx="1">
                  <c:v>0.13824884792626729</c:v>
                </c:pt>
                <c:pt idx="2">
                  <c:v>0.12276785714285714</c:v>
                </c:pt>
                <c:pt idx="3">
                  <c:v>8.1300813008130079E-2</c:v>
                </c:pt>
              </c:numCache>
            </c:numRef>
          </c:val>
          <c:extLst>
            <c:ext xmlns:c16="http://schemas.microsoft.com/office/drawing/2014/chart" uri="{C3380CC4-5D6E-409C-BE32-E72D297353CC}">
              <c16:uniqueId val="{00000000-3AE1-4A6D-B7C7-63B926DD2E20}"/>
            </c:ext>
          </c:extLst>
        </c:ser>
        <c:dLbls>
          <c:showLegendKey val="0"/>
          <c:showVal val="0"/>
          <c:showCatName val="0"/>
          <c:showSerName val="0"/>
          <c:showPercent val="0"/>
          <c:showBubbleSize val="0"/>
        </c:dLbls>
        <c:gapWidth val="219"/>
        <c:overlap val="-27"/>
        <c:axId val="839073263"/>
        <c:axId val="839075343"/>
      </c:barChart>
      <c:catAx>
        <c:axId val="83907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75343"/>
        <c:crosses val="autoZero"/>
        <c:auto val="1"/>
        <c:lblAlgn val="ctr"/>
        <c:lblOffset val="100"/>
        <c:noMultiLvlLbl val="0"/>
      </c:catAx>
      <c:valAx>
        <c:axId val="839075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0732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s>
    <c:plotArea>
      <c:layout/>
      <c:barChart>
        <c:barDir val="col"/>
        <c:grouping val="clustered"/>
        <c:varyColors val="0"/>
        <c:ser>
          <c:idx val="0"/>
          <c:order val="0"/>
          <c:tx>
            <c:strRef>
              <c:f>'Pivot table results'!$G$35</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A3EE-4597-B76C-8F3682EB0A8E}"/>
              </c:ext>
            </c:extLst>
          </c:dPt>
          <c:dPt>
            <c:idx val="1"/>
            <c:invertIfNegative val="0"/>
            <c:bubble3D val="0"/>
            <c:extLst>
              <c:ext xmlns:c16="http://schemas.microsoft.com/office/drawing/2014/chart" uri="{C3380CC4-5D6E-409C-BE32-E72D297353CC}">
                <c16:uniqueId val="{00000003-A3EE-4597-B76C-8F3682EB0A8E}"/>
              </c:ext>
            </c:extLst>
          </c:dPt>
          <c:dPt>
            <c:idx val="2"/>
            <c:invertIfNegative val="0"/>
            <c:bubble3D val="0"/>
            <c:extLst>
              <c:ext xmlns:c16="http://schemas.microsoft.com/office/drawing/2014/chart" uri="{C3380CC4-5D6E-409C-BE32-E72D297353CC}">
                <c16:uniqueId val="{00000005-A3EE-4597-B76C-8F3682EB0A8E}"/>
              </c:ext>
            </c:extLst>
          </c:dPt>
          <c:cat>
            <c:strRef>
              <c:f>'Pivot table results'!$F$36:$F$39</c:f>
              <c:strCache>
                <c:ptCount val="3"/>
                <c:pt idx="0">
                  <c:v>Non-Travel</c:v>
                </c:pt>
                <c:pt idx="1">
                  <c:v>Travel_Frequently</c:v>
                </c:pt>
                <c:pt idx="2">
                  <c:v>Travel_Rarely</c:v>
                </c:pt>
              </c:strCache>
            </c:strRef>
          </c:cat>
          <c:val>
            <c:numRef>
              <c:f>'Pivot table results'!$G$36:$G$39</c:f>
              <c:numCache>
                <c:formatCode>0%</c:formatCode>
                <c:ptCount val="3"/>
                <c:pt idx="0">
                  <c:v>0.08</c:v>
                </c:pt>
                <c:pt idx="1">
                  <c:v>0.24909747292418771</c:v>
                </c:pt>
                <c:pt idx="2">
                  <c:v>0.14956855225311602</c:v>
                </c:pt>
              </c:numCache>
            </c:numRef>
          </c:val>
          <c:extLst>
            <c:ext xmlns:c16="http://schemas.microsoft.com/office/drawing/2014/chart" uri="{C3380CC4-5D6E-409C-BE32-E72D297353CC}">
              <c16:uniqueId val="{00000000-6DF6-4BA1-A7E8-BDE094EF7CBB}"/>
            </c:ext>
          </c:extLst>
        </c:ser>
        <c:dLbls>
          <c:showLegendKey val="0"/>
          <c:showVal val="0"/>
          <c:showCatName val="0"/>
          <c:showSerName val="0"/>
          <c:showPercent val="0"/>
          <c:showBubbleSize val="0"/>
        </c:dLbls>
        <c:gapWidth val="100"/>
        <c:axId val="750593248"/>
        <c:axId val="750601568"/>
      </c:barChart>
      <c:catAx>
        <c:axId val="75059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01568"/>
        <c:auto val="1"/>
        <c:lblAlgn val="ctr"/>
        <c:lblOffset val="100"/>
        <c:noMultiLvlLbl val="0"/>
      </c:catAx>
      <c:valAx>
        <c:axId val="750601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93248"/>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 results'!$G$12</c:f>
              <c:strCache>
                <c:ptCount val="1"/>
                <c:pt idx="0">
                  <c:v>Total</c:v>
                </c:pt>
              </c:strCache>
            </c:strRef>
          </c:tx>
          <c:spPr>
            <a:solidFill>
              <a:schemeClr val="accent1"/>
            </a:solidFill>
            <a:ln>
              <a:noFill/>
            </a:ln>
            <a:effectLst/>
          </c:spPr>
          <c:invertIfNegative val="0"/>
          <c:cat>
            <c:strRef>
              <c:f>'Pivot table results'!$F$13:$F$17</c:f>
              <c:strCache>
                <c:ptCount val="4"/>
                <c:pt idx="0">
                  <c:v>46+</c:v>
                </c:pt>
                <c:pt idx="1">
                  <c:v>36-45</c:v>
                </c:pt>
                <c:pt idx="2">
                  <c:v>26-35</c:v>
                </c:pt>
                <c:pt idx="3">
                  <c:v>18-25</c:v>
                </c:pt>
              </c:strCache>
            </c:strRef>
          </c:cat>
          <c:val>
            <c:numRef>
              <c:f>'Pivot table results'!$G$13:$G$17</c:f>
              <c:numCache>
                <c:formatCode>0%</c:formatCode>
                <c:ptCount val="4"/>
                <c:pt idx="0">
                  <c:v>0.12454212454212454</c:v>
                </c:pt>
                <c:pt idx="1">
                  <c:v>9.1880341880341887E-2</c:v>
                </c:pt>
                <c:pt idx="2">
                  <c:v>0.19141914191419143</c:v>
                </c:pt>
                <c:pt idx="3">
                  <c:v>0.35772357723577236</c:v>
                </c:pt>
              </c:numCache>
            </c:numRef>
          </c:val>
          <c:extLst>
            <c:ext xmlns:c16="http://schemas.microsoft.com/office/drawing/2014/chart" uri="{C3380CC4-5D6E-409C-BE32-E72D297353CC}">
              <c16:uniqueId val="{00000000-4651-43FE-8933-1D353BB917F2}"/>
            </c:ext>
          </c:extLst>
        </c:ser>
        <c:dLbls>
          <c:showLegendKey val="0"/>
          <c:showVal val="0"/>
          <c:showCatName val="0"/>
          <c:showSerName val="0"/>
          <c:showPercent val="0"/>
          <c:showBubbleSize val="0"/>
        </c:dLbls>
        <c:gapWidth val="182"/>
        <c:axId val="706068784"/>
        <c:axId val="706060464"/>
      </c:barChart>
      <c:catAx>
        <c:axId val="70606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60464"/>
        <c:crosses val="autoZero"/>
        <c:auto val="1"/>
        <c:lblAlgn val="ctr"/>
        <c:lblOffset val="100"/>
        <c:noMultiLvlLbl val="0"/>
      </c:catAx>
      <c:valAx>
        <c:axId val="7060604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68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results!PivotTable2</c:name>
    <c:fmtId val="2"/>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OverTime</a:t>
            </a:r>
            <a:endParaRPr lang="en-US" sz="900"/>
          </a:p>
        </c:rich>
      </c:tx>
      <c:layout>
        <c:manualLayout>
          <c:xMode val="edge"/>
          <c:yMode val="edge"/>
          <c:x val="6.1564153878327973E-3"/>
          <c:y val="0"/>
        </c:manualLayout>
      </c:layout>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520697697918581"/>
          <c:y val="0.1935603250934646"/>
          <c:w val="0.73952742990321807"/>
          <c:h val="0.6732148267582827"/>
        </c:manualLayout>
      </c:layout>
      <c:barChart>
        <c:barDir val="col"/>
        <c:grouping val="clustered"/>
        <c:varyColors val="0"/>
        <c:ser>
          <c:idx val="0"/>
          <c:order val="0"/>
          <c:tx>
            <c:strRef>
              <c:f>'Pivot table results'!$B$12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results'!$A$13:$A$15</c:f>
              <c:strCache>
                <c:ptCount val="2"/>
                <c:pt idx="0">
                  <c:v>No</c:v>
                </c:pt>
                <c:pt idx="1">
                  <c:v>Yes</c:v>
                </c:pt>
              </c:strCache>
            </c:strRef>
          </c:cat>
          <c:val>
            <c:numRef>
              <c:f>'Pivot table results'!$B$13:$B$15</c:f>
              <c:numCache>
                <c:formatCode>0%</c:formatCode>
                <c:ptCount val="2"/>
                <c:pt idx="0">
                  <c:v>0.10436432637571158</c:v>
                </c:pt>
                <c:pt idx="1">
                  <c:v>0.30528846153846156</c:v>
                </c:pt>
              </c:numCache>
            </c:numRef>
          </c:val>
          <c:extLst>
            <c:ext xmlns:c16="http://schemas.microsoft.com/office/drawing/2014/chart" uri="{C3380CC4-5D6E-409C-BE32-E72D297353CC}">
              <c16:uniqueId val="{00000000-D910-4A8B-A782-BBC2F784CB40}"/>
            </c:ext>
          </c:extLst>
        </c:ser>
        <c:dLbls>
          <c:dLblPos val="outEnd"/>
          <c:showLegendKey val="0"/>
          <c:showVal val="1"/>
          <c:showCatName val="0"/>
          <c:showSerName val="0"/>
          <c:showPercent val="0"/>
          <c:showBubbleSize val="0"/>
        </c:dLbls>
        <c:gapWidth val="100"/>
        <c:overlap val="-24"/>
        <c:axId val="659425984"/>
        <c:axId val="659417664"/>
      </c:barChart>
      <c:catAx>
        <c:axId val="659425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17664"/>
        <c:crosses val="autoZero"/>
        <c:auto val="1"/>
        <c:lblAlgn val="ctr"/>
        <c:lblOffset val="100"/>
        <c:noMultiLvlLbl val="0"/>
      </c:catAx>
      <c:valAx>
        <c:axId val="6594176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4259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Department</a:t>
            </a:r>
            <a:endParaRPr lang="en-US" sz="900"/>
          </a:p>
        </c:rich>
      </c:tx>
      <c:layout>
        <c:manualLayout>
          <c:xMode val="edge"/>
          <c:yMode val="edge"/>
          <c:x val="2.8920330512466797E-3"/>
          <c:y val="1.32706027413721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908049410379785"/>
          <c:y val="0.20559507420304546"/>
          <c:w val="0.77982500898557516"/>
          <c:h val="0.50017267457504033"/>
        </c:manualLayout>
      </c:layout>
      <c:barChart>
        <c:barDir val="col"/>
        <c:grouping val="clustered"/>
        <c:varyColors val="0"/>
        <c:ser>
          <c:idx val="0"/>
          <c:order val="0"/>
          <c:tx>
            <c:strRef>
              <c:f>'Pivot table results'!$B$3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2AC2-46D1-BFF5-F23647BC0597}"/>
              </c:ext>
            </c:extLst>
          </c:dPt>
          <c:dPt>
            <c:idx val="1"/>
            <c:invertIfNegative val="0"/>
            <c:bubble3D val="0"/>
            <c:extLst>
              <c:ext xmlns:c16="http://schemas.microsoft.com/office/drawing/2014/chart" uri="{C3380CC4-5D6E-409C-BE32-E72D297353CC}">
                <c16:uniqueId val="{00000003-2AC2-46D1-BFF5-F23647BC0597}"/>
              </c:ext>
            </c:extLst>
          </c:dPt>
          <c:dPt>
            <c:idx val="2"/>
            <c:invertIfNegative val="0"/>
            <c:bubble3D val="0"/>
            <c:extLst>
              <c:ext xmlns:c16="http://schemas.microsoft.com/office/drawing/2014/chart" uri="{C3380CC4-5D6E-409C-BE32-E72D297353CC}">
                <c16:uniqueId val="{00000005-2AC2-46D1-BFF5-F23647BC05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results'!$A$4:$A$7</c:f>
              <c:strCache>
                <c:ptCount val="3"/>
                <c:pt idx="0">
                  <c:v>Human Resources</c:v>
                </c:pt>
                <c:pt idx="1">
                  <c:v>Research &amp; Development</c:v>
                </c:pt>
                <c:pt idx="2">
                  <c:v>Sales</c:v>
                </c:pt>
              </c:strCache>
            </c:strRef>
          </c:cat>
          <c:val>
            <c:numRef>
              <c:f>'Pivot table results'!$B$4:$B$7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6-2AC2-46D1-BFF5-F23647BC0597}"/>
            </c:ext>
          </c:extLst>
        </c:ser>
        <c:dLbls>
          <c:dLblPos val="outEnd"/>
          <c:showLegendKey val="0"/>
          <c:showVal val="1"/>
          <c:showCatName val="0"/>
          <c:showSerName val="0"/>
          <c:showPercent val="0"/>
          <c:showBubbleSize val="0"/>
        </c:dLbls>
        <c:gapWidth val="100"/>
        <c:axId val="706062960"/>
        <c:axId val="706070032"/>
      </c:barChart>
      <c:catAx>
        <c:axId val="7060629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070032"/>
        <c:auto val="1"/>
        <c:lblAlgn val="ctr"/>
        <c:lblOffset val="100"/>
        <c:noMultiLvlLbl val="0"/>
      </c:catAx>
      <c:valAx>
        <c:axId val="7060700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062960"/>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Job Role</a:t>
            </a:r>
            <a:endParaRPr lang="en-US" sz="900"/>
          </a:p>
        </c:rich>
      </c:tx>
      <c:layout>
        <c:manualLayout>
          <c:xMode val="edge"/>
          <c:yMode val="edge"/>
          <c:x val="1.0144914387622972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598708588714537"/>
          <c:y val="0.1265297569375175"/>
          <c:w val="0.5947731800160454"/>
          <c:h val="0.75117012151272045"/>
        </c:manualLayout>
      </c:layout>
      <c:barChart>
        <c:barDir val="bar"/>
        <c:grouping val="clustered"/>
        <c:varyColors val="0"/>
        <c:ser>
          <c:idx val="0"/>
          <c:order val="0"/>
          <c:tx>
            <c:strRef>
              <c:f>'Pivot table results'!$B$45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results'!$A$46:$A$55</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'Pivot table results'!$B$46:$B$55</c:f>
              <c:numCache>
                <c:formatCode>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F652-40D6-BFE7-795A40DC280A}"/>
            </c:ext>
          </c:extLst>
        </c:ser>
        <c:dLbls>
          <c:dLblPos val="outEnd"/>
          <c:showLegendKey val="0"/>
          <c:showVal val="1"/>
          <c:showCatName val="0"/>
          <c:showSerName val="0"/>
          <c:showPercent val="0"/>
          <c:showBubbleSize val="0"/>
        </c:dLbls>
        <c:gapWidth val="115"/>
        <c:overlap val="-20"/>
        <c:axId val="118592640"/>
        <c:axId val="118593472"/>
      </c:barChart>
      <c:catAx>
        <c:axId val="118592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593472"/>
        <c:crosses val="autoZero"/>
        <c:auto val="1"/>
        <c:lblAlgn val="ctr"/>
        <c:lblOffset val="100"/>
        <c:noMultiLvlLbl val="0"/>
      </c:catAx>
      <c:valAx>
        <c:axId val="1185934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5926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Income</a:t>
            </a:r>
            <a:endParaRPr lang="en-US" sz="900"/>
          </a:p>
        </c:rich>
      </c:tx>
      <c:layout>
        <c:manualLayout>
          <c:xMode val="edge"/>
          <c:yMode val="edge"/>
          <c:x val="1.7465096797901966E-5"/>
          <c:y val="2.67542182659685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670229123017157"/>
          <c:y val="0.22257699570778736"/>
          <c:w val="0.83524761379145662"/>
          <c:h val="0.41654843198161329"/>
        </c:manualLayout>
      </c:layout>
      <c:lineChart>
        <c:grouping val="standard"/>
        <c:varyColors val="0"/>
        <c:ser>
          <c:idx val="0"/>
          <c:order val="0"/>
          <c:tx>
            <c:strRef>
              <c:f>'Pivot table results'!$B$22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results'!$A$23:$A$30</c:f>
              <c:strCache>
                <c:ptCount val="7"/>
                <c:pt idx="0">
                  <c:v>1000-3999</c:v>
                </c:pt>
                <c:pt idx="1">
                  <c:v>4000-6999</c:v>
                </c:pt>
                <c:pt idx="2">
                  <c:v>7000-9999</c:v>
                </c:pt>
                <c:pt idx="3">
                  <c:v>10000-12999</c:v>
                </c:pt>
                <c:pt idx="4">
                  <c:v>13000-15999</c:v>
                </c:pt>
                <c:pt idx="5">
                  <c:v>16000-18999</c:v>
                </c:pt>
                <c:pt idx="6">
                  <c:v>19000-21999</c:v>
                </c:pt>
              </c:strCache>
            </c:strRef>
          </c:cat>
          <c:val>
            <c:numRef>
              <c:f>'Pivot table results'!$B$23:$B$30</c:f>
              <c:numCache>
                <c:formatCode>0%</c:formatCode>
                <c:ptCount val="7"/>
                <c:pt idx="0">
                  <c:v>0.25276752767527677</c:v>
                </c:pt>
                <c:pt idx="1">
                  <c:v>0.10750507099391481</c:v>
                </c:pt>
                <c:pt idx="2">
                  <c:v>0.14285714285714285</c:v>
                </c:pt>
                <c:pt idx="3">
                  <c:v>0.16666666666666666</c:v>
                </c:pt>
                <c:pt idx="4">
                  <c:v>6.7796610169491525E-2</c:v>
                </c:pt>
                <c:pt idx="5">
                  <c:v>1.3157894736842105E-2</c:v>
                </c:pt>
                <c:pt idx="6">
                  <c:v>0.08</c:v>
                </c:pt>
              </c:numCache>
            </c:numRef>
          </c:val>
          <c:smooth val="0"/>
          <c:extLst>
            <c:ext xmlns:c16="http://schemas.microsoft.com/office/drawing/2014/chart" uri="{C3380CC4-5D6E-409C-BE32-E72D297353CC}">
              <c16:uniqueId val="{00000000-C484-4687-A3AD-A2DE72046C7C}"/>
            </c:ext>
          </c:extLst>
        </c:ser>
        <c:dLbls>
          <c:dLblPos val="t"/>
          <c:showLegendKey val="0"/>
          <c:showVal val="1"/>
          <c:showCatName val="0"/>
          <c:showSerName val="0"/>
          <c:showPercent val="0"/>
          <c:showBubbleSize val="0"/>
        </c:dLbls>
        <c:smooth val="0"/>
        <c:axId val="472258512"/>
        <c:axId val="472259344"/>
      </c:lineChart>
      <c:catAx>
        <c:axId val="472258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259344"/>
        <c:crosses val="autoZero"/>
        <c:auto val="1"/>
        <c:lblAlgn val="ctr"/>
        <c:lblOffset val="100"/>
        <c:noMultiLvlLbl val="0"/>
      </c:catAx>
      <c:valAx>
        <c:axId val="472259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2585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results!PivotTable13</c:name>
    <c:fmtId val="2"/>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Distance</a:t>
            </a:r>
            <a:endParaRPr lang="en-US" sz="900"/>
          </a:p>
        </c:rich>
      </c:tx>
      <c:layout>
        <c:manualLayout>
          <c:xMode val="edge"/>
          <c:yMode val="edge"/>
          <c:x val="5.0604401093461851E-3"/>
          <c:y val="1.3416281872912949E-2"/>
        </c:manualLayout>
      </c:layout>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833446857205132"/>
          <c:y val="0.22153018503383468"/>
          <c:w val="0.73304140471715418"/>
          <c:h val="0.61974929511700161"/>
        </c:manualLayout>
      </c:layout>
      <c:barChart>
        <c:barDir val="col"/>
        <c:grouping val="clustered"/>
        <c:varyColors val="0"/>
        <c:ser>
          <c:idx val="0"/>
          <c:order val="0"/>
          <c:tx>
            <c:strRef>
              <c:f>'Pivot table results'!$L$22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results'!$K$23:$K$26</c:f>
              <c:strCache>
                <c:ptCount val="3"/>
                <c:pt idx="0">
                  <c:v>long</c:v>
                </c:pt>
                <c:pt idx="1">
                  <c:v>medium</c:v>
                </c:pt>
                <c:pt idx="2">
                  <c:v>short</c:v>
                </c:pt>
              </c:strCache>
            </c:strRef>
          </c:cat>
          <c:val>
            <c:numRef>
              <c:f>'Pivot table results'!$L$23:$L$26</c:f>
              <c:numCache>
                <c:formatCode>0%</c:formatCode>
                <c:ptCount val="3"/>
                <c:pt idx="0">
                  <c:v>0.20668693009118541</c:v>
                </c:pt>
                <c:pt idx="1">
                  <c:v>0.16110019646365423</c:v>
                </c:pt>
                <c:pt idx="2">
                  <c:v>0.13765822784810128</c:v>
                </c:pt>
              </c:numCache>
            </c:numRef>
          </c:val>
          <c:extLst>
            <c:ext xmlns:c16="http://schemas.microsoft.com/office/drawing/2014/chart" uri="{C3380CC4-5D6E-409C-BE32-E72D297353CC}">
              <c16:uniqueId val="{00000000-B022-4827-9C3F-FFB3EFCE246B}"/>
            </c:ext>
          </c:extLst>
        </c:ser>
        <c:dLbls>
          <c:dLblPos val="outEnd"/>
          <c:showLegendKey val="0"/>
          <c:showVal val="1"/>
          <c:showCatName val="0"/>
          <c:showSerName val="0"/>
          <c:showPercent val="0"/>
          <c:showBubbleSize val="0"/>
        </c:dLbls>
        <c:gapWidth val="100"/>
        <c:overlap val="-24"/>
        <c:axId val="598082832"/>
        <c:axId val="598084080"/>
      </c:barChart>
      <c:catAx>
        <c:axId val="598082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084080"/>
        <c:crosses val="autoZero"/>
        <c:auto val="1"/>
        <c:lblAlgn val="ctr"/>
        <c:lblOffset val="100"/>
        <c:noMultiLvlLbl val="0"/>
      </c:catAx>
      <c:valAx>
        <c:axId val="598084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0828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Tenure</a:t>
            </a:r>
            <a:endParaRPr lang="en-US" sz="900"/>
          </a:p>
        </c:rich>
      </c:tx>
      <c:layout>
        <c:manualLayout>
          <c:xMode val="edge"/>
          <c:yMode val="edge"/>
          <c:x val="7.9512987121231127E-4"/>
          <c:y val="2.02429149797570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327913559214672"/>
          <c:y val="0.20414740667538014"/>
          <c:w val="0.77217028781367625"/>
          <c:h val="0.61070430467446635"/>
        </c:manualLayout>
      </c:layout>
      <c:barChart>
        <c:barDir val="col"/>
        <c:grouping val="clustered"/>
        <c:varyColors val="0"/>
        <c:ser>
          <c:idx val="0"/>
          <c:order val="0"/>
          <c:tx>
            <c:strRef>
              <c:f>'Pivot table results'!$B$35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results'!$A$36:$A$40</c:f>
              <c:strCache>
                <c:ptCount val="4"/>
                <c:pt idx="0">
                  <c:v>0-2</c:v>
                </c:pt>
                <c:pt idx="1">
                  <c:v>3-5</c:v>
                </c:pt>
                <c:pt idx="2">
                  <c:v>6-10</c:v>
                </c:pt>
                <c:pt idx="3">
                  <c:v>10+</c:v>
                </c:pt>
              </c:strCache>
            </c:strRef>
          </c:cat>
          <c:val>
            <c:numRef>
              <c:f>'Pivot table results'!$B$36:$B$40</c:f>
              <c:numCache>
                <c:formatCode>0%</c:formatCode>
                <c:ptCount val="4"/>
                <c:pt idx="0">
                  <c:v>0.2982456140350877</c:v>
                </c:pt>
                <c:pt idx="1">
                  <c:v>0.13824884792626729</c:v>
                </c:pt>
                <c:pt idx="2">
                  <c:v>0.12276785714285714</c:v>
                </c:pt>
                <c:pt idx="3">
                  <c:v>8.1300813008130079E-2</c:v>
                </c:pt>
              </c:numCache>
            </c:numRef>
          </c:val>
          <c:extLst>
            <c:ext xmlns:c16="http://schemas.microsoft.com/office/drawing/2014/chart" uri="{C3380CC4-5D6E-409C-BE32-E72D297353CC}">
              <c16:uniqueId val="{00000000-21FA-48AC-ACBF-7DCD1CF28315}"/>
            </c:ext>
          </c:extLst>
        </c:ser>
        <c:dLbls>
          <c:dLblPos val="outEnd"/>
          <c:showLegendKey val="0"/>
          <c:showVal val="1"/>
          <c:showCatName val="0"/>
          <c:showSerName val="0"/>
          <c:showPercent val="0"/>
          <c:showBubbleSize val="0"/>
        </c:dLbls>
        <c:gapWidth val="100"/>
        <c:axId val="839073263"/>
        <c:axId val="839075343"/>
      </c:barChart>
      <c:catAx>
        <c:axId val="8390732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9075343"/>
        <c:crosses val="autoZero"/>
        <c:auto val="1"/>
        <c:lblAlgn val="ctr"/>
        <c:lblOffset val="100"/>
        <c:noMultiLvlLbl val="0"/>
      </c:catAx>
      <c:valAx>
        <c:axId val="839075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907326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b="1" i="0" u="none" strike="noStrike" baseline="0">
                <a:effectLst>
                  <a:outerShdw blurRad="50800" dist="38100" dir="5400000" algn="t" rotWithShape="0">
                    <a:prstClr val="black">
                      <a:alpha val="40000"/>
                    </a:prstClr>
                  </a:outerShdw>
                </a:effectLst>
              </a:rPr>
              <a:t>Attrition by Business Travel</a:t>
            </a:r>
            <a:endParaRPr lang="en-US" sz="800"/>
          </a:p>
        </c:rich>
      </c:tx>
      <c:layout>
        <c:manualLayout>
          <c:xMode val="edge"/>
          <c:yMode val="edge"/>
          <c:x val="5.3786685755189698E-3"/>
          <c:y val="1.34853389412522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194553805774278"/>
          <c:y val="0.2082254651913501"/>
          <c:w val="0.73861001749781274"/>
          <c:h val="0.49636081670185772"/>
        </c:manualLayout>
      </c:layout>
      <c:barChart>
        <c:barDir val="col"/>
        <c:grouping val="clustered"/>
        <c:varyColors val="0"/>
        <c:ser>
          <c:idx val="0"/>
          <c:order val="0"/>
          <c:tx>
            <c:strRef>
              <c:f>'Pivot table results'!$G$35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54CB-43D3-8934-38D71D73E962}"/>
              </c:ext>
            </c:extLst>
          </c:dPt>
          <c:dPt>
            <c:idx val="1"/>
            <c:invertIfNegative val="0"/>
            <c:bubble3D val="0"/>
            <c:extLst>
              <c:ext xmlns:c16="http://schemas.microsoft.com/office/drawing/2014/chart" uri="{C3380CC4-5D6E-409C-BE32-E72D297353CC}">
                <c16:uniqueId val="{00000003-54CB-43D3-8934-38D71D73E962}"/>
              </c:ext>
            </c:extLst>
          </c:dPt>
          <c:dPt>
            <c:idx val="2"/>
            <c:invertIfNegative val="0"/>
            <c:bubble3D val="0"/>
            <c:extLst>
              <c:ext xmlns:c16="http://schemas.microsoft.com/office/drawing/2014/chart" uri="{C3380CC4-5D6E-409C-BE32-E72D297353CC}">
                <c16:uniqueId val="{00000005-54CB-43D3-8934-38D71D73E9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results'!$F$36:$F$39</c:f>
              <c:strCache>
                <c:ptCount val="3"/>
                <c:pt idx="0">
                  <c:v>Non-Travel</c:v>
                </c:pt>
                <c:pt idx="1">
                  <c:v>Travel_Frequently</c:v>
                </c:pt>
                <c:pt idx="2">
                  <c:v>Travel_Rarely</c:v>
                </c:pt>
              </c:strCache>
            </c:strRef>
          </c:cat>
          <c:val>
            <c:numRef>
              <c:f>'Pivot table results'!$G$36:$G$39</c:f>
              <c:numCache>
                <c:formatCode>0%</c:formatCode>
                <c:ptCount val="3"/>
                <c:pt idx="0">
                  <c:v>0.08</c:v>
                </c:pt>
                <c:pt idx="1">
                  <c:v>0.24909747292418771</c:v>
                </c:pt>
                <c:pt idx="2">
                  <c:v>0.14956855225311602</c:v>
                </c:pt>
              </c:numCache>
            </c:numRef>
          </c:val>
          <c:extLst>
            <c:ext xmlns:c16="http://schemas.microsoft.com/office/drawing/2014/chart" uri="{C3380CC4-5D6E-409C-BE32-E72D297353CC}">
              <c16:uniqueId val="{00000006-54CB-43D3-8934-38D71D73E962}"/>
            </c:ext>
          </c:extLst>
        </c:ser>
        <c:dLbls>
          <c:dLblPos val="outEnd"/>
          <c:showLegendKey val="0"/>
          <c:showVal val="1"/>
          <c:showCatName val="0"/>
          <c:showSerName val="0"/>
          <c:showPercent val="0"/>
          <c:showBubbleSize val="0"/>
        </c:dLbls>
        <c:gapWidth val="100"/>
        <c:axId val="452027184"/>
        <c:axId val="452028016"/>
      </c:barChart>
      <c:catAx>
        <c:axId val="4520271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452028016"/>
        <c:auto val="1"/>
        <c:lblAlgn val="ctr"/>
        <c:lblOffset val="100"/>
        <c:noMultiLvlLbl val="0"/>
      </c:catAx>
      <c:valAx>
        <c:axId val="4520280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2027184"/>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analysis.xlsx]Pivot table results!PivotTable7</c:name>
    <c:fmtId val="2"/>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baseline="0">
                <a:effectLst>
                  <a:outerShdw blurRad="50800" dist="38100" dir="5400000" algn="t" rotWithShape="0">
                    <a:prstClr val="black">
                      <a:alpha val="40000"/>
                    </a:prstClr>
                  </a:outerShdw>
                </a:effectLst>
              </a:rPr>
              <a:t>Attrition by Age</a:t>
            </a:r>
            <a:endParaRPr lang="en-US" sz="900"/>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225981650965575"/>
          <c:y val="0.12508559456831359"/>
          <c:w val="0.79336187738076402"/>
          <c:h val="0.7162773379300279"/>
        </c:manualLayout>
      </c:layout>
      <c:barChart>
        <c:barDir val="bar"/>
        <c:grouping val="clustered"/>
        <c:varyColors val="0"/>
        <c:ser>
          <c:idx val="0"/>
          <c:order val="0"/>
          <c:tx>
            <c:strRef>
              <c:f>'Pivot table results'!$G$12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results'!$F$13:$F$17</c:f>
              <c:strCache>
                <c:ptCount val="4"/>
                <c:pt idx="0">
                  <c:v>46+</c:v>
                </c:pt>
                <c:pt idx="1">
                  <c:v>36-45</c:v>
                </c:pt>
                <c:pt idx="2">
                  <c:v>26-35</c:v>
                </c:pt>
                <c:pt idx="3">
                  <c:v>18-25</c:v>
                </c:pt>
              </c:strCache>
            </c:strRef>
          </c:cat>
          <c:val>
            <c:numRef>
              <c:f>'Pivot table results'!$G$13:$G$17</c:f>
              <c:numCache>
                <c:formatCode>0%</c:formatCode>
                <c:ptCount val="4"/>
                <c:pt idx="0">
                  <c:v>0.12454212454212454</c:v>
                </c:pt>
                <c:pt idx="1">
                  <c:v>9.1880341880341887E-2</c:v>
                </c:pt>
                <c:pt idx="2">
                  <c:v>0.19141914191419143</c:v>
                </c:pt>
                <c:pt idx="3">
                  <c:v>0.35772357723577236</c:v>
                </c:pt>
              </c:numCache>
            </c:numRef>
          </c:val>
          <c:extLst>
            <c:ext xmlns:c16="http://schemas.microsoft.com/office/drawing/2014/chart" uri="{C3380CC4-5D6E-409C-BE32-E72D297353CC}">
              <c16:uniqueId val="{00000000-7A29-40BC-B47C-B75CC8B88309}"/>
            </c:ext>
          </c:extLst>
        </c:ser>
        <c:dLbls>
          <c:dLblPos val="outEnd"/>
          <c:showLegendKey val="0"/>
          <c:showVal val="1"/>
          <c:showCatName val="0"/>
          <c:showSerName val="0"/>
          <c:showPercent val="0"/>
          <c:showBubbleSize val="0"/>
        </c:dLbls>
        <c:gapWidth val="115"/>
        <c:overlap val="-20"/>
        <c:axId val="706068784"/>
        <c:axId val="706060464"/>
      </c:barChart>
      <c:catAx>
        <c:axId val="7060687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060464"/>
        <c:crosses val="autoZero"/>
        <c:auto val="1"/>
        <c:lblAlgn val="ctr"/>
        <c:lblOffset val="100"/>
        <c:noMultiLvlLbl val="0"/>
      </c:catAx>
      <c:valAx>
        <c:axId val="7060604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0687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nchor="b"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26</xdr:col>
      <xdr:colOff>33168</xdr:colOff>
      <xdr:row>0</xdr:row>
      <xdr:rowOff>73063</xdr:rowOff>
    </xdr:from>
    <xdr:to>
      <xdr:col>27</xdr:col>
      <xdr:colOff>795168</xdr:colOff>
      <xdr:row>6</xdr:row>
      <xdr:rowOff>143436</xdr:rowOff>
    </xdr:to>
    <mc:AlternateContent xmlns:mc="http://schemas.openxmlformats.org/markup-compatibility/2006">
      <mc:Choice xmlns:a14="http://schemas.microsoft.com/office/drawing/2010/main" Requires="a14">
        <xdr:graphicFrame macro="">
          <xdr:nvGraphicFramePr>
            <xdr:cNvPr id="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4479921" y="73063"/>
              <a:ext cx="1828800" cy="1146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29136</xdr:colOff>
      <xdr:row>19</xdr:row>
      <xdr:rowOff>77994</xdr:rowOff>
    </xdr:from>
    <xdr:to>
      <xdr:col>27</xdr:col>
      <xdr:colOff>791136</xdr:colOff>
      <xdr:row>25</xdr:row>
      <xdr:rowOff>125507</xdr:rowOff>
    </xdr:to>
    <mc:AlternateContent xmlns:mc="http://schemas.openxmlformats.org/markup-compatibility/2006">
      <mc:Choice xmlns:a14="http://schemas.microsoft.com/office/drawing/2010/main" Requires="a14">
        <xdr:graphicFrame macro="">
          <xdr:nvGraphicFramePr>
            <xdr:cNvPr id="3" name="DistanceFromHome1"/>
            <xdr:cNvGraphicFramePr/>
          </xdr:nvGraphicFramePr>
          <xdr:xfrm>
            <a:off x="0" y="0"/>
            <a:ext cx="0" cy="0"/>
          </xdr:xfrm>
          <a:graphic>
            <a:graphicData uri="http://schemas.microsoft.com/office/drawing/2010/slicer">
              <sle:slicer xmlns:sle="http://schemas.microsoft.com/office/drawing/2010/slicer" name="DistanceFromHome1"/>
            </a:graphicData>
          </a:graphic>
        </xdr:graphicFrame>
      </mc:Choice>
      <mc:Fallback>
        <xdr:sp macro="" textlink="">
          <xdr:nvSpPr>
            <xdr:cNvPr id="0" name=""/>
            <xdr:cNvSpPr>
              <a:spLocks noTextEdit="1"/>
            </xdr:cNvSpPr>
          </xdr:nvSpPr>
          <xdr:spPr>
            <a:xfrm>
              <a:off x="24475889" y="3484582"/>
              <a:ext cx="1828800" cy="1123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34067</xdr:colOff>
      <xdr:row>13</xdr:row>
      <xdr:rowOff>136712</xdr:rowOff>
    </xdr:from>
    <xdr:to>
      <xdr:col>27</xdr:col>
      <xdr:colOff>796067</xdr:colOff>
      <xdr:row>18</xdr:row>
      <xdr:rowOff>107577</xdr:rowOff>
    </xdr:to>
    <mc:AlternateContent xmlns:mc="http://schemas.openxmlformats.org/markup-compatibility/2006">
      <mc:Choice xmlns:a14="http://schemas.microsoft.com/office/drawing/2010/main"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4480820" y="2467536"/>
              <a:ext cx="1828800" cy="86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30033</xdr:colOff>
      <xdr:row>7</xdr:row>
      <xdr:rowOff>123713</xdr:rowOff>
    </xdr:from>
    <xdr:to>
      <xdr:col>27</xdr:col>
      <xdr:colOff>792033</xdr:colOff>
      <xdr:row>12</xdr:row>
      <xdr:rowOff>125507</xdr:rowOff>
    </xdr:to>
    <mc:AlternateContent xmlns:mc="http://schemas.openxmlformats.org/markup-compatibility/2006">
      <mc:Choice xmlns:a14="http://schemas.microsoft.com/office/drawing/2010/main" Requires="a14">
        <xdr:graphicFrame macro="">
          <xdr:nvGraphicFramePr>
            <xdr:cNvPr id="5" name="OverTime"/>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24476786" y="1378772"/>
              <a:ext cx="1828800" cy="898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367552</xdr:colOff>
      <xdr:row>83</xdr:row>
      <xdr:rowOff>4484</xdr:rowOff>
    </xdr:from>
    <xdr:to>
      <xdr:col>15</xdr:col>
      <xdr:colOff>44823</xdr:colOff>
      <xdr:row>98</xdr:row>
      <xdr:rowOff>58272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66</xdr:row>
      <xdr:rowOff>13447</xdr:rowOff>
    </xdr:from>
    <xdr:to>
      <xdr:col>3</xdr:col>
      <xdr:colOff>358588</xdr:colOff>
      <xdr:row>81</xdr:row>
      <xdr:rowOff>67235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573742</xdr:colOff>
      <xdr:row>82</xdr:row>
      <xdr:rowOff>67234</xdr:rowOff>
    </xdr:from>
    <xdr:to>
      <xdr:col>19</xdr:col>
      <xdr:colOff>251013</xdr:colOff>
      <xdr:row>97</xdr:row>
      <xdr:rowOff>121023</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313766</xdr:colOff>
      <xdr:row>66</xdr:row>
      <xdr:rowOff>58270</xdr:rowOff>
    </xdr:from>
    <xdr:to>
      <xdr:col>7</xdr:col>
      <xdr:colOff>259976</xdr:colOff>
      <xdr:row>81</xdr:row>
      <xdr:rowOff>112058</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860612</xdr:colOff>
      <xdr:row>66</xdr:row>
      <xdr:rowOff>67234</xdr:rowOff>
    </xdr:from>
    <xdr:to>
      <xdr:col>16</xdr:col>
      <xdr:colOff>1030940</xdr:colOff>
      <xdr:row>81</xdr:row>
      <xdr:rowOff>121022</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188259</xdr:colOff>
      <xdr:row>83</xdr:row>
      <xdr:rowOff>138954</xdr:rowOff>
    </xdr:from>
    <xdr:to>
      <xdr:col>5</xdr:col>
      <xdr:colOff>44824</xdr:colOff>
      <xdr:row>99</xdr:row>
      <xdr:rowOff>13448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170330</xdr:colOff>
      <xdr:row>83</xdr:row>
      <xdr:rowOff>22411</xdr:rowOff>
    </xdr:from>
    <xdr:to>
      <xdr:col>9</xdr:col>
      <xdr:colOff>268941</xdr:colOff>
      <xdr:row>98</xdr:row>
      <xdr:rowOff>76199</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62754</xdr:colOff>
      <xdr:row>66</xdr:row>
      <xdr:rowOff>138954</xdr:rowOff>
    </xdr:from>
    <xdr:to>
      <xdr:col>11</xdr:col>
      <xdr:colOff>959225</xdr:colOff>
      <xdr:row>82</xdr:row>
      <xdr:rowOff>13448</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54564</xdr:colOff>
      <xdr:row>20</xdr:row>
      <xdr:rowOff>58231</xdr:rowOff>
    </xdr:from>
    <xdr:to>
      <xdr:col>2</xdr:col>
      <xdr:colOff>124692</xdr:colOff>
      <xdr:row>26</xdr:row>
      <xdr:rowOff>123714</xdr:rowOff>
    </xdr:to>
    <mc:AlternateContent xmlns:mc="http://schemas.openxmlformats.org/markup-compatibility/2006">
      <mc:Choice xmlns:a14="http://schemas.microsoft.com/office/drawing/2010/main" Requires="a14">
        <xdr:graphicFrame macro="">
          <xdr:nvGraphicFramePr>
            <xdr:cNvPr id="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4564" y="3753931"/>
              <a:ext cx="1396008" cy="1162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55416</xdr:colOff>
      <xdr:row>13</xdr:row>
      <xdr:rowOff>62342</xdr:rowOff>
    </xdr:from>
    <xdr:to>
      <xdr:col>2</xdr:col>
      <xdr:colOff>131616</xdr:colOff>
      <xdr:row>19</xdr:row>
      <xdr:rowOff>152397</xdr:rowOff>
    </xdr:to>
    <mc:AlternateContent xmlns:mc="http://schemas.openxmlformats.org/markup-compatibility/2006">
      <mc:Choice xmlns:a14="http://schemas.microsoft.com/office/drawing/2010/main" Requires="a14">
        <xdr:graphicFrame macro="">
          <xdr:nvGraphicFramePr>
            <xdr:cNvPr id="3" name="DistanceFromHome1 1"/>
            <xdr:cNvGraphicFramePr/>
          </xdr:nvGraphicFramePr>
          <xdr:xfrm>
            <a:off x="0" y="0"/>
            <a:ext cx="0" cy="0"/>
          </xdr:xfrm>
          <a:graphic>
            <a:graphicData uri="http://schemas.microsoft.com/office/drawing/2010/slicer">
              <sle:slicer xmlns:sle="http://schemas.microsoft.com/office/drawing/2010/slicer" name="DistanceFromHome1 1"/>
            </a:graphicData>
          </a:graphic>
        </xdr:graphicFrame>
      </mc:Choice>
      <mc:Fallback>
        <xdr:sp macro="" textlink="">
          <xdr:nvSpPr>
            <xdr:cNvPr id="0" name=""/>
            <xdr:cNvSpPr>
              <a:spLocks noTextEdit="1"/>
            </xdr:cNvSpPr>
          </xdr:nvSpPr>
          <xdr:spPr>
            <a:xfrm>
              <a:off x="55416" y="2477882"/>
              <a:ext cx="1402080" cy="118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69270</xdr:colOff>
      <xdr:row>3</xdr:row>
      <xdr:rowOff>158955</xdr:rowOff>
    </xdr:from>
    <xdr:to>
      <xdr:col>2</xdr:col>
      <xdr:colOff>150320</xdr:colOff>
      <xdr:row>8</xdr:row>
      <xdr:rowOff>15240</xdr:rowOff>
    </xdr:to>
    <mc:AlternateContent xmlns:mc="http://schemas.openxmlformats.org/markup-compatibility/2006">
      <mc:Choice xmlns:a14="http://schemas.microsoft.com/office/drawing/2010/main" Requires="a14">
        <xdr:graphicFrame macro="">
          <xdr:nvGraphicFramePr>
            <xdr:cNvPr id="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9270" y="616155"/>
              <a:ext cx="1406930" cy="9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62343</xdr:colOff>
      <xdr:row>8</xdr:row>
      <xdr:rowOff>83123</xdr:rowOff>
    </xdr:from>
    <xdr:to>
      <xdr:col>2</xdr:col>
      <xdr:colOff>138544</xdr:colOff>
      <xdr:row>12</xdr:row>
      <xdr:rowOff>145468</xdr:rowOff>
    </xdr:to>
    <mc:AlternateContent xmlns:mc="http://schemas.openxmlformats.org/markup-compatibility/2006">
      <mc:Choice xmlns:a14="http://schemas.microsoft.com/office/drawing/2010/main" Requires="a14">
        <xdr:graphicFrame macro="">
          <xdr:nvGraphicFramePr>
            <xdr:cNvPr id="6" name="OverTime 2"/>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dr:sp macro="" textlink="">
          <xdr:nvSpPr>
            <xdr:cNvPr id="0" name=""/>
            <xdr:cNvSpPr>
              <a:spLocks noTextEdit="1"/>
            </xdr:cNvSpPr>
          </xdr:nvSpPr>
          <xdr:spPr>
            <a:xfrm>
              <a:off x="62343" y="1584263"/>
              <a:ext cx="1402081" cy="793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221673</xdr:colOff>
      <xdr:row>5</xdr:row>
      <xdr:rowOff>164177</xdr:rowOff>
    </xdr:from>
    <xdr:to>
      <xdr:col>4</xdr:col>
      <xdr:colOff>784860</xdr:colOff>
      <xdr:row>16</xdr:row>
      <xdr:rowOff>15240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574963</xdr:colOff>
      <xdr:row>16</xdr:row>
      <xdr:rowOff>53340</xdr:rowOff>
    </xdr:from>
    <xdr:to>
      <xdr:col>8</xdr:col>
      <xdr:colOff>270165</xdr:colOff>
      <xdr:row>26</xdr:row>
      <xdr:rowOff>138545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16</xdr:row>
      <xdr:rowOff>60960</xdr:rowOff>
    </xdr:from>
    <xdr:to>
      <xdr:col>12</xdr:col>
      <xdr:colOff>571500</xdr:colOff>
      <xdr:row>26</xdr:row>
      <xdr:rowOff>121921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16</xdr:row>
      <xdr:rowOff>68580</xdr:rowOff>
    </xdr:from>
    <xdr:to>
      <xdr:col>5</xdr:col>
      <xdr:colOff>512618</xdr:colOff>
      <xdr:row>26</xdr:row>
      <xdr:rowOff>138546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304800</xdr:colOff>
      <xdr:row>5</xdr:row>
      <xdr:rowOff>148938</xdr:rowOff>
    </xdr:from>
    <xdr:to>
      <xdr:col>10</xdr:col>
      <xdr:colOff>906780</xdr:colOff>
      <xdr:row>16</xdr:row>
      <xdr:rowOff>15240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xdr:colOff>
      <xdr:row>16</xdr:row>
      <xdr:rowOff>60960</xdr:rowOff>
    </xdr:from>
    <xdr:to>
      <xdr:col>16</xdr:col>
      <xdr:colOff>14548</xdr:colOff>
      <xdr:row>26</xdr:row>
      <xdr:rowOff>114300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967740</xdr:colOff>
      <xdr:row>5</xdr:row>
      <xdr:rowOff>151013</xdr:rowOff>
    </xdr:from>
    <xdr:to>
      <xdr:col>13</xdr:col>
      <xdr:colOff>449580</xdr:colOff>
      <xdr:row>16</xdr:row>
      <xdr:rowOff>7620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843743</xdr:colOff>
      <xdr:row>5</xdr:row>
      <xdr:rowOff>158635</xdr:rowOff>
    </xdr:from>
    <xdr:to>
      <xdr:col>8</xdr:col>
      <xdr:colOff>259080</xdr:colOff>
      <xdr:row>16</xdr:row>
      <xdr:rowOff>15240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lnaz Zareei" refreshedDate="46226.976074768521" createdVersion="6" refreshedVersion="6" minRefreshableVersion="3" recordCount="1470">
  <cacheSource type="worksheet">
    <worksheetSource name="Table2"/>
  </cacheSource>
  <cacheFields count="34">
    <cacheField name="Age" numFmtId="0">
      <sharedItems count="4">
        <s v="36-45"/>
        <s v="46+"/>
        <s v="26-35"/>
        <s v="18-25"/>
      </sharedItems>
    </cacheField>
    <cacheField name="Attrition" numFmtId="0">
      <sharedItems containsSemiMixedTypes="0" containsString="0" containsNumber="1" containsInteger="1" minValue="0" maxValue="1" count="2">
        <n v="1"/>
        <n v="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DistanceFromHome1" numFmtId="0">
      <sharedItems count="3">
        <s v="short"/>
        <s v="medium"/>
        <s v="long"/>
      </sharedItems>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autoStart="0" autoEnd="0" startNum="1000" endNum="20000" groupInterval="3000"/>
        <groupItems count="9">
          <s v="&lt;1000"/>
          <s v="1000-3999"/>
          <s v="4000-6999"/>
          <s v="7000-9999"/>
          <s v="10000-12999"/>
          <s v="13000-15999"/>
          <s v="16000-18999"/>
          <s v="19000-21999"/>
          <s v="&gt;22000"/>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otalWorkingYears2" numFmtId="0">
      <sharedItems count="3">
        <s v="Mid (6-15)"/>
        <s v="Early (0-5)"/>
        <s v="Senior (16+)"/>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TenureBand" numFmtId="0">
      <sharedItems count="4">
        <s v="6-10"/>
        <s v="0-2"/>
        <s v="3-5"/>
        <s v="1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x v="0"/>
    <n v="1102"/>
    <x v="0"/>
    <n v="1"/>
    <x v="0"/>
    <n v="2"/>
    <s v="Life Sciences"/>
    <n v="1"/>
    <n v="2"/>
    <x v="0"/>
    <n v="94"/>
    <n v="3"/>
    <n v="2"/>
    <x v="0"/>
    <x v="0"/>
    <x v="0"/>
    <x v="0"/>
    <n v="19479"/>
    <n v="8"/>
    <x v="0"/>
    <n v="11"/>
    <n v="3"/>
    <n v="1"/>
    <x v="0"/>
    <n v="8"/>
    <x v="0"/>
    <n v="0"/>
    <n v="1"/>
    <x v="0"/>
    <n v="4"/>
    <n v="0"/>
    <n v="5"/>
  </r>
  <r>
    <x v="1"/>
    <x v="1"/>
    <x v="1"/>
    <n v="279"/>
    <x v="1"/>
    <n v="8"/>
    <x v="1"/>
    <n v="1"/>
    <s v="Life Sciences"/>
    <n v="2"/>
    <n v="3"/>
    <x v="1"/>
    <n v="61"/>
    <n v="2"/>
    <n v="2"/>
    <x v="1"/>
    <x v="1"/>
    <x v="1"/>
    <x v="1"/>
    <n v="24907"/>
    <n v="1"/>
    <x v="1"/>
    <n v="23"/>
    <n v="4"/>
    <n v="4"/>
    <x v="1"/>
    <n v="10"/>
    <x v="0"/>
    <n v="3"/>
    <n v="3"/>
    <x v="0"/>
    <n v="7"/>
    <n v="1"/>
    <n v="7"/>
  </r>
  <r>
    <x v="0"/>
    <x v="0"/>
    <x v="0"/>
    <n v="1373"/>
    <x v="1"/>
    <n v="2"/>
    <x v="0"/>
    <n v="2"/>
    <s v="Other"/>
    <n v="4"/>
    <n v="4"/>
    <x v="1"/>
    <n v="92"/>
    <n v="2"/>
    <n v="1"/>
    <x v="2"/>
    <x v="2"/>
    <x v="0"/>
    <x v="2"/>
    <n v="2396"/>
    <n v="6"/>
    <x v="0"/>
    <n v="15"/>
    <n v="3"/>
    <n v="2"/>
    <x v="0"/>
    <n v="7"/>
    <x v="0"/>
    <n v="3"/>
    <n v="3"/>
    <x v="1"/>
    <n v="0"/>
    <n v="0"/>
    <n v="0"/>
  </r>
  <r>
    <x v="2"/>
    <x v="1"/>
    <x v="1"/>
    <n v="1392"/>
    <x v="1"/>
    <n v="3"/>
    <x v="0"/>
    <n v="4"/>
    <s v="Life Sciences"/>
    <n v="5"/>
    <n v="4"/>
    <x v="0"/>
    <n v="56"/>
    <n v="3"/>
    <n v="1"/>
    <x v="1"/>
    <x v="2"/>
    <x v="1"/>
    <x v="3"/>
    <n v="23159"/>
    <n v="1"/>
    <x v="0"/>
    <n v="11"/>
    <n v="3"/>
    <n v="3"/>
    <x v="0"/>
    <n v="8"/>
    <x v="0"/>
    <n v="3"/>
    <n v="3"/>
    <x v="0"/>
    <n v="7"/>
    <n v="3"/>
    <n v="0"/>
  </r>
  <r>
    <x v="2"/>
    <x v="1"/>
    <x v="0"/>
    <n v="591"/>
    <x v="1"/>
    <n v="2"/>
    <x v="0"/>
    <n v="1"/>
    <s v="Medical"/>
    <n v="7"/>
    <n v="1"/>
    <x v="1"/>
    <n v="40"/>
    <n v="3"/>
    <n v="1"/>
    <x v="2"/>
    <x v="1"/>
    <x v="1"/>
    <x v="4"/>
    <n v="16632"/>
    <n v="9"/>
    <x v="1"/>
    <n v="12"/>
    <n v="3"/>
    <n v="4"/>
    <x v="1"/>
    <n v="6"/>
    <x v="0"/>
    <n v="3"/>
    <n v="3"/>
    <x v="1"/>
    <n v="2"/>
    <n v="2"/>
    <n v="2"/>
  </r>
  <r>
    <x v="2"/>
    <x v="1"/>
    <x v="1"/>
    <n v="1005"/>
    <x v="1"/>
    <n v="2"/>
    <x v="0"/>
    <n v="2"/>
    <s v="Life Sciences"/>
    <n v="8"/>
    <n v="4"/>
    <x v="1"/>
    <n v="79"/>
    <n v="3"/>
    <n v="1"/>
    <x v="2"/>
    <x v="0"/>
    <x v="0"/>
    <x v="5"/>
    <n v="11864"/>
    <n v="0"/>
    <x v="1"/>
    <n v="13"/>
    <n v="3"/>
    <n v="3"/>
    <x v="0"/>
    <n v="8"/>
    <x v="0"/>
    <n v="2"/>
    <n v="2"/>
    <x v="0"/>
    <n v="7"/>
    <n v="3"/>
    <n v="6"/>
  </r>
  <r>
    <x v="1"/>
    <x v="1"/>
    <x v="0"/>
    <n v="1324"/>
    <x v="1"/>
    <n v="3"/>
    <x v="0"/>
    <n v="3"/>
    <s v="Medical"/>
    <n v="10"/>
    <n v="3"/>
    <x v="0"/>
    <n v="81"/>
    <n v="4"/>
    <n v="1"/>
    <x v="2"/>
    <x v="3"/>
    <x v="1"/>
    <x v="6"/>
    <n v="9964"/>
    <n v="4"/>
    <x v="0"/>
    <n v="20"/>
    <n v="4"/>
    <n v="1"/>
    <x v="2"/>
    <n v="12"/>
    <x v="0"/>
    <n v="3"/>
    <n v="2"/>
    <x v="1"/>
    <n v="0"/>
    <n v="0"/>
    <n v="0"/>
  </r>
  <r>
    <x v="2"/>
    <x v="1"/>
    <x v="0"/>
    <n v="1358"/>
    <x v="1"/>
    <n v="24"/>
    <x v="2"/>
    <n v="1"/>
    <s v="Life Sciences"/>
    <n v="11"/>
    <n v="4"/>
    <x v="1"/>
    <n v="67"/>
    <n v="3"/>
    <n v="1"/>
    <x v="2"/>
    <x v="2"/>
    <x v="2"/>
    <x v="7"/>
    <n v="13335"/>
    <n v="1"/>
    <x v="1"/>
    <n v="22"/>
    <n v="4"/>
    <n v="2"/>
    <x v="1"/>
    <n v="1"/>
    <x v="1"/>
    <n v="2"/>
    <n v="3"/>
    <x v="1"/>
    <n v="0"/>
    <n v="0"/>
    <n v="0"/>
  </r>
  <r>
    <x v="0"/>
    <x v="1"/>
    <x v="1"/>
    <n v="216"/>
    <x v="1"/>
    <n v="23"/>
    <x v="2"/>
    <n v="3"/>
    <s v="Life Sciences"/>
    <n v="12"/>
    <n v="4"/>
    <x v="1"/>
    <n v="44"/>
    <n v="2"/>
    <n v="3"/>
    <x v="3"/>
    <x v="2"/>
    <x v="0"/>
    <x v="8"/>
    <n v="8787"/>
    <n v="0"/>
    <x v="1"/>
    <n v="21"/>
    <n v="4"/>
    <n v="2"/>
    <x v="0"/>
    <n v="10"/>
    <x v="0"/>
    <n v="2"/>
    <n v="3"/>
    <x v="0"/>
    <n v="7"/>
    <n v="1"/>
    <n v="8"/>
  </r>
  <r>
    <x v="0"/>
    <x v="1"/>
    <x v="0"/>
    <n v="1299"/>
    <x v="1"/>
    <n v="27"/>
    <x v="2"/>
    <n v="3"/>
    <s v="Medical"/>
    <n v="13"/>
    <n v="3"/>
    <x v="1"/>
    <n v="94"/>
    <n v="3"/>
    <n v="2"/>
    <x v="4"/>
    <x v="2"/>
    <x v="1"/>
    <x v="9"/>
    <n v="16577"/>
    <n v="6"/>
    <x v="1"/>
    <n v="13"/>
    <n v="3"/>
    <n v="2"/>
    <x v="3"/>
    <n v="17"/>
    <x v="2"/>
    <n v="3"/>
    <n v="2"/>
    <x v="0"/>
    <n v="7"/>
    <n v="7"/>
    <n v="7"/>
  </r>
  <r>
    <x v="2"/>
    <x v="1"/>
    <x v="0"/>
    <n v="809"/>
    <x v="1"/>
    <n v="16"/>
    <x v="2"/>
    <n v="3"/>
    <s v="Medical"/>
    <n v="14"/>
    <n v="1"/>
    <x v="1"/>
    <n v="84"/>
    <n v="4"/>
    <n v="1"/>
    <x v="2"/>
    <x v="1"/>
    <x v="1"/>
    <x v="10"/>
    <n v="16479"/>
    <n v="0"/>
    <x v="1"/>
    <n v="13"/>
    <n v="3"/>
    <n v="3"/>
    <x v="1"/>
    <n v="6"/>
    <x v="0"/>
    <n v="5"/>
    <n v="3"/>
    <x v="2"/>
    <n v="4"/>
    <n v="0"/>
    <n v="3"/>
  </r>
  <r>
    <x v="2"/>
    <x v="1"/>
    <x v="0"/>
    <n v="153"/>
    <x v="1"/>
    <n v="15"/>
    <x v="1"/>
    <n v="2"/>
    <s v="Life Sciences"/>
    <n v="15"/>
    <n v="4"/>
    <x v="0"/>
    <n v="49"/>
    <n v="2"/>
    <n v="2"/>
    <x v="2"/>
    <x v="2"/>
    <x v="0"/>
    <x v="11"/>
    <n v="12682"/>
    <n v="0"/>
    <x v="0"/>
    <n v="12"/>
    <n v="3"/>
    <n v="4"/>
    <x v="0"/>
    <n v="10"/>
    <x v="0"/>
    <n v="3"/>
    <n v="3"/>
    <x v="0"/>
    <n v="5"/>
    <n v="0"/>
    <n v="8"/>
  </r>
  <r>
    <x v="2"/>
    <x v="1"/>
    <x v="0"/>
    <n v="670"/>
    <x v="1"/>
    <n v="26"/>
    <x v="2"/>
    <n v="1"/>
    <s v="Life Sciences"/>
    <n v="16"/>
    <n v="1"/>
    <x v="1"/>
    <n v="31"/>
    <n v="3"/>
    <n v="1"/>
    <x v="1"/>
    <x v="2"/>
    <x v="2"/>
    <x v="12"/>
    <n v="15170"/>
    <n v="1"/>
    <x v="1"/>
    <n v="17"/>
    <n v="3"/>
    <n v="4"/>
    <x v="1"/>
    <n v="5"/>
    <x v="1"/>
    <n v="1"/>
    <n v="2"/>
    <x v="2"/>
    <n v="2"/>
    <n v="4"/>
    <n v="3"/>
  </r>
  <r>
    <x v="2"/>
    <x v="1"/>
    <x v="0"/>
    <n v="1346"/>
    <x v="1"/>
    <n v="19"/>
    <x v="2"/>
    <n v="2"/>
    <s v="Medical"/>
    <n v="18"/>
    <n v="2"/>
    <x v="1"/>
    <n v="93"/>
    <n v="3"/>
    <n v="1"/>
    <x v="2"/>
    <x v="0"/>
    <x v="2"/>
    <x v="13"/>
    <n v="8758"/>
    <n v="0"/>
    <x v="1"/>
    <n v="11"/>
    <n v="3"/>
    <n v="3"/>
    <x v="1"/>
    <n v="3"/>
    <x v="1"/>
    <n v="2"/>
    <n v="3"/>
    <x v="1"/>
    <n v="2"/>
    <n v="1"/>
    <n v="2"/>
  </r>
  <r>
    <x v="2"/>
    <x v="0"/>
    <x v="0"/>
    <n v="103"/>
    <x v="1"/>
    <n v="24"/>
    <x v="2"/>
    <n v="3"/>
    <s v="Life Sciences"/>
    <n v="19"/>
    <n v="3"/>
    <x v="1"/>
    <n v="50"/>
    <n v="2"/>
    <n v="1"/>
    <x v="2"/>
    <x v="2"/>
    <x v="0"/>
    <x v="14"/>
    <n v="12947"/>
    <n v="5"/>
    <x v="0"/>
    <n v="14"/>
    <n v="3"/>
    <n v="2"/>
    <x v="0"/>
    <n v="6"/>
    <x v="0"/>
    <n v="4"/>
    <n v="3"/>
    <x v="2"/>
    <n v="2"/>
    <n v="0"/>
    <n v="3"/>
  </r>
  <r>
    <x v="2"/>
    <x v="1"/>
    <x v="0"/>
    <n v="1389"/>
    <x v="1"/>
    <n v="21"/>
    <x v="2"/>
    <n v="4"/>
    <s v="Life Sciences"/>
    <n v="20"/>
    <n v="2"/>
    <x v="0"/>
    <n v="51"/>
    <n v="4"/>
    <n v="3"/>
    <x v="3"/>
    <x v="3"/>
    <x v="2"/>
    <x v="15"/>
    <n v="10195"/>
    <n v="1"/>
    <x v="1"/>
    <n v="11"/>
    <n v="3"/>
    <n v="3"/>
    <x v="1"/>
    <n v="10"/>
    <x v="0"/>
    <n v="1"/>
    <n v="3"/>
    <x v="0"/>
    <n v="9"/>
    <n v="8"/>
    <n v="8"/>
  </r>
  <r>
    <x v="2"/>
    <x v="1"/>
    <x v="0"/>
    <n v="334"/>
    <x v="1"/>
    <n v="5"/>
    <x v="0"/>
    <n v="2"/>
    <s v="Life Sciences"/>
    <n v="21"/>
    <n v="1"/>
    <x v="1"/>
    <n v="80"/>
    <n v="4"/>
    <n v="1"/>
    <x v="1"/>
    <x v="1"/>
    <x v="2"/>
    <x v="16"/>
    <n v="15053"/>
    <n v="0"/>
    <x v="0"/>
    <n v="12"/>
    <n v="3"/>
    <n v="4"/>
    <x v="3"/>
    <n v="7"/>
    <x v="0"/>
    <n v="5"/>
    <n v="2"/>
    <x v="0"/>
    <n v="2"/>
    <n v="0"/>
    <n v="5"/>
  </r>
  <r>
    <x v="3"/>
    <x v="1"/>
    <x v="2"/>
    <n v="1123"/>
    <x v="1"/>
    <n v="16"/>
    <x v="2"/>
    <n v="2"/>
    <s v="Medical"/>
    <n v="22"/>
    <n v="4"/>
    <x v="1"/>
    <n v="96"/>
    <n v="4"/>
    <n v="1"/>
    <x v="2"/>
    <x v="0"/>
    <x v="2"/>
    <x v="17"/>
    <n v="7324"/>
    <n v="1"/>
    <x v="0"/>
    <n v="13"/>
    <n v="3"/>
    <n v="2"/>
    <x v="3"/>
    <n v="1"/>
    <x v="1"/>
    <n v="2"/>
    <n v="2"/>
    <x v="1"/>
    <n v="0"/>
    <n v="0"/>
    <n v="0"/>
  </r>
  <r>
    <x v="1"/>
    <x v="1"/>
    <x v="0"/>
    <n v="1219"/>
    <x v="0"/>
    <n v="2"/>
    <x v="0"/>
    <n v="4"/>
    <s v="Life Sciences"/>
    <n v="23"/>
    <n v="1"/>
    <x v="0"/>
    <n v="78"/>
    <n v="2"/>
    <n v="4"/>
    <x v="5"/>
    <x v="0"/>
    <x v="1"/>
    <x v="18"/>
    <n v="22021"/>
    <n v="2"/>
    <x v="1"/>
    <n v="16"/>
    <n v="3"/>
    <n v="3"/>
    <x v="0"/>
    <n v="31"/>
    <x v="2"/>
    <n v="3"/>
    <n v="3"/>
    <x v="3"/>
    <n v="8"/>
    <n v="3"/>
    <n v="7"/>
  </r>
  <r>
    <x v="0"/>
    <x v="1"/>
    <x v="0"/>
    <n v="371"/>
    <x v="1"/>
    <n v="2"/>
    <x v="0"/>
    <n v="3"/>
    <s v="Life Sciences"/>
    <n v="24"/>
    <n v="4"/>
    <x v="1"/>
    <n v="45"/>
    <n v="3"/>
    <n v="1"/>
    <x v="1"/>
    <x v="0"/>
    <x v="0"/>
    <x v="19"/>
    <n v="4306"/>
    <n v="5"/>
    <x v="0"/>
    <n v="11"/>
    <n v="3"/>
    <n v="3"/>
    <x v="0"/>
    <n v="6"/>
    <x v="0"/>
    <n v="3"/>
    <n v="3"/>
    <x v="2"/>
    <n v="2"/>
    <n v="1"/>
    <n v="2"/>
  </r>
  <r>
    <x v="3"/>
    <x v="1"/>
    <x v="2"/>
    <n v="673"/>
    <x v="1"/>
    <n v="11"/>
    <x v="1"/>
    <n v="2"/>
    <s v="Other"/>
    <n v="26"/>
    <n v="1"/>
    <x v="0"/>
    <n v="96"/>
    <n v="4"/>
    <n v="2"/>
    <x v="3"/>
    <x v="2"/>
    <x v="2"/>
    <x v="20"/>
    <n v="8232"/>
    <n v="0"/>
    <x v="1"/>
    <n v="18"/>
    <n v="3"/>
    <n v="4"/>
    <x v="1"/>
    <n v="5"/>
    <x v="1"/>
    <n v="5"/>
    <n v="2"/>
    <x v="2"/>
    <n v="2"/>
    <n v="1"/>
    <n v="3"/>
  </r>
  <r>
    <x v="0"/>
    <x v="0"/>
    <x v="0"/>
    <n v="1218"/>
    <x v="0"/>
    <n v="9"/>
    <x v="1"/>
    <n v="4"/>
    <s v="Life Sciences"/>
    <n v="27"/>
    <n v="3"/>
    <x v="1"/>
    <n v="82"/>
    <n v="2"/>
    <n v="1"/>
    <x v="6"/>
    <x v="3"/>
    <x v="0"/>
    <x v="21"/>
    <n v="6986"/>
    <n v="7"/>
    <x v="1"/>
    <n v="23"/>
    <n v="4"/>
    <n v="2"/>
    <x v="0"/>
    <n v="10"/>
    <x v="0"/>
    <n v="4"/>
    <n v="3"/>
    <x v="2"/>
    <n v="3"/>
    <n v="0"/>
    <n v="3"/>
  </r>
  <r>
    <x v="2"/>
    <x v="1"/>
    <x v="0"/>
    <n v="419"/>
    <x v="1"/>
    <n v="7"/>
    <x v="1"/>
    <n v="4"/>
    <s v="Life Sciences"/>
    <n v="28"/>
    <n v="1"/>
    <x v="0"/>
    <n v="53"/>
    <n v="3"/>
    <n v="3"/>
    <x v="7"/>
    <x v="1"/>
    <x v="0"/>
    <x v="22"/>
    <n v="21293"/>
    <n v="0"/>
    <x v="1"/>
    <n v="11"/>
    <n v="3"/>
    <n v="3"/>
    <x v="0"/>
    <n v="13"/>
    <x v="0"/>
    <n v="4"/>
    <n v="3"/>
    <x v="3"/>
    <n v="6"/>
    <n v="2"/>
    <n v="11"/>
  </r>
  <r>
    <x v="3"/>
    <x v="1"/>
    <x v="0"/>
    <n v="391"/>
    <x v="1"/>
    <n v="15"/>
    <x v="1"/>
    <n v="2"/>
    <s v="Life Sciences"/>
    <n v="30"/>
    <n v="3"/>
    <x v="1"/>
    <n v="96"/>
    <n v="3"/>
    <n v="1"/>
    <x v="1"/>
    <x v="0"/>
    <x v="0"/>
    <x v="23"/>
    <n v="19281"/>
    <n v="1"/>
    <x v="1"/>
    <n v="14"/>
    <n v="3"/>
    <n v="4"/>
    <x v="0"/>
    <n v="0"/>
    <x v="1"/>
    <n v="6"/>
    <n v="3"/>
    <x v="1"/>
    <n v="0"/>
    <n v="0"/>
    <n v="0"/>
  </r>
  <r>
    <x v="2"/>
    <x v="0"/>
    <x v="0"/>
    <n v="699"/>
    <x v="1"/>
    <n v="6"/>
    <x v="1"/>
    <n v="1"/>
    <s v="Medical"/>
    <n v="31"/>
    <n v="2"/>
    <x v="1"/>
    <n v="83"/>
    <n v="3"/>
    <n v="1"/>
    <x v="1"/>
    <x v="3"/>
    <x v="0"/>
    <x v="24"/>
    <n v="17102"/>
    <n v="2"/>
    <x v="1"/>
    <n v="11"/>
    <n v="3"/>
    <n v="3"/>
    <x v="0"/>
    <n v="8"/>
    <x v="0"/>
    <n v="2"/>
    <n v="3"/>
    <x v="2"/>
    <n v="2"/>
    <n v="1"/>
    <n v="3"/>
  </r>
  <r>
    <x v="1"/>
    <x v="1"/>
    <x v="0"/>
    <n v="1282"/>
    <x v="1"/>
    <n v="5"/>
    <x v="0"/>
    <n v="3"/>
    <s v="Other"/>
    <n v="32"/>
    <n v="3"/>
    <x v="0"/>
    <n v="58"/>
    <n v="3"/>
    <n v="5"/>
    <x v="5"/>
    <x v="2"/>
    <x v="2"/>
    <x v="25"/>
    <n v="10735"/>
    <n v="4"/>
    <x v="1"/>
    <n v="11"/>
    <n v="3"/>
    <n v="4"/>
    <x v="1"/>
    <n v="26"/>
    <x v="2"/>
    <n v="3"/>
    <n v="2"/>
    <x v="3"/>
    <n v="13"/>
    <n v="4"/>
    <n v="8"/>
  </r>
  <r>
    <x v="2"/>
    <x v="0"/>
    <x v="1"/>
    <n v="1125"/>
    <x v="1"/>
    <n v="16"/>
    <x v="2"/>
    <n v="1"/>
    <s v="Life Sciences"/>
    <n v="33"/>
    <n v="2"/>
    <x v="0"/>
    <n v="72"/>
    <n v="1"/>
    <n v="1"/>
    <x v="1"/>
    <x v="3"/>
    <x v="0"/>
    <x v="26"/>
    <n v="4681"/>
    <n v="1"/>
    <x v="0"/>
    <n v="22"/>
    <n v="4"/>
    <n v="2"/>
    <x v="0"/>
    <n v="10"/>
    <x v="0"/>
    <n v="5"/>
    <n v="3"/>
    <x v="0"/>
    <n v="2"/>
    <n v="6"/>
    <n v="7"/>
  </r>
  <r>
    <x v="0"/>
    <x v="1"/>
    <x v="0"/>
    <n v="691"/>
    <x v="0"/>
    <n v="8"/>
    <x v="1"/>
    <n v="4"/>
    <s v="Marketing"/>
    <n v="35"/>
    <n v="3"/>
    <x v="1"/>
    <n v="48"/>
    <n v="3"/>
    <n v="2"/>
    <x v="0"/>
    <x v="1"/>
    <x v="1"/>
    <x v="27"/>
    <n v="21173"/>
    <n v="0"/>
    <x v="1"/>
    <n v="11"/>
    <n v="3"/>
    <n v="4"/>
    <x v="1"/>
    <n v="10"/>
    <x v="0"/>
    <n v="2"/>
    <n v="3"/>
    <x v="0"/>
    <n v="7"/>
    <n v="4"/>
    <n v="2"/>
  </r>
  <r>
    <x v="0"/>
    <x v="1"/>
    <x v="0"/>
    <n v="477"/>
    <x v="1"/>
    <n v="7"/>
    <x v="1"/>
    <n v="4"/>
    <s v="Medical"/>
    <n v="36"/>
    <n v="1"/>
    <x v="0"/>
    <n v="42"/>
    <n v="2"/>
    <n v="3"/>
    <x v="4"/>
    <x v="0"/>
    <x v="1"/>
    <x v="28"/>
    <n v="2094"/>
    <n v="3"/>
    <x v="1"/>
    <n v="14"/>
    <n v="3"/>
    <n v="4"/>
    <x v="1"/>
    <n v="24"/>
    <x v="2"/>
    <n v="4"/>
    <n v="3"/>
    <x v="3"/>
    <n v="6"/>
    <n v="5"/>
    <n v="17"/>
  </r>
  <r>
    <x v="1"/>
    <x v="1"/>
    <x v="0"/>
    <n v="705"/>
    <x v="0"/>
    <n v="2"/>
    <x v="0"/>
    <n v="4"/>
    <s v="Marketing"/>
    <n v="38"/>
    <n v="2"/>
    <x v="0"/>
    <n v="83"/>
    <n v="3"/>
    <n v="5"/>
    <x v="5"/>
    <x v="3"/>
    <x v="0"/>
    <x v="29"/>
    <n v="22822"/>
    <n v="3"/>
    <x v="1"/>
    <n v="12"/>
    <n v="3"/>
    <n v="4"/>
    <x v="0"/>
    <n v="22"/>
    <x v="2"/>
    <n v="2"/>
    <n v="2"/>
    <x v="1"/>
    <n v="2"/>
    <n v="2"/>
    <n v="1"/>
  </r>
  <r>
    <x v="2"/>
    <x v="1"/>
    <x v="0"/>
    <n v="924"/>
    <x v="1"/>
    <n v="2"/>
    <x v="0"/>
    <n v="3"/>
    <s v="Medical"/>
    <n v="39"/>
    <n v="3"/>
    <x v="1"/>
    <n v="78"/>
    <n v="3"/>
    <n v="1"/>
    <x v="2"/>
    <x v="0"/>
    <x v="0"/>
    <x v="30"/>
    <n v="6670"/>
    <n v="4"/>
    <x v="1"/>
    <n v="11"/>
    <n v="3"/>
    <n v="4"/>
    <x v="0"/>
    <n v="7"/>
    <x v="0"/>
    <n v="3"/>
    <n v="3"/>
    <x v="1"/>
    <n v="1"/>
    <n v="0"/>
    <n v="0"/>
  </r>
  <r>
    <x v="0"/>
    <x v="1"/>
    <x v="0"/>
    <n v="1459"/>
    <x v="1"/>
    <n v="10"/>
    <x v="1"/>
    <n v="4"/>
    <s v="Other"/>
    <n v="40"/>
    <n v="4"/>
    <x v="1"/>
    <n v="41"/>
    <n v="3"/>
    <n v="2"/>
    <x v="4"/>
    <x v="0"/>
    <x v="1"/>
    <x v="31"/>
    <n v="19121"/>
    <n v="2"/>
    <x v="0"/>
    <n v="13"/>
    <n v="3"/>
    <n v="4"/>
    <x v="0"/>
    <n v="9"/>
    <x v="0"/>
    <n v="5"/>
    <n v="4"/>
    <x v="2"/>
    <n v="2"/>
    <n v="1"/>
    <n v="3"/>
  </r>
  <r>
    <x v="2"/>
    <x v="1"/>
    <x v="0"/>
    <n v="125"/>
    <x v="1"/>
    <n v="9"/>
    <x v="1"/>
    <n v="2"/>
    <s v="Medical"/>
    <n v="41"/>
    <n v="4"/>
    <x v="1"/>
    <n v="83"/>
    <n v="2"/>
    <n v="1"/>
    <x v="2"/>
    <x v="2"/>
    <x v="0"/>
    <x v="32"/>
    <n v="16117"/>
    <n v="1"/>
    <x v="1"/>
    <n v="13"/>
    <n v="3"/>
    <n v="1"/>
    <x v="0"/>
    <n v="10"/>
    <x v="0"/>
    <n v="5"/>
    <n v="3"/>
    <x v="0"/>
    <n v="0"/>
    <n v="1"/>
    <n v="8"/>
  </r>
  <r>
    <x v="0"/>
    <x v="0"/>
    <x v="0"/>
    <n v="895"/>
    <x v="0"/>
    <n v="5"/>
    <x v="0"/>
    <n v="3"/>
    <s v="Technical Degree"/>
    <n v="42"/>
    <n v="4"/>
    <x v="1"/>
    <n v="56"/>
    <n v="3"/>
    <n v="2"/>
    <x v="6"/>
    <x v="0"/>
    <x v="1"/>
    <x v="33"/>
    <n v="3335"/>
    <n v="3"/>
    <x v="1"/>
    <n v="14"/>
    <n v="3"/>
    <n v="3"/>
    <x v="1"/>
    <n v="19"/>
    <x v="2"/>
    <n v="6"/>
    <n v="4"/>
    <x v="1"/>
    <n v="0"/>
    <n v="0"/>
    <n v="0"/>
  </r>
  <r>
    <x v="3"/>
    <x v="0"/>
    <x v="0"/>
    <n v="813"/>
    <x v="1"/>
    <n v="1"/>
    <x v="0"/>
    <n v="3"/>
    <s v="Medical"/>
    <n v="45"/>
    <n v="2"/>
    <x v="1"/>
    <n v="61"/>
    <n v="3"/>
    <n v="1"/>
    <x v="1"/>
    <x v="0"/>
    <x v="1"/>
    <x v="34"/>
    <n v="3020"/>
    <n v="2"/>
    <x v="0"/>
    <n v="16"/>
    <n v="3"/>
    <n v="1"/>
    <x v="1"/>
    <n v="6"/>
    <x v="0"/>
    <n v="2"/>
    <n v="2"/>
    <x v="1"/>
    <n v="0"/>
    <n v="2"/>
    <n v="0"/>
  </r>
  <r>
    <x v="0"/>
    <x v="1"/>
    <x v="0"/>
    <n v="1273"/>
    <x v="1"/>
    <n v="2"/>
    <x v="0"/>
    <n v="2"/>
    <s v="Medical"/>
    <n v="46"/>
    <n v="4"/>
    <x v="0"/>
    <n v="72"/>
    <n v="4"/>
    <n v="1"/>
    <x v="1"/>
    <x v="2"/>
    <x v="2"/>
    <x v="35"/>
    <n v="21923"/>
    <n v="1"/>
    <x v="1"/>
    <n v="12"/>
    <n v="3"/>
    <n v="4"/>
    <x v="3"/>
    <n v="6"/>
    <x v="0"/>
    <n v="3"/>
    <n v="2"/>
    <x v="2"/>
    <n v="3"/>
    <n v="1"/>
    <n v="4"/>
  </r>
  <r>
    <x v="1"/>
    <x v="0"/>
    <x v="0"/>
    <n v="869"/>
    <x v="0"/>
    <n v="3"/>
    <x v="0"/>
    <n v="2"/>
    <s v="Marketing"/>
    <n v="47"/>
    <n v="1"/>
    <x v="1"/>
    <n v="86"/>
    <n v="2"/>
    <n v="1"/>
    <x v="6"/>
    <x v="2"/>
    <x v="1"/>
    <x v="36"/>
    <n v="3810"/>
    <n v="1"/>
    <x v="0"/>
    <n v="14"/>
    <n v="3"/>
    <n v="3"/>
    <x v="0"/>
    <n v="3"/>
    <x v="1"/>
    <n v="2"/>
    <n v="3"/>
    <x v="2"/>
    <n v="2"/>
    <n v="0"/>
    <n v="2"/>
  </r>
  <r>
    <x v="2"/>
    <x v="1"/>
    <x v="0"/>
    <n v="890"/>
    <x v="0"/>
    <n v="2"/>
    <x v="0"/>
    <n v="3"/>
    <s v="Marketing"/>
    <n v="49"/>
    <n v="4"/>
    <x v="0"/>
    <n v="97"/>
    <n v="3"/>
    <n v="1"/>
    <x v="6"/>
    <x v="0"/>
    <x v="1"/>
    <x v="37"/>
    <n v="9687"/>
    <n v="1"/>
    <x v="1"/>
    <n v="13"/>
    <n v="3"/>
    <n v="1"/>
    <x v="0"/>
    <n v="2"/>
    <x v="1"/>
    <n v="3"/>
    <n v="3"/>
    <x v="1"/>
    <n v="2"/>
    <n v="2"/>
    <n v="2"/>
  </r>
  <r>
    <x v="0"/>
    <x v="1"/>
    <x v="0"/>
    <n v="852"/>
    <x v="1"/>
    <n v="5"/>
    <x v="0"/>
    <n v="4"/>
    <s v="Life Sciences"/>
    <n v="51"/>
    <n v="2"/>
    <x v="0"/>
    <n v="82"/>
    <n v="2"/>
    <n v="1"/>
    <x v="1"/>
    <x v="3"/>
    <x v="1"/>
    <x v="38"/>
    <n v="13072"/>
    <n v="9"/>
    <x v="0"/>
    <n v="14"/>
    <n v="3"/>
    <n v="4"/>
    <x v="1"/>
    <n v="6"/>
    <x v="0"/>
    <n v="3"/>
    <n v="4"/>
    <x v="1"/>
    <n v="1"/>
    <n v="0"/>
    <n v="0"/>
  </r>
  <r>
    <x v="2"/>
    <x v="1"/>
    <x v="1"/>
    <n v="1141"/>
    <x v="0"/>
    <n v="1"/>
    <x v="0"/>
    <n v="3"/>
    <s v="Life Sciences"/>
    <n v="52"/>
    <n v="3"/>
    <x v="0"/>
    <n v="42"/>
    <n v="4"/>
    <n v="2"/>
    <x v="0"/>
    <x v="3"/>
    <x v="1"/>
    <x v="39"/>
    <n v="3193"/>
    <n v="2"/>
    <x v="1"/>
    <n v="19"/>
    <n v="3"/>
    <n v="1"/>
    <x v="3"/>
    <n v="10"/>
    <x v="0"/>
    <n v="3"/>
    <n v="3"/>
    <x v="2"/>
    <n v="3"/>
    <n v="1"/>
    <n v="3"/>
  </r>
  <r>
    <x v="2"/>
    <x v="1"/>
    <x v="0"/>
    <n v="464"/>
    <x v="1"/>
    <n v="4"/>
    <x v="0"/>
    <n v="2"/>
    <s v="Other"/>
    <n v="53"/>
    <n v="3"/>
    <x v="1"/>
    <n v="75"/>
    <n v="3"/>
    <n v="1"/>
    <x v="2"/>
    <x v="0"/>
    <x v="2"/>
    <x v="40"/>
    <n v="10910"/>
    <n v="1"/>
    <x v="1"/>
    <n v="12"/>
    <n v="3"/>
    <n v="3"/>
    <x v="1"/>
    <n v="1"/>
    <x v="1"/>
    <n v="3"/>
    <n v="3"/>
    <x v="1"/>
    <n v="0"/>
    <n v="0"/>
    <n v="0"/>
  </r>
  <r>
    <x v="2"/>
    <x v="1"/>
    <x v="0"/>
    <n v="1240"/>
    <x v="1"/>
    <n v="2"/>
    <x v="0"/>
    <n v="4"/>
    <s v="Life Sciences"/>
    <n v="54"/>
    <n v="4"/>
    <x v="0"/>
    <n v="33"/>
    <n v="3"/>
    <n v="1"/>
    <x v="2"/>
    <x v="3"/>
    <x v="2"/>
    <x v="41"/>
    <n v="19715"/>
    <n v="1"/>
    <x v="1"/>
    <n v="13"/>
    <n v="3"/>
    <n v="4"/>
    <x v="1"/>
    <n v="1"/>
    <x v="1"/>
    <n v="6"/>
    <n v="3"/>
    <x v="1"/>
    <n v="0"/>
    <n v="0"/>
    <n v="0"/>
  </r>
  <r>
    <x v="2"/>
    <x v="0"/>
    <x v="0"/>
    <n v="1357"/>
    <x v="1"/>
    <n v="25"/>
    <x v="2"/>
    <n v="3"/>
    <s v="Life Sciences"/>
    <n v="55"/>
    <n v="1"/>
    <x v="1"/>
    <n v="48"/>
    <n v="1"/>
    <n v="1"/>
    <x v="2"/>
    <x v="2"/>
    <x v="0"/>
    <x v="34"/>
    <n v="10558"/>
    <n v="1"/>
    <x v="1"/>
    <n v="12"/>
    <n v="3"/>
    <n v="3"/>
    <x v="0"/>
    <n v="1"/>
    <x v="1"/>
    <n v="2"/>
    <n v="2"/>
    <x v="1"/>
    <n v="0"/>
    <n v="0"/>
    <n v="1"/>
  </r>
  <r>
    <x v="2"/>
    <x v="1"/>
    <x v="1"/>
    <n v="994"/>
    <x v="0"/>
    <n v="8"/>
    <x v="1"/>
    <n v="3"/>
    <s v="Life Sciences"/>
    <n v="56"/>
    <n v="4"/>
    <x v="1"/>
    <n v="37"/>
    <n v="3"/>
    <n v="3"/>
    <x v="0"/>
    <x v="2"/>
    <x v="0"/>
    <x v="42"/>
    <n v="2975"/>
    <n v="1"/>
    <x v="1"/>
    <n v="15"/>
    <n v="3"/>
    <n v="4"/>
    <x v="0"/>
    <n v="9"/>
    <x v="0"/>
    <n v="0"/>
    <n v="3"/>
    <x v="0"/>
    <n v="8"/>
    <n v="1"/>
    <n v="7"/>
  </r>
  <r>
    <x v="2"/>
    <x v="1"/>
    <x v="1"/>
    <n v="721"/>
    <x v="1"/>
    <n v="1"/>
    <x v="0"/>
    <n v="2"/>
    <s v="Medical"/>
    <n v="57"/>
    <n v="3"/>
    <x v="0"/>
    <n v="58"/>
    <n v="3"/>
    <n v="2"/>
    <x v="2"/>
    <x v="0"/>
    <x v="0"/>
    <x v="20"/>
    <n v="10781"/>
    <n v="1"/>
    <x v="1"/>
    <n v="23"/>
    <n v="4"/>
    <n v="4"/>
    <x v="0"/>
    <n v="12"/>
    <x v="0"/>
    <n v="2"/>
    <n v="3"/>
    <x v="3"/>
    <n v="8"/>
    <n v="3"/>
    <n v="7"/>
  </r>
  <r>
    <x v="0"/>
    <x v="0"/>
    <x v="0"/>
    <n v="1360"/>
    <x v="1"/>
    <n v="12"/>
    <x v="1"/>
    <n v="3"/>
    <s v="Technical Degree"/>
    <n v="58"/>
    <n v="2"/>
    <x v="0"/>
    <n v="49"/>
    <n v="3"/>
    <n v="5"/>
    <x v="7"/>
    <x v="2"/>
    <x v="1"/>
    <x v="43"/>
    <n v="16280"/>
    <n v="1"/>
    <x v="1"/>
    <n v="12"/>
    <n v="3"/>
    <n v="4"/>
    <x v="0"/>
    <n v="23"/>
    <x v="2"/>
    <n v="0"/>
    <n v="3"/>
    <x v="3"/>
    <n v="15"/>
    <n v="15"/>
    <n v="8"/>
  </r>
  <r>
    <x v="2"/>
    <x v="1"/>
    <x v="2"/>
    <n v="1065"/>
    <x v="0"/>
    <n v="23"/>
    <x v="2"/>
    <n v="4"/>
    <s v="Marketing"/>
    <n v="60"/>
    <n v="2"/>
    <x v="1"/>
    <n v="72"/>
    <n v="3"/>
    <n v="2"/>
    <x v="0"/>
    <x v="2"/>
    <x v="0"/>
    <x v="44"/>
    <n v="10034"/>
    <n v="0"/>
    <x v="1"/>
    <n v="20"/>
    <n v="4"/>
    <n v="3"/>
    <x v="0"/>
    <n v="10"/>
    <x v="0"/>
    <n v="2"/>
    <n v="3"/>
    <x v="0"/>
    <n v="5"/>
    <n v="8"/>
    <n v="7"/>
  </r>
  <r>
    <x v="0"/>
    <x v="1"/>
    <x v="0"/>
    <n v="408"/>
    <x v="1"/>
    <n v="19"/>
    <x v="2"/>
    <n v="2"/>
    <s v="Life Sciences"/>
    <n v="61"/>
    <n v="2"/>
    <x v="1"/>
    <n v="73"/>
    <n v="3"/>
    <n v="1"/>
    <x v="1"/>
    <x v="1"/>
    <x v="1"/>
    <x v="45"/>
    <n v="10227"/>
    <n v="4"/>
    <x v="1"/>
    <n v="21"/>
    <n v="4"/>
    <n v="1"/>
    <x v="0"/>
    <n v="8"/>
    <x v="0"/>
    <n v="1"/>
    <n v="3"/>
    <x v="1"/>
    <n v="0"/>
    <n v="0"/>
    <n v="0"/>
  </r>
  <r>
    <x v="1"/>
    <x v="1"/>
    <x v="1"/>
    <n v="1211"/>
    <x v="0"/>
    <n v="5"/>
    <x v="0"/>
    <n v="4"/>
    <s v="Marketing"/>
    <n v="62"/>
    <n v="1"/>
    <x v="1"/>
    <n v="98"/>
    <n v="3"/>
    <n v="2"/>
    <x v="0"/>
    <x v="0"/>
    <x v="0"/>
    <x v="46"/>
    <n v="20445"/>
    <n v="4"/>
    <x v="0"/>
    <n v="21"/>
    <n v="4"/>
    <n v="3"/>
    <x v="0"/>
    <n v="14"/>
    <x v="0"/>
    <n v="4"/>
    <n v="3"/>
    <x v="0"/>
    <n v="6"/>
    <n v="0"/>
    <n v="8"/>
  </r>
  <r>
    <x v="2"/>
    <x v="1"/>
    <x v="0"/>
    <n v="1229"/>
    <x v="1"/>
    <n v="8"/>
    <x v="1"/>
    <n v="1"/>
    <s v="Life Sciences"/>
    <n v="63"/>
    <n v="4"/>
    <x v="1"/>
    <n v="36"/>
    <n v="4"/>
    <n v="1"/>
    <x v="2"/>
    <x v="0"/>
    <x v="1"/>
    <x v="47"/>
    <n v="4892"/>
    <n v="1"/>
    <x v="1"/>
    <n v="19"/>
    <n v="3"/>
    <n v="4"/>
    <x v="0"/>
    <n v="1"/>
    <x v="1"/>
    <n v="2"/>
    <n v="3"/>
    <x v="1"/>
    <n v="0"/>
    <n v="0"/>
    <n v="1"/>
  </r>
  <r>
    <x v="1"/>
    <x v="0"/>
    <x v="0"/>
    <n v="626"/>
    <x v="1"/>
    <n v="1"/>
    <x v="0"/>
    <n v="2"/>
    <s v="Life Sciences"/>
    <n v="64"/>
    <n v="1"/>
    <x v="1"/>
    <n v="98"/>
    <n v="2"/>
    <n v="3"/>
    <x v="2"/>
    <x v="2"/>
    <x v="0"/>
    <x v="48"/>
    <n v="19294"/>
    <n v="9"/>
    <x v="0"/>
    <n v="13"/>
    <n v="3"/>
    <n v="4"/>
    <x v="0"/>
    <n v="23"/>
    <x v="2"/>
    <n v="2"/>
    <n v="3"/>
    <x v="1"/>
    <n v="0"/>
    <n v="0"/>
    <n v="0"/>
  </r>
  <r>
    <x v="2"/>
    <x v="0"/>
    <x v="0"/>
    <n v="1434"/>
    <x v="1"/>
    <n v="5"/>
    <x v="0"/>
    <n v="4"/>
    <s v="Technical Degree"/>
    <n v="65"/>
    <n v="3"/>
    <x v="1"/>
    <n v="50"/>
    <n v="3"/>
    <n v="1"/>
    <x v="2"/>
    <x v="2"/>
    <x v="0"/>
    <x v="49"/>
    <n v="11179"/>
    <n v="1"/>
    <x v="0"/>
    <n v="13"/>
    <n v="3"/>
    <n v="3"/>
    <x v="0"/>
    <n v="2"/>
    <x v="1"/>
    <n v="3"/>
    <n v="2"/>
    <x v="1"/>
    <n v="2"/>
    <n v="2"/>
    <n v="2"/>
  </r>
  <r>
    <x v="0"/>
    <x v="1"/>
    <x v="0"/>
    <n v="1488"/>
    <x v="0"/>
    <n v="1"/>
    <x v="0"/>
    <n v="5"/>
    <s v="Marketing"/>
    <n v="68"/>
    <n v="2"/>
    <x v="0"/>
    <n v="75"/>
    <n v="3"/>
    <n v="2"/>
    <x v="0"/>
    <x v="3"/>
    <x v="2"/>
    <x v="50"/>
    <n v="4009"/>
    <n v="5"/>
    <x v="0"/>
    <n v="21"/>
    <n v="4"/>
    <n v="3"/>
    <x v="1"/>
    <n v="9"/>
    <x v="0"/>
    <n v="2"/>
    <n v="2"/>
    <x v="2"/>
    <n v="3"/>
    <n v="1"/>
    <n v="3"/>
  </r>
  <r>
    <x v="2"/>
    <x v="1"/>
    <x v="2"/>
    <n v="1097"/>
    <x v="1"/>
    <n v="11"/>
    <x v="1"/>
    <n v="2"/>
    <s v="Medical"/>
    <n v="70"/>
    <n v="3"/>
    <x v="1"/>
    <n v="79"/>
    <n v="2"/>
    <n v="3"/>
    <x v="4"/>
    <x v="3"/>
    <x v="1"/>
    <x v="51"/>
    <n v="8302"/>
    <n v="2"/>
    <x v="0"/>
    <n v="13"/>
    <n v="3"/>
    <n v="3"/>
    <x v="1"/>
    <n v="10"/>
    <x v="0"/>
    <n v="3"/>
    <n v="3"/>
    <x v="2"/>
    <n v="0"/>
    <n v="2"/>
    <n v="3"/>
  </r>
  <r>
    <x v="2"/>
    <x v="1"/>
    <x v="0"/>
    <n v="1443"/>
    <x v="0"/>
    <n v="23"/>
    <x v="2"/>
    <n v="3"/>
    <s v="Marketing"/>
    <n v="72"/>
    <n v="3"/>
    <x v="0"/>
    <n v="47"/>
    <n v="2"/>
    <n v="2"/>
    <x v="0"/>
    <x v="0"/>
    <x v="1"/>
    <x v="52"/>
    <n v="21436"/>
    <n v="7"/>
    <x v="0"/>
    <n v="19"/>
    <n v="3"/>
    <n v="3"/>
    <x v="1"/>
    <n v="5"/>
    <x v="1"/>
    <n v="2"/>
    <n v="2"/>
    <x v="1"/>
    <n v="2"/>
    <n v="0"/>
    <n v="0"/>
  </r>
  <r>
    <x v="2"/>
    <x v="1"/>
    <x v="1"/>
    <n v="515"/>
    <x v="1"/>
    <n v="1"/>
    <x v="0"/>
    <n v="2"/>
    <s v="Life Sciences"/>
    <n v="73"/>
    <n v="1"/>
    <x v="0"/>
    <n v="98"/>
    <n v="3"/>
    <n v="3"/>
    <x v="7"/>
    <x v="0"/>
    <x v="0"/>
    <x v="53"/>
    <n v="15146"/>
    <n v="1"/>
    <x v="0"/>
    <n v="12"/>
    <n v="3"/>
    <n v="3"/>
    <x v="0"/>
    <n v="15"/>
    <x v="0"/>
    <n v="1"/>
    <n v="3"/>
    <x v="3"/>
    <n v="14"/>
    <n v="8"/>
    <n v="12"/>
  </r>
  <r>
    <x v="2"/>
    <x v="1"/>
    <x v="1"/>
    <n v="853"/>
    <x v="0"/>
    <n v="18"/>
    <x v="2"/>
    <n v="5"/>
    <s v="Life Sciences"/>
    <n v="74"/>
    <n v="2"/>
    <x v="1"/>
    <n v="71"/>
    <n v="3"/>
    <n v="3"/>
    <x v="0"/>
    <x v="3"/>
    <x v="1"/>
    <x v="54"/>
    <n v="11031"/>
    <n v="1"/>
    <x v="1"/>
    <n v="22"/>
    <n v="4"/>
    <n v="4"/>
    <x v="1"/>
    <n v="9"/>
    <x v="0"/>
    <n v="3"/>
    <n v="2"/>
    <x v="0"/>
    <n v="8"/>
    <n v="1"/>
    <n v="8"/>
  </r>
  <r>
    <x v="2"/>
    <x v="1"/>
    <x v="0"/>
    <n v="1142"/>
    <x v="1"/>
    <n v="23"/>
    <x v="2"/>
    <n v="4"/>
    <s v="Medical"/>
    <n v="75"/>
    <n v="3"/>
    <x v="0"/>
    <n v="30"/>
    <n v="3"/>
    <n v="1"/>
    <x v="2"/>
    <x v="3"/>
    <x v="1"/>
    <x v="55"/>
    <n v="16002"/>
    <n v="3"/>
    <x v="0"/>
    <n v="15"/>
    <n v="3"/>
    <n v="3"/>
    <x v="1"/>
    <n v="4"/>
    <x v="1"/>
    <n v="3"/>
    <n v="3"/>
    <x v="1"/>
    <n v="2"/>
    <n v="2"/>
    <n v="2"/>
  </r>
  <r>
    <x v="2"/>
    <x v="1"/>
    <x v="0"/>
    <n v="655"/>
    <x v="1"/>
    <n v="7"/>
    <x v="1"/>
    <n v="4"/>
    <s v="Life Sciences"/>
    <n v="76"/>
    <n v="4"/>
    <x v="1"/>
    <n v="48"/>
    <n v="3"/>
    <n v="2"/>
    <x v="2"/>
    <x v="0"/>
    <x v="2"/>
    <x v="56"/>
    <n v="9528"/>
    <n v="3"/>
    <x v="1"/>
    <n v="22"/>
    <n v="4"/>
    <n v="4"/>
    <x v="1"/>
    <n v="10"/>
    <x v="0"/>
    <n v="3"/>
    <n v="2"/>
    <x v="0"/>
    <n v="7"/>
    <n v="1"/>
    <n v="7"/>
  </r>
  <r>
    <x v="0"/>
    <x v="1"/>
    <x v="0"/>
    <n v="1115"/>
    <x v="1"/>
    <n v="1"/>
    <x v="0"/>
    <n v="4"/>
    <s v="Life Sciences"/>
    <n v="77"/>
    <n v="1"/>
    <x v="1"/>
    <n v="51"/>
    <n v="2"/>
    <n v="2"/>
    <x v="3"/>
    <x v="2"/>
    <x v="2"/>
    <x v="0"/>
    <n v="2689"/>
    <n v="1"/>
    <x v="1"/>
    <n v="18"/>
    <n v="3"/>
    <n v="3"/>
    <x v="1"/>
    <n v="7"/>
    <x v="0"/>
    <n v="2"/>
    <n v="4"/>
    <x v="0"/>
    <n v="5"/>
    <n v="0"/>
    <n v="7"/>
  </r>
  <r>
    <x v="2"/>
    <x v="1"/>
    <x v="0"/>
    <n v="427"/>
    <x v="1"/>
    <n v="1"/>
    <x v="0"/>
    <n v="3"/>
    <s v="Medical"/>
    <n v="78"/>
    <n v="1"/>
    <x v="1"/>
    <n v="33"/>
    <n v="3"/>
    <n v="2"/>
    <x v="3"/>
    <x v="0"/>
    <x v="1"/>
    <x v="57"/>
    <n v="10877"/>
    <n v="1"/>
    <x v="0"/>
    <n v="22"/>
    <n v="4"/>
    <n v="2"/>
    <x v="1"/>
    <n v="9"/>
    <x v="0"/>
    <n v="3"/>
    <n v="3"/>
    <x v="0"/>
    <n v="8"/>
    <n v="7"/>
    <n v="8"/>
  </r>
  <r>
    <x v="0"/>
    <x v="1"/>
    <x v="1"/>
    <n v="653"/>
    <x v="1"/>
    <n v="29"/>
    <x v="2"/>
    <n v="5"/>
    <s v="Life Sciences"/>
    <n v="79"/>
    <n v="4"/>
    <x v="0"/>
    <n v="50"/>
    <n v="3"/>
    <n v="2"/>
    <x v="2"/>
    <x v="0"/>
    <x v="0"/>
    <x v="58"/>
    <n v="5456"/>
    <n v="1"/>
    <x v="1"/>
    <n v="11"/>
    <n v="3"/>
    <n v="4"/>
    <x v="0"/>
    <n v="10"/>
    <x v="0"/>
    <n v="2"/>
    <n v="3"/>
    <x v="0"/>
    <n v="3"/>
    <n v="9"/>
    <n v="9"/>
  </r>
  <r>
    <x v="1"/>
    <x v="1"/>
    <x v="0"/>
    <n v="989"/>
    <x v="1"/>
    <n v="7"/>
    <x v="1"/>
    <n v="2"/>
    <s v="Medical"/>
    <n v="80"/>
    <n v="2"/>
    <x v="0"/>
    <n v="43"/>
    <n v="2"/>
    <n v="5"/>
    <x v="7"/>
    <x v="2"/>
    <x v="2"/>
    <x v="59"/>
    <n v="16701"/>
    <n v="5"/>
    <x v="0"/>
    <n v="12"/>
    <n v="3"/>
    <n v="4"/>
    <x v="1"/>
    <n v="29"/>
    <x v="2"/>
    <n v="2"/>
    <n v="2"/>
    <x v="3"/>
    <n v="3"/>
    <n v="13"/>
    <n v="8"/>
  </r>
  <r>
    <x v="1"/>
    <x v="1"/>
    <x v="0"/>
    <n v="1435"/>
    <x v="0"/>
    <n v="25"/>
    <x v="2"/>
    <n v="3"/>
    <s v="Life Sciences"/>
    <n v="81"/>
    <n v="1"/>
    <x v="0"/>
    <n v="99"/>
    <n v="3"/>
    <n v="3"/>
    <x v="0"/>
    <x v="3"/>
    <x v="0"/>
    <x v="60"/>
    <n v="2354"/>
    <n v="7"/>
    <x v="1"/>
    <n v="11"/>
    <n v="3"/>
    <n v="4"/>
    <x v="0"/>
    <n v="28"/>
    <x v="2"/>
    <n v="3"/>
    <n v="2"/>
    <x v="3"/>
    <n v="16"/>
    <n v="7"/>
    <n v="9"/>
  </r>
  <r>
    <x v="0"/>
    <x v="1"/>
    <x v="0"/>
    <n v="1223"/>
    <x v="1"/>
    <n v="8"/>
    <x v="1"/>
    <n v="3"/>
    <s v="Technical Degree"/>
    <n v="83"/>
    <n v="3"/>
    <x v="0"/>
    <n v="59"/>
    <n v="3"/>
    <n v="3"/>
    <x v="4"/>
    <x v="2"/>
    <x v="2"/>
    <x v="61"/>
    <n v="8202"/>
    <n v="1"/>
    <x v="1"/>
    <n v="13"/>
    <n v="3"/>
    <n v="2"/>
    <x v="2"/>
    <n v="17"/>
    <x v="2"/>
    <n v="2"/>
    <n v="3"/>
    <x v="3"/>
    <n v="14"/>
    <n v="12"/>
    <n v="8"/>
  </r>
  <r>
    <x v="1"/>
    <x v="1"/>
    <x v="0"/>
    <n v="836"/>
    <x v="1"/>
    <n v="8"/>
    <x v="1"/>
    <n v="3"/>
    <s v="Medical"/>
    <n v="84"/>
    <n v="4"/>
    <x v="0"/>
    <n v="33"/>
    <n v="3"/>
    <n v="4"/>
    <x v="5"/>
    <x v="2"/>
    <x v="2"/>
    <x v="62"/>
    <n v="19730"/>
    <n v="2"/>
    <x v="0"/>
    <n v="14"/>
    <n v="3"/>
    <n v="3"/>
    <x v="2"/>
    <n v="21"/>
    <x v="2"/>
    <n v="2"/>
    <n v="3"/>
    <x v="2"/>
    <n v="0"/>
    <n v="0"/>
    <n v="2"/>
  </r>
  <r>
    <x v="0"/>
    <x v="1"/>
    <x v="1"/>
    <n v="1195"/>
    <x v="1"/>
    <n v="11"/>
    <x v="1"/>
    <n v="3"/>
    <s v="Life Sciences"/>
    <n v="85"/>
    <n v="2"/>
    <x v="1"/>
    <n v="95"/>
    <n v="2"/>
    <n v="2"/>
    <x v="3"/>
    <x v="1"/>
    <x v="0"/>
    <x v="63"/>
    <n v="22656"/>
    <n v="1"/>
    <x v="1"/>
    <n v="13"/>
    <n v="3"/>
    <n v="3"/>
    <x v="0"/>
    <n v="6"/>
    <x v="0"/>
    <n v="3"/>
    <n v="3"/>
    <x v="0"/>
    <n v="5"/>
    <n v="0"/>
    <n v="3"/>
  </r>
  <r>
    <x v="0"/>
    <x v="1"/>
    <x v="0"/>
    <n v="1339"/>
    <x v="1"/>
    <n v="7"/>
    <x v="1"/>
    <n v="3"/>
    <s v="Life Sciences"/>
    <n v="86"/>
    <n v="2"/>
    <x v="1"/>
    <n v="59"/>
    <n v="3"/>
    <n v="3"/>
    <x v="1"/>
    <x v="3"/>
    <x v="2"/>
    <x v="64"/>
    <n v="18787"/>
    <n v="2"/>
    <x v="1"/>
    <n v="17"/>
    <n v="3"/>
    <n v="3"/>
    <x v="1"/>
    <n v="25"/>
    <x v="2"/>
    <n v="2"/>
    <n v="3"/>
    <x v="1"/>
    <n v="0"/>
    <n v="0"/>
    <n v="0"/>
  </r>
  <r>
    <x v="2"/>
    <x v="1"/>
    <x v="1"/>
    <n v="664"/>
    <x v="1"/>
    <n v="1"/>
    <x v="0"/>
    <n v="3"/>
    <s v="Medical"/>
    <n v="88"/>
    <n v="2"/>
    <x v="1"/>
    <n v="79"/>
    <n v="3"/>
    <n v="1"/>
    <x v="1"/>
    <x v="3"/>
    <x v="1"/>
    <x v="65"/>
    <n v="5868"/>
    <n v="4"/>
    <x v="1"/>
    <n v="13"/>
    <n v="3"/>
    <n v="4"/>
    <x v="1"/>
    <n v="5"/>
    <x v="1"/>
    <n v="2"/>
    <n v="2"/>
    <x v="2"/>
    <n v="2"/>
    <n v="1"/>
    <n v="2"/>
  </r>
  <r>
    <x v="0"/>
    <x v="0"/>
    <x v="0"/>
    <n v="318"/>
    <x v="1"/>
    <n v="9"/>
    <x v="1"/>
    <n v="3"/>
    <s v="Medical"/>
    <n v="90"/>
    <n v="4"/>
    <x v="1"/>
    <n v="79"/>
    <n v="2"/>
    <n v="1"/>
    <x v="1"/>
    <x v="2"/>
    <x v="1"/>
    <x v="66"/>
    <n v="21777"/>
    <n v="0"/>
    <x v="0"/>
    <n v="17"/>
    <n v="3"/>
    <n v="1"/>
    <x v="1"/>
    <n v="2"/>
    <x v="1"/>
    <n v="0"/>
    <n v="2"/>
    <x v="1"/>
    <n v="0"/>
    <n v="0"/>
    <n v="0"/>
  </r>
  <r>
    <x v="1"/>
    <x v="1"/>
    <x v="1"/>
    <n v="1225"/>
    <x v="0"/>
    <n v="1"/>
    <x v="0"/>
    <n v="1"/>
    <s v="Life Sciences"/>
    <n v="91"/>
    <n v="1"/>
    <x v="0"/>
    <n v="57"/>
    <n v="2"/>
    <n v="2"/>
    <x v="0"/>
    <x v="2"/>
    <x v="0"/>
    <x v="67"/>
    <n v="24668"/>
    <n v="7"/>
    <x v="1"/>
    <n v="11"/>
    <n v="3"/>
    <n v="4"/>
    <x v="0"/>
    <n v="20"/>
    <x v="2"/>
    <n v="2"/>
    <n v="2"/>
    <x v="2"/>
    <n v="3"/>
    <n v="1"/>
    <n v="3"/>
  </r>
  <r>
    <x v="2"/>
    <x v="1"/>
    <x v="0"/>
    <n v="1328"/>
    <x v="1"/>
    <n v="2"/>
    <x v="0"/>
    <n v="3"/>
    <s v="Life Sciences"/>
    <n v="94"/>
    <n v="3"/>
    <x v="1"/>
    <n v="76"/>
    <n v="3"/>
    <n v="1"/>
    <x v="1"/>
    <x v="1"/>
    <x v="1"/>
    <x v="68"/>
    <n v="4956"/>
    <n v="0"/>
    <x v="1"/>
    <n v="23"/>
    <n v="4"/>
    <n v="4"/>
    <x v="1"/>
    <n v="6"/>
    <x v="0"/>
    <n v="3"/>
    <n v="3"/>
    <x v="2"/>
    <n v="4"/>
    <n v="0"/>
    <n v="4"/>
  </r>
  <r>
    <x v="2"/>
    <x v="1"/>
    <x v="0"/>
    <n v="1082"/>
    <x v="1"/>
    <n v="1"/>
    <x v="0"/>
    <n v="4"/>
    <s v="Medical"/>
    <n v="95"/>
    <n v="3"/>
    <x v="1"/>
    <n v="87"/>
    <n v="3"/>
    <n v="1"/>
    <x v="1"/>
    <x v="1"/>
    <x v="0"/>
    <x v="69"/>
    <n v="18775"/>
    <n v="1"/>
    <x v="1"/>
    <n v="17"/>
    <n v="3"/>
    <n v="2"/>
    <x v="0"/>
    <n v="1"/>
    <x v="1"/>
    <n v="4"/>
    <n v="3"/>
    <x v="1"/>
    <n v="1"/>
    <n v="1"/>
    <n v="0"/>
  </r>
  <r>
    <x v="2"/>
    <x v="1"/>
    <x v="0"/>
    <n v="548"/>
    <x v="1"/>
    <n v="1"/>
    <x v="0"/>
    <n v="3"/>
    <s v="Life Sciences"/>
    <n v="96"/>
    <n v="2"/>
    <x v="1"/>
    <n v="66"/>
    <n v="3"/>
    <n v="2"/>
    <x v="1"/>
    <x v="1"/>
    <x v="1"/>
    <x v="70"/>
    <n v="7346"/>
    <n v="1"/>
    <x v="1"/>
    <n v="17"/>
    <n v="3"/>
    <n v="2"/>
    <x v="3"/>
    <n v="10"/>
    <x v="0"/>
    <n v="3"/>
    <n v="3"/>
    <x v="0"/>
    <n v="4"/>
    <n v="0"/>
    <n v="9"/>
  </r>
  <r>
    <x v="0"/>
    <x v="1"/>
    <x v="0"/>
    <n v="132"/>
    <x v="1"/>
    <n v="6"/>
    <x v="1"/>
    <n v="3"/>
    <s v="Life Sciences"/>
    <n v="97"/>
    <n v="2"/>
    <x v="0"/>
    <n v="55"/>
    <n v="4"/>
    <n v="1"/>
    <x v="2"/>
    <x v="0"/>
    <x v="1"/>
    <x v="71"/>
    <n v="22002"/>
    <n v="3"/>
    <x v="1"/>
    <n v="12"/>
    <n v="3"/>
    <n v="2"/>
    <x v="0"/>
    <n v="5"/>
    <x v="1"/>
    <n v="3"/>
    <n v="3"/>
    <x v="1"/>
    <n v="0"/>
    <n v="0"/>
    <n v="0"/>
  </r>
  <r>
    <x v="2"/>
    <x v="1"/>
    <x v="0"/>
    <n v="746"/>
    <x v="1"/>
    <n v="8"/>
    <x v="1"/>
    <n v="4"/>
    <s v="Life Sciences"/>
    <n v="98"/>
    <n v="3"/>
    <x v="0"/>
    <n v="61"/>
    <n v="3"/>
    <n v="2"/>
    <x v="3"/>
    <x v="0"/>
    <x v="0"/>
    <x v="72"/>
    <n v="20682"/>
    <n v="1"/>
    <x v="1"/>
    <n v="23"/>
    <n v="4"/>
    <n v="4"/>
    <x v="0"/>
    <n v="11"/>
    <x v="0"/>
    <n v="2"/>
    <n v="3"/>
    <x v="3"/>
    <n v="7"/>
    <n v="1"/>
    <n v="8"/>
  </r>
  <r>
    <x v="2"/>
    <x v="1"/>
    <x v="0"/>
    <n v="776"/>
    <x v="0"/>
    <n v="1"/>
    <x v="0"/>
    <n v="4"/>
    <s v="Marketing"/>
    <n v="100"/>
    <n v="3"/>
    <x v="1"/>
    <n v="32"/>
    <n v="2"/>
    <n v="2"/>
    <x v="0"/>
    <x v="3"/>
    <x v="0"/>
    <x v="73"/>
    <n v="23016"/>
    <n v="0"/>
    <x v="1"/>
    <n v="14"/>
    <n v="3"/>
    <n v="2"/>
    <x v="0"/>
    <n v="16"/>
    <x v="2"/>
    <n v="2"/>
    <n v="3"/>
    <x v="3"/>
    <n v="13"/>
    <n v="2"/>
    <n v="8"/>
  </r>
  <r>
    <x v="0"/>
    <x v="1"/>
    <x v="0"/>
    <n v="193"/>
    <x v="1"/>
    <n v="6"/>
    <x v="1"/>
    <n v="4"/>
    <s v="Other"/>
    <n v="101"/>
    <n v="4"/>
    <x v="1"/>
    <n v="52"/>
    <n v="3"/>
    <n v="3"/>
    <x v="7"/>
    <x v="3"/>
    <x v="1"/>
    <x v="74"/>
    <n v="15067"/>
    <n v="4"/>
    <x v="0"/>
    <n v="14"/>
    <n v="3"/>
    <n v="2"/>
    <x v="0"/>
    <n v="17"/>
    <x v="2"/>
    <n v="3"/>
    <n v="4"/>
    <x v="1"/>
    <n v="0"/>
    <n v="0"/>
    <n v="0"/>
  </r>
  <r>
    <x v="0"/>
    <x v="1"/>
    <x v="0"/>
    <n v="397"/>
    <x v="1"/>
    <n v="7"/>
    <x v="1"/>
    <n v="4"/>
    <s v="Medical"/>
    <n v="102"/>
    <n v="1"/>
    <x v="1"/>
    <n v="30"/>
    <n v="3"/>
    <n v="3"/>
    <x v="7"/>
    <x v="2"/>
    <x v="0"/>
    <x v="75"/>
    <n v="25258"/>
    <n v="4"/>
    <x v="1"/>
    <n v="13"/>
    <n v="3"/>
    <n v="1"/>
    <x v="0"/>
    <n v="16"/>
    <x v="2"/>
    <n v="3"/>
    <n v="4"/>
    <x v="2"/>
    <n v="2"/>
    <n v="0"/>
    <n v="2"/>
  </r>
  <r>
    <x v="1"/>
    <x v="1"/>
    <x v="0"/>
    <n v="945"/>
    <x v="2"/>
    <n v="5"/>
    <x v="0"/>
    <n v="2"/>
    <s v="Medical"/>
    <n v="103"/>
    <n v="2"/>
    <x v="1"/>
    <n v="80"/>
    <n v="3"/>
    <n v="2"/>
    <x v="8"/>
    <x v="1"/>
    <x v="2"/>
    <x v="76"/>
    <n v="10425"/>
    <n v="8"/>
    <x v="0"/>
    <n v="22"/>
    <n v="4"/>
    <n v="4"/>
    <x v="1"/>
    <n v="16"/>
    <x v="2"/>
    <n v="2"/>
    <n v="3"/>
    <x v="2"/>
    <n v="2"/>
    <n v="0"/>
    <n v="2"/>
  </r>
  <r>
    <x v="2"/>
    <x v="1"/>
    <x v="0"/>
    <n v="852"/>
    <x v="1"/>
    <n v="1"/>
    <x v="0"/>
    <n v="1"/>
    <s v="Life Sciences"/>
    <n v="104"/>
    <n v="4"/>
    <x v="1"/>
    <n v="55"/>
    <n v="2"/>
    <n v="2"/>
    <x v="2"/>
    <x v="0"/>
    <x v="1"/>
    <x v="77"/>
    <n v="15998"/>
    <n v="1"/>
    <x v="0"/>
    <n v="12"/>
    <n v="3"/>
    <n v="3"/>
    <x v="3"/>
    <n v="10"/>
    <x v="0"/>
    <n v="1"/>
    <n v="2"/>
    <x v="0"/>
    <n v="8"/>
    <n v="3"/>
    <n v="0"/>
  </r>
  <r>
    <x v="2"/>
    <x v="1"/>
    <x v="0"/>
    <n v="1214"/>
    <x v="1"/>
    <n v="1"/>
    <x v="0"/>
    <n v="3"/>
    <s v="Medical"/>
    <n v="105"/>
    <n v="2"/>
    <x v="1"/>
    <n v="30"/>
    <n v="2"/>
    <n v="1"/>
    <x v="1"/>
    <x v="2"/>
    <x v="0"/>
    <x v="78"/>
    <n v="26278"/>
    <n v="1"/>
    <x v="1"/>
    <n v="18"/>
    <n v="3"/>
    <n v="1"/>
    <x v="0"/>
    <n v="6"/>
    <x v="0"/>
    <n v="3"/>
    <n v="3"/>
    <x v="0"/>
    <n v="4"/>
    <n v="0"/>
    <n v="4"/>
  </r>
  <r>
    <x v="1"/>
    <x v="1"/>
    <x v="0"/>
    <n v="111"/>
    <x v="0"/>
    <n v="1"/>
    <x v="0"/>
    <n v="2"/>
    <s v="Life Sciences"/>
    <n v="106"/>
    <n v="1"/>
    <x v="1"/>
    <n v="70"/>
    <n v="3"/>
    <n v="3"/>
    <x v="0"/>
    <x v="0"/>
    <x v="1"/>
    <x v="79"/>
    <n v="18092"/>
    <n v="3"/>
    <x v="1"/>
    <n v="14"/>
    <n v="3"/>
    <n v="4"/>
    <x v="1"/>
    <n v="24"/>
    <x v="2"/>
    <n v="4"/>
    <n v="3"/>
    <x v="1"/>
    <n v="0"/>
    <n v="1"/>
    <n v="0"/>
  </r>
  <r>
    <x v="0"/>
    <x v="1"/>
    <x v="2"/>
    <n v="573"/>
    <x v="1"/>
    <n v="6"/>
    <x v="1"/>
    <n v="3"/>
    <s v="Medical"/>
    <n v="107"/>
    <n v="2"/>
    <x v="0"/>
    <n v="79"/>
    <n v="1"/>
    <n v="2"/>
    <x v="1"/>
    <x v="0"/>
    <x v="2"/>
    <x v="80"/>
    <n v="15717"/>
    <n v="7"/>
    <x v="0"/>
    <n v="12"/>
    <n v="3"/>
    <n v="4"/>
    <x v="2"/>
    <n v="17"/>
    <x v="2"/>
    <n v="3"/>
    <n v="3"/>
    <x v="3"/>
    <n v="11"/>
    <n v="1"/>
    <n v="9"/>
  </r>
  <r>
    <x v="2"/>
    <x v="1"/>
    <x v="0"/>
    <n v="1153"/>
    <x v="1"/>
    <n v="1"/>
    <x v="0"/>
    <n v="2"/>
    <s v="Medical"/>
    <n v="110"/>
    <n v="1"/>
    <x v="1"/>
    <n v="94"/>
    <n v="3"/>
    <n v="2"/>
    <x v="3"/>
    <x v="1"/>
    <x v="1"/>
    <x v="81"/>
    <n v="17736"/>
    <n v="1"/>
    <x v="1"/>
    <n v="15"/>
    <n v="3"/>
    <n v="3"/>
    <x v="0"/>
    <n v="5"/>
    <x v="1"/>
    <n v="2"/>
    <n v="3"/>
    <x v="2"/>
    <n v="2"/>
    <n v="1"/>
    <n v="3"/>
  </r>
  <r>
    <x v="1"/>
    <x v="1"/>
    <x v="0"/>
    <n v="1400"/>
    <x v="1"/>
    <n v="7"/>
    <x v="1"/>
    <n v="3"/>
    <s v="Life Sciences"/>
    <n v="112"/>
    <n v="4"/>
    <x v="1"/>
    <n v="49"/>
    <n v="1"/>
    <n v="3"/>
    <x v="3"/>
    <x v="0"/>
    <x v="0"/>
    <x v="82"/>
    <n v="21698"/>
    <n v="4"/>
    <x v="1"/>
    <n v="11"/>
    <n v="3"/>
    <n v="1"/>
    <x v="0"/>
    <n v="37"/>
    <x v="2"/>
    <n v="3"/>
    <n v="2"/>
    <x v="0"/>
    <n v="4"/>
    <n v="0"/>
    <n v="2"/>
  </r>
  <r>
    <x v="3"/>
    <x v="1"/>
    <x v="0"/>
    <n v="541"/>
    <x v="0"/>
    <n v="2"/>
    <x v="0"/>
    <n v="1"/>
    <s v="Technical Degree"/>
    <n v="113"/>
    <n v="3"/>
    <x v="1"/>
    <n v="62"/>
    <n v="3"/>
    <n v="1"/>
    <x v="6"/>
    <x v="3"/>
    <x v="2"/>
    <x v="83"/>
    <n v="9518"/>
    <n v="3"/>
    <x v="1"/>
    <n v="13"/>
    <n v="3"/>
    <n v="3"/>
    <x v="1"/>
    <n v="3"/>
    <x v="1"/>
    <n v="3"/>
    <n v="3"/>
    <x v="1"/>
    <n v="0"/>
    <n v="0"/>
    <n v="0"/>
  </r>
  <r>
    <x v="1"/>
    <x v="1"/>
    <x v="0"/>
    <n v="432"/>
    <x v="1"/>
    <n v="9"/>
    <x v="1"/>
    <n v="4"/>
    <s v="Life Sciences"/>
    <n v="116"/>
    <n v="4"/>
    <x v="1"/>
    <n v="96"/>
    <n v="3"/>
    <n v="1"/>
    <x v="2"/>
    <x v="0"/>
    <x v="1"/>
    <x v="84"/>
    <n v="18725"/>
    <n v="3"/>
    <x v="1"/>
    <n v="23"/>
    <n v="4"/>
    <n v="2"/>
    <x v="3"/>
    <n v="10"/>
    <x v="0"/>
    <n v="4"/>
    <n v="3"/>
    <x v="2"/>
    <n v="2"/>
    <n v="0"/>
    <n v="3"/>
  </r>
  <r>
    <x v="2"/>
    <x v="1"/>
    <x v="0"/>
    <n v="288"/>
    <x v="1"/>
    <n v="2"/>
    <x v="0"/>
    <n v="3"/>
    <s v="Life Sciences"/>
    <n v="117"/>
    <n v="3"/>
    <x v="1"/>
    <n v="99"/>
    <n v="2"/>
    <n v="2"/>
    <x v="4"/>
    <x v="0"/>
    <x v="1"/>
    <x v="85"/>
    <n v="15830"/>
    <n v="1"/>
    <x v="1"/>
    <n v="19"/>
    <n v="3"/>
    <n v="1"/>
    <x v="2"/>
    <n v="11"/>
    <x v="0"/>
    <n v="3"/>
    <n v="3"/>
    <x v="3"/>
    <n v="10"/>
    <n v="10"/>
    <n v="8"/>
  </r>
  <r>
    <x v="1"/>
    <x v="0"/>
    <x v="0"/>
    <n v="669"/>
    <x v="0"/>
    <n v="9"/>
    <x v="1"/>
    <n v="2"/>
    <s v="Medical"/>
    <n v="118"/>
    <n v="3"/>
    <x v="1"/>
    <n v="64"/>
    <n v="2"/>
    <n v="3"/>
    <x v="0"/>
    <x v="0"/>
    <x v="0"/>
    <x v="86"/>
    <n v="13596"/>
    <n v="1"/>
    <x v="1"/>
    <n v="16"/>
    <n v="3"/>
    <n v="4"/>
    <x v="0"/>
    <n v="9"/>
    <x v="0"/>
    <n v="3"/>
    <n v="3"/>
    <x v="0"/>
    <n v="8"/>
    <n v="4"/>
    <n v="7"/>
  </r>
  <r>
    <x v="0"/>
    <x v="1"/>
    <x v="1"/>
    <n v="530"/>
    <x v="1"/>
    <n v="1"/>
    <x v="0"/>
    <n v="4"/>
    <s v="Life Sciences"/>
    <n v="119"/>
    <n v="3"/>
    <x v="1"/>
    <n v="78"/>
    <n v="2"/>
    <n v="4"/>
    <x v="4"/>
    <x v="1"/>
    <x v="1"/>
    <x v="87"/>
    <n v="14115"/>
    <n v="1"/>
    <x v="1"/>
    <n v="22"/>
    <n v="4"/>
    <n v="4"/>
    <x v="1"/>
    <n v="22"/>
    <x v="2"/>
    <n v="3"/>
    <n v="2"/>
    <x v="3"/>
    <n v="3"/>
    <n v="11"/>
    <n v="11"/>
  </r>
  <r>
    <x v="1"/>
    <x v="1"/>
    <x v="0"/>
    <n v="632"/>
    <x v="0"/>
    <n v="21"/>
    <x v="2"/>
    <n v="4"/>
    <s v="Marketing"/>
    <n v="120"/>
    <n v="3"/>
    <x v="1"/>
    <n v="71"/>
    <n v="3"/>
    <n v="2"/>
    <x v="0"/>
    <x v="0"/>
    <x v="0"/>
    <x v="88"/>
    <n v="8423"/>
    <n v="0"/>
    <x v="0"/>
    <n v="22"/>
    <n v="4"/>
    <n v="4"/>
    <x v="0"/>
    <n v="11"/>
    <x v="0"/>
    <n v="2"/>
    <n v="1"/>
    <x v="0"/>
    <n v="7"/>
    <n v="1"/>
    <n v="0"/>
  </r>
  <r>
    <x v="2"/>
    <x v="1"/>
    <x v="0"/>
    <n v="1334"/>
    <x v="0"/>
    <n v="4"/>
    <x v="0"/>
    <n v="2"/>
    <s v="Medical"/>
    <n v="121"/>
    <n v="3"/>
    <x v="0"/>
    <n v="63"/>
    <n v="2"/>
    <n v="2"/>
    <x v="0"/>
    <x v="1"/>
    <x v="2"/>
    <x v="89"/>
    <n v="19760"/>
    <n v="1"/>
    <x v="0"/>
    <n v="12"/>
    <n v="3"/>
    <n v="2"/>
    <x v="2"/>
    <n v="11"/>
    <x v="0"/>
    <n v="4"/>
    <n v="2"/>
    <x v="3"/>
    <n v="8"/>
    <n v="2"/>
    <n v="7"/>
  </r>
  <r>
    <x v="1"/>
    <x v="1"/>
    <x v="1"/>
    <n v="638"/>
    <x v="1"/>
    <n v="1"/>
    <x v="0"/>
    <n v="3"/>
    <s v="Medical"/>
    <n v="124"/>
    <n v="3"/>
    <x v="1"/>
    <n v="40"/>
    <n v="2"/>
    <n v="3"/>
    <x v="4"/>
    <x v="3"/>
    <x v="1"/>
    <x v="90"/>
    <n v="3142"/>
    <n v="2"/>
    <x v="0"/>
    <n v="13"/>
    <n v="3"/>
    <n v="3"/>
    <x v="1"/>
    <n v="21"/>
    <x v="2"/>
    <n v="5"/>
    <n v="2"/>
    <x v="0"/>
    <n v="9"/>
    <n v="9"/>
    <n v="5"/>
  </r>
  <r>
    <x v="2"/>
    <x v="1"/>
    <x v="0"/>
    <n v="1093"/>
    <x v="0"/>
    <n v="6"/>
    <x v="1"/>
    <n v="4"/>
    <s v="Medical"/>
    <n v="125"/>
    <n v="2"/>
    <x v="1"/>
    <n v="87"/>
    <n v="3"/>
    <n v="2"/>
    <x v="0"/>
    <x v="2"/>
    <x v="0"/>
    <x v="91"/>
    <n v="24301"/>
    <n v="1"/>
    <x v="1"/>
    <n v="16"/>
    <n v="3"/>
    <n v="1"/>
    <x v="0"/>
    <n v="12"/>
    <x v="0"/>
    <n v="0"/>
    <n v="3"/>
    <x v="3"/>
    <n v="8"/>
    <n v="5"/>
    <n v="7"/>
  </r>
  <r>
    <x v="1"/>
    <x v="1"/>
    <x v="0"/>
    <n v="1217"/>
    <x v="1"/>
    <n v="2"/>
    <x v="0"/>
    <n v="4"/>
    <s v="Technical Degree"/>
    <n v="126"/>
    <n v="1"/>
    <x v="0"/>
    <n v="60"/>
    <n v="3"/>
    <n v="3"/>
    <x v="7"/>
    <x v="2"/>
    <x v="1"/>
    <x v="92"/>
    <n v="24001"/>
    <n v="9"/>
    <x v="1"/>
    <n v="12"/>
    <n v="3"/>
    <n v="1"/>
    <x v="1"/>
    <n v="16"/>
    <x v="2"/>
    <n v="5"/>
    <n v="1"/>
    <x v="2"/>
    <n v="3"/>
    <n v="0"/>
    <n v="3"/>
  </r>
  <r>
    <x v="3"/>
    <x v="1"/>
    <x v="0"/>
    <n v="1353"/>
    <x v="0"/>
    <n v="3"/>
    <x v="0"/>
    <n v="2"/>
    <s v="Other"/>
    <n v="128"/>
    <n v="1"/>
    <x v="0"/>
    <n v="33"/>
    <n v="3"/>
    <n v="2"/>
    <x v="0"/>
    <x v="2"/>
    <x v="1"/>
    <x v="93"/>
    <n v="17519"/>
    <n v="0"/>
    <x v="1"/>
    <n v="21"/>
    <n v="4"/>
    <n v="1"/>
    <x v="1"/>
    <n v="4"/>
    <x v="1"/>
    <n v="2"/>
    <n v="2"/>
    <x v="2"/>
    <n v="2"/>
    <n v="0"/>
    <n v="2"/>
  </r>
  <r>
    <x v="2"/>
    <x v="1"/>
    <x v="2"/>
    <n v="120"/>
    <x v="0"/>
    <n v="4"/>
    <x v="0"/>
    <n v="3"/>
    <s v="Medical"/>
    <n v="129"/>
    <n v="2"/>
    <x v="1"/>
    <n v="43"/>
    <n v="3"/>
    <n v="2"/>
    <x v="0"/>
    <x v="2"/>
    <x v="1"/>
    <x v="94"/>
    <n v="8863"/>
    <n v="1"/>
    <x v="1"/>
    <n v="15"/>
    <n v="3"/>
    <n v="2"/>
    <x v="0"/>
    <n v="5"/>
    <x v="1"/>
    <n v="3"/>
    <n v="4"/>
    <x v="2"/>
    <n v="4"/>
    <n v="0"/>
    <n v="4"/>
  </r>
  <r>
    <x v="1"/>
    <x v="1"/>
    <x v="0"/>
    <n v="682"/>
    <x v="0"/>
    <n v="10"/>
    <x v="1"/>
    <n v="4"/>
    <s v="Medical"/>
    <n v="131"/>
    <n v="4"/>
    <x v="1"/>
    <n v="37"/>
    <n v="3"/>
    <n v="4"/>
    <x v="0"/>
    <x v="2"/>
    <x v="0"/>
    <x v="95"/>
    <n v="24409"/>
    <n v="0"/>
    <x v="1"/>
    <n v="13"/>
    <n v="3"/>
    <n v="3"/>
    <x v="0"/>
    <n v="38"/>
    <x v="2"/>
    <n v="1"/>
    <n v="2"/>
    <x v="3"/>
    <n v="10"/>
    <n v="1"/>
    <n v="8"/>
  </r>
  <r>
    <x v="0"/>
    <x v="1"/>
    <x v="2"/>
    <n v="489"/>
    <x v="1"/>
    <n v="23"/>
    <x v="2"/>
    <n v="3"/>
    <s v="Medical"/>
    <n v="132"/>
    <n v="2"/>
    <x v="1"/>
    <n v="67"/>
    <n v="3"/>
    <n v="2"/>
    <x v="2"/>
    <x v="1"/>
    <x v="1"/>
    <x v="96"/>
    <n v="25043"/>
    <n v="4"/>
    <x v="1"/>
    <n v="12"/>
    <n v="3"/>
    <n v="3"/>
    <x v="1"/>
    <n v="17"/>
    <x v="2"/>
    <n v="3"/>
    <n v="4"/>
    <x v="2"/>
    <n v="2"/>
    <n v="1"/>
    <n v="2"/>
  </r>
  <r>
    <x v="0"/>
    <x v="0"/>
    <x v="0"/>
    <n v="807"/>
    <x v="2"/>
    <n v="6"/>
    <x v="1"/>
    <n v="4"/>
    <s v="Human Resources"/>
    <n v="133"/>
    <n v="3"/>
    <x v="1"/>
    <n v="63"/>
    <n v="3"/>
    <n v="1"/>
    <x v="8"/>
    <x v="3"/>
    <x v="2"/>
    <x v="97"/>
    <n v="23648"/>
    <n v="4"/>
    <x v="0"/>
    <n v="22"/>
    <n v="4"/>
    <n v="4"/>
    <x v="0"/>
    <n v="7"/>
    <x v="0"/>
    <n v="3"/>
    <n v="3"/>
    <x v="2"/>
    <n v="2"/>
    <n v="0"/>
    <n v="2"/>
  </r>
  <r>
    <x v="2"/>
    <x v="1"/>
    <x v="0"/>
    <n v="827"/>
    <x v="1"/>
    <n v="1"/>
    <x v="0"/>
    <n v="1"/>
    <s v="Life Sciences"/>
    <n v="134"/>
    <n v="4"/>
    <x v="1"/>
    <n v="71"/>
    <n v="3"/>
    <n v="1"/>
    <x v="1"/>
    <x v="3"/>
    <x v="0"/>
    <x v="98"/>
    <n v="15178"/>
    <n v="1"/>
    <x v="1"/>
    <n v="13"/>
    <n v="3"/>
    <n v="4"/>
    <x v="0"/>
    <n v="1"/>
    <x v="1"/>
    <n v="2"/>
    <n v="3"/>
    <x v="1"/>
    <n v="0"/>
    <n v="0"/>
    <n v="0"/>
  </r>
  <r>
    <x v="3"/>
    <x v="0"/>
    <x v="1"/>
    <n v="871"/>
    <x v="1"/>
    <n v="6"/>
    <x v="1"/>
    <n v="3"/>
    <s v="Life Sciences"/>
    <n v="137"/>
    <n v="4"/>
    <x v="0"/>
    <n v="66"/>
    <n v="2"/>
    <n v="1"/>
    <x v="2"/>
    <x v="0"/>
    <x v="0"/>
    <x v="99"/>
    <n v="19783"/>
    <n v="1"/>
    <x v="0"/>
    <n v="18"/>
    <n v="3"/>
    <n v="2"/>
    <x v="0"/>
    <n v="1"/>
    <x v="1"/>
    <n v="5"/>
    <n v="3"/>
    <x v="1"/>
    <n v="0"/>
    <n v="1"/>
    <n v="0"/>
  </r>
  <r>
    <x v="2"/>
    <x v="1"/>
    <x v="0"/>
    <n v="665"/>
    <x v="1"/>
    <n v="6"/>
    <x v="1"/>
    <n v="4"/>
    <s v="Other"/>
    <n v="138"/>
    <n v="1"/>
    <x v="0"/>
    <n v="41"/>
    <n v="3"/>
    <n v="2"/>
    <x v="1"/>
    <x v="2"/>
    <x v="0"/>
    <x v="100"/>
    <n v="12482"/>
    <n v="1"/>
    <x v="1"/>
    <n v="14"/>
    <n v="3"/>
    <n v="3"/>
    <x v="0"/>
    <n v="16"/>
    <x v="2"/>
    <n v="3"/>
    <n v="3"/>
    <x v="3"/>
    <n v="13"/>
    <n v="2"/>
    <n v="10"/>
  </r>
  <r>
    <x v="0"/>
    <x v="1"/>
    <x v="2"/>
    <n v="1040"/>
    <x v="1"/>
    <n v="2"/>
    <x v="0"/>
    <n v="2"/>
    <s v="Life Sciences"/>
    <n v="139"/>
    <n v="3"/>
    <x v="1"/>
    <n v="100"/>
    <n v="2"/>
    <n v="2"/>
    <x v="4"/>
    <x v="0"/>
    <x v="2"/>
    <x v="101"/>
    <n v="15850"/>
    <n v="5"/>
    <x v="1"/>
    <n v="14"/>
    <n v="3"/>
    <n v="4"/>
    <x v="1"/>
    <n v="17"/>
    <x v="2"/>
    <n v="2"/>
    <n v="4"/>
    <x v="1"/>
    <n v="0"/>
    <n v="0"/>
    <n v="0"/>
  </r>
  <r>
    <x v="1"/>
    <x v="1"/>
    <x v="2"/>
    <n v="1420"/>
    <x v="2"/>
    <n v="2"/>
    <x v="0"/>
    <n v="4"/>
    <s v="Human Resources"/>
    <n v="140"/>
    <n v="3"/>
    <x v="0"/>
    <n v="32"/>
    <n v="2"/>
    <n v="5"/>
    <x v="5"/>
    <x v="0"/>
    <x v="1"/>
    <x v="102"/>
    <n v="21922"/>
    <n v="9"/>
    <x v="1"/>
    <n v="21"/>
    <n v="4"/>
    <n v="4"/>
    <x v="1"/>
    <n v="30"/>
    <x v="2"/>
    <n v="3"/>
    <n v="3"/>
    <x v="2"/>
    <n v="2"/>
    <n v="2"/>
    <n v="2"/>
  </r>
  <r>
    <x v="1"/>
    <x v="1"/>
    <x v="1"/>
    <n v="1115"/>
    <x v="1"/>
    <n v="1"/>
    <x v="0"/>
    <n v="3"/>
    <s v="Life Sciences"/>
    <n v="141"/>
    <n v="1"/>
    <x v="0"/>
    <n v="73"/>
    <n v="3"/>
    <n v="5"/>
    <x v="7"/>
    <x v="1"/>
    <x v="1"/>
    <x v="103"/>
    <n v="9755"/>
    <n v="3"/>
    <x v="0"/>
    <n v="19"/>
    <n v="3"/>
    <n v="1"/>
    <x v="0"/>
    <n v="28"/>
    <x v="2"/>
    <n v="1"/>
    <n v="2"/>
    <x v="0"/>
    <n v="3"/>
    <n v="0"/>
    <n v="7"/>
  </r>
  <r>
    <x v="3"/>
    <x v="0"/>
    <x v="0"/>
    <n v="240"/>
    <x v="0"/>
    <n v="5"/>
    <x v="0"/>
    <n v="3"/>
    <s v="Marketing"/>
    <n v="142"/>
    <n v="3"/>
    <x v="1"/>
    <n v="46"/>
    <n v="2"/>
    <n v="2"/>
    <x v="0"/>
    <x v="2"/>
    <x v="0"/>
    <x v="104"/>
    <n v="26959"/>
    <n v="1"/>
    <x v="0"/>
    <n v="11"/>
    <n v="3"/>
    <n v="4"/>
    <x v="0"/>
    <n v="6"/>
    <x v="0"/>
    <n v="1"/>
    <n v="3"/>
    <x v="0"/>
    <n v="4"/>
    <n v="0"/>
    <n v="3"/>
  </r>
  <r>
    <x v="3"/>
    <x v="1"/>
    <x v="0"/>
    <n v="1280"/>
    <x v="1"/>
    <n v="7"/>
    <x v="1"/>
    <n v="1"/>
    <s v="Medical"/>
    <n v="143"/>
    <n v="4"/>
    <x v="1"/>
    <n v="64"/>
    <n v="2"/>
    <n v="1"/>
    <x v="1"/>
    <x v="0"/>
    <x v="1"/>
    <x v="105"/>
    <n v="26897"/>
    <n v="1"/>
    <x v="1"/>
    <n v="11"/>
    <n v="3"/>
    <n v="3"/>
    <x v="3"/>
    <n v="2"/>
    <x v="1"/>
    <n v="2"/>
    <n v="3"/>
    <x v="1"/>
    <n v="2"/>
    <n v="2"/>
    <n v="1"/>
  </r>
  <r>
    <x v="3"/>
    <x v="1"/>
    <x v="0"/>
    <n v="534"/>
    <x v="1"/>
    <n v="15"/>
    <x v="1"/>
    <n v="3"/>
    <s v="Medical"/>
    <n v="144"/>
    <n v="2"/>
    <x v="0"/>
    <n v="59"/>
    <n v="3"/>
    <n v="1"/>
    <x v="2"/>
    <x v="0"/>
    <x v="0"/>
    <x v="106"/>
    <n v="23785"/>
    <n v="1"/>
    <x v="1"/>
    <n v="15"/>
    <n v="3"/>
    <n v="3"/>
    <x v="0"/>
    <n v="1"/>
    <x v="1"/>
    <n v="5"/>
    <n v="3"/>
    <x v="1"/>
    <n v="0"/>
    <n v="0"/>
    <n v="0"/>
  </r>
  <r>
    <x v="1"/>
    <x v="1"/>
    <x v="1"/>
    <n v="1456"/>
    <x v="1"/>
    <n v="1"/>
    <x v="0"/>
    <n v="4"/>
    <s v="Medical"/>
    <n v="145"/>
    <n v="1"/>
    <x v="0"/>
    <n v="30"/>
    <n v="2"/>
    <n v="3"/>
    <x v="4"/>
    <x v="3"/>
    <x v="0"/>
    <x v="107"/>
    <n v="25796"/>
    <n v="3"/>
    <x v="1"/>
    <n v="20"/>
    <n v="4"/>
    <n v="3"/>
    <x v="0"/>
    <n v="23"/>
    <x v="2"/>
    <n v="1"/>
    <n v="2"/>
    <x v="3"/>
    <n v="12"/>
    <n v="12"/>
    <n v="8"/>
  </r>
  <r>
    <x v="2"/>
    <x v="0"/>
    <x v="1"/>
    <n v="658"/>
    <x v="1"/>
    <n v="7"/>
    <x v="1"/>
    <n v="3"/>
    <s v="Life Sciences"/>
    <n v="147"/>
    <n v="1"/>
    <x v="1"/>
    <n v="66"/>
    <n v="1"/>
    <n v="2"/>
    <x v="2"/>
    <x v="2"/>
    <x v="0"/>
    <x v="108"/>
    <n v="22887"/>
    <n v="1"/>
    <x v="0"/>
    <n v="24"/>
    <n v="4"/>
    <n v="4"/>
    <x v="0"/>
    <n v="9"/>
    <x v="0"/>
    <n v="3"/>
    <n v="3"/>
    <x v="0"/>
    <n v="7"/>
    <n v="0"/>
    <n v="6"/>
  </r>
  <r>
    <x v="1"/>
    <x v="1"/>
    <x v="2"/>
    <n v="142"/>
    <x v="2"/>
    <n v="26"/>
    <x v="2"/>
    <n v="3"/>
    <s v="Human Resources"/>
    <n v="148"/>
    <n v="4"/>
    <x v="0"/>
    <n v="30"/>
    <n v="4"/>
    <n v="4"/>
    <x v="5"/>
    <x v="0"/>
    <x v="0"/>
    <x v="109"/>
    <n v="13871"/>
    <n v="2"/>
    <x v="0"/>
    <n v="12"/>
    <n v="3"/>
    <n v="3"/>
    <x v="0"/>
    <n v="23"/>
    <x v="2"/>
    <n v="3"/>
    <n v="3"/>
    <x v="2"/>
    <n v="3"/>
    <n v="4"/>
    <n v="4"/>
  </r>
  <r>
    <x v="3"/>
    <x v="1"/>
    <x v="0"/>
    <n v="1127"/>
    <x v="1"/>
    <n v="18"/>
    <x v="2"/>
    <n v="1"/>
    <s v="Life Sciences"/>
    <n v="150"/>
    <n v="2"/>
    <x v="1"/>
    <n v="52"/>
    <n v="3"/>
    <n v="1"/>
    <x v="2"/>
    <x v="2"/>
    <x v="1"/>
    <x v="110"/>
    <n v="13257"/>
    <n v="0"/>
    <x v="1"/>
    <n v="12"/>
    <n v="3"/>
    <n v="3"/>
    <x v="1"/>
    <n v="6"/>
    <x v="0"/>
    <n v="2"/>
    <n v="3"/>
    <x v="2"/>
    <n v="3"/>
    <n v="1"/>
    <n v="2"/>
  </r>
  <r>
    <x v="2"/>
    <x v="1"/>
    <x v="0"/>
    <n v="1031"/>
    <x v="1"/>
    <n v="6"/>
    <x v="1"/>
    <n v="4"/>
    <s v="Life Sciences"/>
    <n v="151"/>
    <n v="3"/>
    <x v="0"/>
    <n v="45"/>
    <n v="2"/>
    <n v="2"/>
    <x v="1"/>
    <x v="1"/>
    <x v="2"/>
    <x v="111"/>
    <n v="15000"/>
    <n v="6"/>
    <x v="1"/>
    <n v="15"/>
    <n v="3"/>
    <n v="3"/>
    <x v="1"/>
    <n v="12"/>
    <x v="0"/>
    <n v="3"/>
    <n v="3"/>
    <x v="1"/>
    <n v="0"/>
    <n v="0"/>
    <n v="0"/>
  </r>
  <r>
    <x v="0"/>
    <x v="1"/>
    <x v="0"/>
    <n v="1189"/>
    <x v="0"/>
    <n v="3"/>
    <x v="0"/>
    <n v="3"/>
    <s v="Life Sciences"/>
    <n v="152"/>
    <n v="3"/>
    <x v="1"/>
    <n v="87"/>
    <n v="3"/>
    <n v="3"/>
    <x v="0"/>
    <x v="0"/>
    <x v="0"/>
    <x v="112"/>
    <n v="14506"/>
    <n v="2"/>
    <x v="1"/>
    <n v="12"/>
    <n v="3"/>
    <n v="1"/>
    <x v="0"/>
    <n v="12"/>
    <x v="0"/>
    <n v="3"/>
    <n v="3"/>
    <x v="2"/>
    <n v="3"/>
    <n v="1"/>
    <n v="3"/>
  </r>
  <r>
    <x v="2"/>
    <x v="1"/>
    <x v="0"/>
    <n v="1354"/>
    <x v="1"/>
    <n v="5"/>
    <x v="0"/>
    <n v="3"/>
    <s v="Medical"/>
    <n v="153"/>
    <n v="3"/>
    <x v="0"/>
    <n v="45"/>
    <n v="2"/>
    <n v="3"/>
    <x v="5"/>
    <x v="3"/>
    <x v="0"/>
    <x v="113"/>
    <n v="5615"/>
    <n v="2"/>
    <x v="1"/>
    <n v="12"/>
    <n v="3"/>
    <n v="4"/>
    <x v="0"/>
    <n v="14"/>
    <x v="0"/>
    <n v="6"/>
    <n v="3"/>
    <x v="3"/>
    <n v="10"/>
    <n v="5"/>
    <n v="8"/>
  </r>
  <r>
    <x v="0"/>
    <x v="1"/>
    <x v="1"/>
    <n v="1467"/>
    <x v="0"/>
    <n v="11"/>
    <x v="1"/>
    <n v="2"/>
    <s v="Technical Degree"/>
    <n v="154"/>
    <n v="2"/>
    <x v="0"/>
    <n v="92"/>
    <n v="3"/>
    <n v="3"/>
    <x v="0"/>
    <x v="0"/>
    <x v="1"/>
    <x v="114"/>
    <n v="22952"/>
    <n v="0"/>
    <x v="1"/>
    <n v="14"/>
    <n v="3"/>
    <n v="3"/>
    <x v="1"/>
    <n v="10"/>
    <x v="0"/>
    <n v="6"/>
    <n v="3"/>
    <x v="0"/>
    <n v="7"/>
    <n v="2"/>
    <n v="8"/>
  </r>
  <r>
    <x v="0"/>
    <x v="1"/>
    <x v="0"/>
    <n v="922"/>
    <x v="1"/>
    <n v="3"/>
    <x v="0"/>
    <n v="2"/>
    <s v="Life Sciences"/>
    <n v="155"/>
    <n v="1"/>
    <x v="0"/>
    <n v="39"/>
    <n v="3"/>
    <n v="1"/>
    <x v="2"/>
    <x v="0"/>
    <x v="2"/>
    <x v="115"/>
    <n v="2561"/>
    <n v="5"/>
    <x v="1"/>
    <n v="22"/>
    <n v="4"/>
    <n v="1"/>
    <x v="1"/>
    <n v="7"/>
    <x v="0"/>
    <n v="2"/>
    <n v="3"/>
    <x v="1"/>
    <n v="0"/>
    <n v="0"/>
    <n v="0"/>
  </r>
  <r>
    <x v="0"/>
    <x v="1"/>
    <x v="1"/>
    <n v="394"/>
    <x v="0"/>
    <n v="26"/>
    <x v="2"/>
    <n v="2"/>
    <s v="Life Sciences"/>
    <n v="158"/>
    <n v="3"/>
    <x v="1"/>
    <n v="92"/>
    <n v="3"/>
    <n v="4"/>
    <x v="5"/>
    <x v="0"/>
    <x v="1"/>
    <x v="116"/>
    <n v="19494"/>
    <n v="1"/>
    <x v="0"/>
    <n v="12"/>
    <n v="3"/>
    <n v="4"/>
    <x v="3"/>
    <n v="25"/>
    <x v="2"/>
    <n v="3"/>
    <n v="4"/>
    <x v="3"/>
    <n v="12"/>
    <n v="4"/>
    <n v="12"/>
  </r>
  <r>
    <x v="2"/>
    <x v="1"/>
    <x v="1"/>
    <n v="1312"/>
    <x v="1"/>
    <n v="23"/>
    <x v="2"/>
    <n v="3"/>
    <s v="Life Sciences"/>
    <n v="159"/>
    <n v="1"/>
    <x v="1"/>
    <n v="96"/>
    <n v="1"/>
    <n v="1"/>
    <x v="1"/>
    <x v="2"/>
    <x v="2"/>
    <x v="117"/>
    <n v="22310"/>
    <n v="1"/>
    <x v="1"/>
    <n v="25"/>
    <n v="4"/>
    <n v="3"/>
    <x v="2"/>
    <n v="10"/>
    <x v="0"/>
    <n v="2"/>
    <n v="2"/>
    <x v="0"/>
    <n v="7"/>
    <n v="0"/>
    <n v="9"/>
  </r>
  <r>
    <x v="2"/>
    <x v="1"/>
    <x v="2"/>
    <n v="750"/>
    <x v="0"/>
    <n v="22"/>
    <x v="2"/>
    <n v="2"/>
    <s v="Marketing"/>
    <n v="160"/>
    <n v="3"/>
    <x v="1"/>
    <n v="95"/>
    <n v="3"/>
    <n v="2"/>
    <x v="0"/>
    <x v="1"/>
    <x v="1"/>
    <x v="118"/>
    <n v="15480"/>
    <n v="0"/>
    <x v="1"/>
    <n v="13"/>
    <n v="3"/>
    <n v="1"/>
    <x v="1"/>
    <n v="8"/>
    <x v="0"/>
    <n v="2"/>
    <n v="4"/>
    <x v="0"/>
    <n v="7"/>
    <n v="0"/>
    <n v="7"/>
  </r>
  <r>
    <x v="1"/>
    <x v="0"/>
    <x v="0"/>
    <n v="441"/>
    <x v="1"/>
    <n v="14"/>
    <x v="1"/>
    <n v="4"/>
    <s v="Life Sciences"/>
    <n v="161"/>
    <n v="2"/>
    <x v="0"/>
    <n v="72"/>
    <n v="3"/>
    <n v="1"/>
    <x v="1"/>
    <x v="1"/>
    <x v="1"/>
    <x v="119"/>
    <n v="4510"/>
    <n v="9"/>
    <x v="0"/>
    <n v="18"/>
    <n v="3"/>
    <n v="1"/>
    <x v="2"/>
    <n v="7"/>
    <x v="0"/>
    <n v="2"/>
    <n v="3"/>
    <x v="2"/>
    <n v="4"/>
    <n v="4"/>
    <n v="3"/>
  </r>
  <r>
    <x v="1"/>
    <x v="1"/>
    <x v="0"/>
    <n v="684"/>
    <x v="1"/>
    <n v="6"/>
    <x v="1"/>
    <n v="3"/>
    <s v="Life Sciences"/>
    <n v="162"/>
    <n v="1"/>
    <x v="1"/>
    <n v="51"/>
    <n v="3"/>
    <n v="5"/>
    <x v="7"/>
    <x v="2"/>
    <x v="0"/>
    <x v="120"/>
    <n v="6462"/>
    <n v="7"/>
    <x v="1"/>
    <n v="13"/>
    <n v="3"/>
    <n v="3"/>
    <x v="0"/>
    <n v="23"/>
    <x v="2"/>
    <n v="5"/>
    <n v="3"/>
    <x v="3"/>
    <n v="18"/>
    <n v="15"/>
    <n v="15"/>
  </r>
  <r>
    <x v="2"/>
    <x v="0"/>
    <x v="0"/>
    <n v="249"/>
    <x v="0"/>
    <n v="6"/>
    <x v="1"/>
    <n v="4"/>
    <s v="Life Sciences"/>
    <n v="163"/>
    <n v="2"/>
    <x v="1"/>
    <n v="76"/>
    <n v="1"/>
    <n v="2"/>
    <x v="0"/>
    <x v="2"/>
    <x v="1"/>
    <x v="121"/>
    <n v="20739"/>
    <n v="4"/>
    <x v="0"/>
    <n v="18"/>
    <n v="3"/>
    <n v="2"/>
    <x v="0"/>
    <n v="12"/>
    <x v="0"/>
    <n v="3"/>
    <n v="2"/>
    <x v="0"/>
    <n v="7"/>
    <n v="7"/>
    <n v="7"/>
  </r>
  <r>
    <x v="2"/>
    <x v="1"/>
    <x v="0"/>
    <n v="841"/>
    <x v="1"/>
    <n v="6"/>
    <x v="1"/>
    <n v="3"/>
    <s v="Other"/>
    <n v="164"/>
    <n v="3"/>
    <x v="0"/>
    <n v="46"/>
    <n v="2"/>
    <n v="1"/>
    <x v="1"/>
    <x v="1"/>
    <x v="1"/>
    <x v="122"/>
    <n v="23300"/>
    <n v="1"/>
    <x v="1"/>
    <n v="19"/>
    <n v="3"/>
    <n v="3"/>
    <x v="0"/>
    <n v="5"/>
    <x v="1"/>
    <n v="3"/>
    <n v="2"/>
    <x v="2"/>
    <n v="4"/>
    <n v="4"/>
    <n v="3"/>
  </r>
  <r>
    <x v="1"/>
    <x v="0"/>
    <x v="0"/>
    <n v="147"/>
    <x v="1"/>
    <n v="23"/>
    <x v="2"/>
    <n v="4"/>
    <s v="Medical"/>
    <n v="165"/>
    <n v="4"/>
    <x v="0"/>
    <n v="94"/>
    <n v="3"/>
    <n v="3"/>
    <x v="4"/>
    <x v="0"/>
    <x v="1"/>
    <x v="123"/>
    <n v="3465"/>
    <n v="1"/>
    <x v="1"/>
    <n v="12"/>
    <n v="3"/>
    <n v="4"/>
    <x v="1"/>
    <n v="40"/>
    <x v="2"/>
    <n v="3"/>
    <n v="2"/>
    <x v="3"/>
    <n v="10"/>
    <n v="15"/>
    <n v="6"/>
  </r>
  <r>
    <x v="3"/>
    <x v="0"/>
    <x v="0"/>
    <n v="528"/>
    <x v="0"/>
    <n v="22"/>
    <x v="2"/>
    <n v="1"/>
    <s v="Marketing"/>
    <n v="167"/>
    <n v="4"/>
    <x v="1"/>
    <n v="50"/>
    <n v="3"/>
    <n v="1"/>
    <x v="6"/>
    <x v="2"/>
    <x v="0"/>
    <x v="124"/>
    <n v="26820"/>
    <n v="1"/>
    <x v="0"/>
    <n v="19"/>
    <n v="3"/>
    <n v="4"/>
    <x v="0"/>
    <n v="0"/>
    <x v="1"/>
    <n v="2"/>
    <n v="2"/>
    <x v="1"/>
    <n v="0"/>
    <n v="0"/>
    <n v="0"/>
  </r>
  <r>
    <x v="3"/>
    <x v="1"/>
    <x v="0"/>
    <n v="594"/>
    <x v="1"/>
    <n v="2"/>
    <x v="0"/>
    <n v="1"/>
    <s v="Technical Degree"/>
    <n v="169"/>
    <n v="3"/>
    <x v="1"/>
    <n v="100"/>
    <n v="3"/>
    <n v="1"/>
    <x v="2"/>
    <x v="0"/>
    <x v="1"/>
    <x v="125"/>
    <n v="19299"/>
    <n v="0"/>
    <x v="1"/>
    <n v="14"/>
    <n v="3"/>
    <n v="3"/>
    <x v="1"/>
    <n v="3"/>
    <x v="1"/>
    <n v="2"/>
    <n v="3"/>
    <x v="1"/>
    <n v="1"/>
    <n v="2"/>
    <n v="1"/>
  </r>
  <r>
    <x v="1"/>
    <x v="1"/>
    <x v="0"/>
    <n v="470"/>
    <x v="1"/>
    <n v="20"/>
    <x v="2"/>
    <n v="4"/>
    <s v="Medical"/>
    <n v="170"/>
    <n v="3"/>
    <x v="0"/>
    <n v="96"/>
    <n v="3"/>
    <n v="2"/>
    <x v="3"/>
    <x v="3"/>
    <x v="1"/>
    <x v="126"/>
    <n v="5549"/>
    <n v="1"/>
    <x v="1"/>
    <n v="14"/>
    <n v="3"/>
    <n v="3"/>
    <x v="0"/>
    <n v="16"/>
    <x v="2"/>
    <n v="2"/>
    <n v="2"/>
    <x v="3"/>
    <n v="11"/>
    <n v="5"/>
    <n v="11"/>
  </r>
  <r>
    <x v="0"/>
    <x v="1"/>
    <x v="1"/>
    <n v="957"/>
    <x v="1"/>
    <n v="28"/>
    <x v="2"/>
    <n v="3"/>
    <s v="Medical"/>
    <n v="171"/>
    <n v="2"/>
    <x v="0"/>
    <n v="72"/>
    <n v="4"/>
    <n v="1"/>
    <x v="1"/>
    <x v="2"/>
    <x v="0"/>
    <x v="127"/>
    <n v="16090"/>
    <n v="4"/>
    <x v="1"/>
    <n v="12"/>
    <n v="3"/>
    <n v="4"/>
    <x v="0"/>
    <n v="18"/>
    <x v="2"/>
    <n v="2"/>
    <n v="3"/>
    <x v="2"/>
    <n v="2"/>
    <n v="1"/>
    <n v="2"/>
  </r>
  <r>
    <x v="1"/>
    <x v="1"/>
    <x v="1"/>
    <n v="809"/>
    <x v="0"/>
    <n v="12"/>
    <x v="1"/>
    <n v="3"/>
    <s v="Marketing"/>
    <n v="174"/>
    <n v="3"/>
    <x v="0"/>
    <n v="77"/>
    <n v="3"/>
    <n v="3"/>
    <x v="0"/>
    <x v="0"/>
    <x v="0"/>
    <x v="128"/>
    <n v="6645"/>
    <n v="4"/>
    <x v="1"/>
    <n v="11"/>
    <n v="3"/>
    <n v="4"/>
    <x v="0"/>
    <n v="16"/>
    <x v="2"/>
    <n v="3"/>
    <n v="3"/>
    <x v="1"/>
    <n v="2"/>
    <n v="2"/>
    <n v="1"/>
  </r>
  <r>
    <x v="2"/>
    <x v="0"/>
    <x v="0"/>
    <n v="542"/>
    <x v="0"/>
    <n v="20"/>
    <x v="2"/>
    <n v="3"/>
    <s v="Life Sciences"/>
    <n v="175"/>
    <n v="2"/>
    <x v="0"/>
    <n v="71"/>
    <n v="1"/>
    <n v="2"/>
    <x v="0"/>
    <x v="2"/>
    <x v="1"/>
    <x v="129"/>
    <n v="24788"/>
    <n v="3"/>
    <x v="0"/>
    <n v="11"/>
    <n v="3"/>
    <n v="3"/>
    <x v="1"/>
    <n v="4"/>
    <x v="1"/>
    <n v="2"/>
    <n v="3"/>
    <x v="1"/>
    <n v="2"/>
    <n v="2"/>
    <n v="2"/>
  </r>
  <r>
    <x v="0"/>
    <x v="1"/>
    <x v="0"/>
    <n v="802"/>
    <x v="0"/>
    <n v="9"/>
    <x v="1"/>
    <n v="1"/>
    <s v="Life Sciences"/>
    <n v="176"/>
    <n v="3"/>
    <x v="1"/>
    <n v="96"/>
    <n v="3"/>
    <n v="3"/>
    <x v="0"/>
    <x v="2"/>
    <x v="2"/>
    <x v="130"/>
    <n v="21196"/>
    <n v="3"/>
    <x v="0"/>
    <n v="13"/>
    <n v="3"/>
    <n v="3"/>
    <x v="1"/>
    <n v="12"/>
    <x v="0"/>
    <n v="2"/>
    <n v="3"/>
    <x v="0"/>
    <n v="7"/>
    <n v="0"/>
    <n v="7"/>
  </r>
  <r>
    <x v="2"/>
    <x v="1"/>
    <x v="0"/>
    <n v="1355"/>
    <x v="2"/>
    <n v="25"/>
    <x v="2"/>
    <n v="1"/>
    <s v="Life Sciences"/>
    <n v="177"/>
    <n v="3"/>
    <x v="0"/>
    <n v="61"/>
    <n v="3"/>
    <n v="1"/>
    <x v="8"/>
    <x v="2"/>
    <x v="1"/>
    <x v="131"/>
    <n v="8916"/>
    <n v="1"/>
    <x v="1"/>
    <n v="23"/>
    <n v="4"/>
    <n v="4"/>
    <x v="1"/>
    <n v="8"/>
    <x v="0"/>
    <n v="3"/>
    <n v="3"/>
    <x v="0"/>
    <n v="7"/>
    <n v="5"/>
    <n v="7"/>
  </r>
  <r>
    <x v="0"/>
    <x v="1"/>
    <x v="0"/>
    <n v="216"/>
    <x v="1"/>
    <n v="6"/>
    <x v="1"/>
    <n v="2"/>
    <s v="Medical"/>
    <n v="178"/>
    <n v="2"/>
    <x v="1"/>
    <n v="84"/>
    <n v="3"/>
    <n v="2"/>
    <x v="3"/>
    <x v="1"/>
    <x v="2"/>
    <x v="132"/>
    <n v="2819"/>
    <n v="6"/>
    <x v="1"/>
    <n v="20"/>
    <n v="4"/>
    <n v="4"/>
    <x v="3"/>
    <n v="7"/>
    <x v="0"/>
    <n v="0"/>
    <n v="3"/>
    <x v="2"/>
    <n v="2"/>
    <n v="0"/>
    <n v="1"/>
  </r>
  <r>
    <x v="1"/>
    <x v="0"/>
    <x v="1"/>
    <n v="1150"/>
    <x v="1"/>
    <n v="8"/>
    <x v="1"/>
    <n v="4"/>
    <s v="Life Sciences"/>
    <n v="179"/>
    <n v="1"/>
    <x v="1"/>
    <n v="53"/>
    <n v="1"/>
    <n v="3"/>
    <x v="3"/>
    <x v="0"/>
    <x v="0"/>
    <x v="133"/>
    <n v="25150"/>
    <n v="2"/>
    <x v="1"/>
    <n v="15"/>
    <n v="3"/>
    <n v="4"/>
    <x v="0"/>
    <n v="18"/>
    <x v="2"/>
    <n v="2"/>
    <n v="3"/>
    <x v="2"/>
    <n v="2"/>
    <n v="0"/>
    <n v="3"/>
  </r>
  <r>
    <x v="0"/>
    <x v="1"/>
    <x v="0"/>
    <n v="1329"/>
    <x v="0"/>
    <n v="4"/>
    <x v="0"/>
    <n v="4"/>
    <s v="Life Sciences"/>
    <n v="182"/>
    <n v="4"/>
    <x v="0"/>
    <n v="47"/>
    <n v="2"/>
    <n v="2"/>
    <x v="0"/>
    <x v="2"/>
    <x v="1"/>
    <x v="134"/>
    <n v="14590"/>
    <n v="4"/>
    <x v="1"/>
    <n v="14"/>
    <n v="3"/>
    <n v="3"/>
    <x v="1"/>
    <n v="17"/>
    <x v="2"/>
    <n v="1"/>
    <n v="4"/>
    <x v="3"/>
    <n v="11"/>
    <n v="5"/>
    <n v="9"/>
  </r>
  <r>
    <x v="3"/>
    <x v="1"/>
    <x v="0"/>
    <n v="959"/>
    <x v="0"/>
    <n v="28"/>
    <x v="2"/>
    <n v="3"/>
    <s v="Life Sciences"/>
    <n v="183"/>
    <n v="1"/>
    <x v="1"/>
    <n v="41"/>
    <n v="2"/>
    <n v="2"/>
    <x v="0"/>
    <x v="2"/>
    <x v="1"/>
    <x v="135"/>
    <n v="24835"/>
    <n v="2"/>
    <x v="1"/>
    <n v="18"/>
    <n v="3"/>
    <n v="4"/>
    <x v="0"/>
    <n v="6"/>
    <x v="0"/>
    <n v="3"/>
    <n v="3"/>
    <x v="1"/>
    <n v="2"/>
    <n v="2"/>
    <n v="2"/>
  </r>
  <r>
    <x v="2"/>
    <x v="1"/>
    <x v="0"/>
    <n v="1240"/>
    <x v="2"/>
    <n v="9"/>
    <x v="1"/>
    <n v="3"/>
    <s v="Human Resources"/>
    <n v="184"/>
    <n v="3"/>
    <x v="1"/>
    <n v="48"/>
    <n v="3"/>
    <n v="2"/>
    <x v="8"/>
    <x v="0"/>
    <x v="1"/>
    <x v="136"/>
    <n v="13982"/>
    <n v="0"/>
    <x v="0"/>
    <n v="19"/>
    <n v="3"/>
    <n v="4"/>
    <x v="0"/>
    <n v="12"/>
    <x v="0"/>
    <n v="2"/>
    <n v="1"/>
    <x v="3"/>
    <n v="9"/>
    <n v="4"/>
    <n v="7"/>
  </r>
  <r>
    <x v="2"/>
    <x v="0"/>
    <x v="0"/>
    <n v="1033"/>
    <x v="1"/>
    <n v="9"/>
    <x v="1"/>
    <n v="3"/>
    <s v="Medical"/>
    <n v="190"/>
    <n v="1"/>
    <x v="0"/>
    <n v="41"/>
    <n v="3"/>
    <n v="1"/>
    <x v="2"/>
    <x v="3"/>
    <x v="0"/>
    <x v="137"/>
    <n v="10224"/>
    <n v="7"/>
    <x v="1"/>
    <n v="22"/>
    <n v="4"/>
    <n v="1"/>
    <x v="0"/>
    <n v="10"/>
    <x v="0"/>
    <n v="2"/>
    <n v="4"/>
    <x v="2"/>
    <n v="4"/>
    <n v="0"/>
    <n v="4"/>
  </r>
  <r>
    <x v="0"/>
    <x v="1"/>
    <x v="0"/>
    <n v="1316"/>
    <x v="1"/>
    <n v="29"/>
    <x v="2"/>
    <n v="3"/>
    <s v="Medical"/>
    <n v="192"/>
    <n v="3"/>
    <x v="1"/>
    <n v="83"/>
    <n v="3"/>
    <n v="1"/>
    <x v="1"/>
    <x v="0"/>
    <x v="0"/>
    <x v="138"/>
    <n v="9752"/>
    <n v="5"/>
    <x v="1"/>
    <n v="13"/>
    <n v="3"/>
    <n v="2"/>
    <x v="0"/>
    <n v="9"/>
    <x v="0"/>
    <n v="2"/>
    <n v="2"/>
    <x v="0"/>
    <n v="5"/>
    <n v="0"/>
    <n v="3"/>
  </r>
  <r>
    <x v="0"/>
    <x v="1"/>
    <x v="0"/>
    <n v="364"/>
    <x v="1"/>
    <n v="3"/>
    <x v="0"/>
    <n v="5"/>
    <s v="Technical Degree"/>
    <n v="193"/>
    <n v="4"/>
    <x v="0"/>
    <n v="32"/>
    <n v="3"/>
    <n v="2"/>
    <x v="1"/>
    <x v="2"/>
    <x v="0"/>
    <x v="139"/>
    <n v="2302"/>
    <n v="3"/>
    <x v="0"/>
    <n v="20"/>
    <n v="4"/>
    <n v="2"/>
    <x v="0"/>
    <n v="19"/>
    <x v="2"/>
    <n v="2"/>
    <n v="3"/>
    <x v="2"/>
    <n v="2"/>
    <n v="2"/>
    <n v="2"/>
  </r>
  <r>
    <x v="2"/>
    <x v="1"/>
    <x v="0"/>
    <n v="438"/>
    <x v="1"/>
    <n v="18"/>
    <x v="2"/>
    <n v="3"/>
    <s v="Life Sciences"/>
    <n v="194"/>
    <n v="1"/>
    <x v="0"/>
    <n v="75"/>
    <n v="3"/>
    <n v="1"/>
    <x v="1"/>
    <x v="2"/>
    <x v="0"/>
    <x v="140"/>
    <n v="23910"/>
    <n v="1"/>
    <x v="1"/>
    <n v="14"/>
    <n v="3"/>
    <n v="3"/>
    <x v="0"/>
    <n v="5"/>
    <x v="1"/>
    <n v="4"/>
    <n v="2"/>
    <x v="2"/>
    <n v="4"/>
    <n v="0"/>
    <n v="4"/>
  </r>
  <r>
    <x v="2"/>
    <x v="1"/>
    <x v="1"/>
    <n v="689"/>
    <x v="0"/>
    <n v="9"/>
    <x v="1"/>
    <n v="2"/>
    <s v="Medical"/>
    <n v="195"/>
    <n v="4"/>
    <x v="1"/>
    <n v="35"/>
    <n v="1"/>
    <n v="2"/>
    <x v="0"/>
    <x v="0"/>
    <x v="2"/>
    <x v="141"/>
    <n v="22812"/>
    <n v="0"/>
    <x v="1"/>
    <n v="17"/>
    <n v="3"/>
    <n v="4"/>
    <x v="2"/>
    <n v="9"/>
    <x v="0"/>
    <n v="2"/>
    <n v="4"/>
    <x v="0"/>
    <n v="7"/>
    <n v="0"/>
    <n v="7"/>
  </r>
  <r>
    <x v="2"/>
    <x v="1"/>
    <x v="0"/>
    <n v="201"/>
    <x v="1"/>
    <n v="5"/>
    <x v="0"/>
    <n v="3"/>
    <s v="Technical Degree"/>
    <n v="197"/>
    <n v="4"/>
    <x v="0"/>
    <n v="84"/>
    <n v="3"/>
    <n v="1"/>
    <x v="1"/>
    <x v="3"/>
    <x v="2"/>
    <x v="142"/>
    <n v="10415"/>
    <n v="5"/>
    <x v="1"/>
    <n v="14"/>
    <n v="3"/>
    <n v="4"/>
    <x v="1"/>
    <n v="8"/>
    <x v="0"/>
    <n v="3"/>
    <n v="3"/>
    <x v="2"/>
    <n v="2"/>
    <n v="2"/>
    <n v="2"/>
  </r>
  <r>
    <x v="2"/>
    <x v="1"/>
    <x v="0"/>
    <n v="1427"/>
    <x v="1"/>
    <n v="2"/>
    <x v="0"/>
    <n v="1"/>
    <s v="Medical"/>
    <n v="198"/>
    <n v="2"/>
    <x v="1"/>
    <n v="35"/>
    <n v="2"/>
    <n v="1"/>
    <x v="2"/>
    <x v="0"/>
    <x v="0"/>
    <x v="143"/>
    <n v="11162"/>
    <n v="0"/>
    <x v="1"/>
    <n v="13"/>
    <n v="3"/>
    <n v="4"/>
    <x v="0"/>
    <n v="6"/>
    <x v="0"/>
    <n v="3"/>
    <n v="3"/>
    <x v="2"/>
    <n v="3"/>
    <n v="1"/>
    <n v="2"/>
  </r>
  <r>
    <x v="0"/>
    <x v="1"/>
    <x v="1"/>
    <n v="857"/>
    <x v="1"/>
    <n v="10"/>
    <x v="1"/>
    <n v="3"/>
    <s v="Life Sciences"/>
    <n v="199"/>
    <n v="4"/>
    <x v="1"/>
    <n v="91"/>
    <n v="2"/>
    <n v="4"/>
    <x v="5"/>
    <x v="3"/>
    <x v="2"/>
    <x v="144"/>
    <n v="12888"/>
    <n v="4"/>
    <x v="1"/>
    <n v="13"/>
    <n v="3"/>
    <n v="2"/>
    <x v="1"/>
    <n v="21"/>
    <x v="2"/>
    <n v="2"/>
    <n v="2"/>
    <x v="0"/>
    <n v="6"/>
    <n v="7"/>
    <n v="7"/>
  </r>
  <r>
    <x v="0"/>
    <x v="1"/>
    <x v="0"/>
    <n v="933"/>
    <x v="1"/>
    <n v="9"/>
    <x v="1"/>
    <n v="4"/>
    <s v="Life Sciences"/>
    <n v="200"/>
    <n v="3"/>
    <x v="1"/>
    <n v="94"/>
    <n v="3"/>
    <n v="1"/>
    <x v="2"/>
    <x v="3"/>
    <x v="1"/>
    <x v="145"/>
    <n v="6961"/>
    <n v="2"/>
    <x v="1"/>
    <n v="21"/>
    <n v="4"/>
    <n v="4"/>
    <x v="1"/>
    <n v="7"/>
    <x v="0"/>
    <n v="2"/>
    <n v="3"/>
    <x v="2"/>
    <n v="0"/>
    <n v="1"/>
    <n v="4"/>
  </r>
  <r>
    <x v="3"/>
    <x v="1"/>
    <x v="0"/>
    <n v="1181"/>
    <x v="1"/>
    <n v="3"/>
    <x v="0"/>
    <n v="1"/>
    <s v="Medical"/>
    <n v="201"/>
    <n v="2"/>
    <x v="0"/>
    <n v="79"/>
    <n v="3"/>
    <n v="1"/>
    <x v="2"/>
    <x v="1"/>
    <x v="0"/>
    <x v="146"/>
    <n v="16102"/>
    <n v="1"/>
    <x v="1"/>
    <n v="14"/>
    <n v="3"/>
    <n v="4"/>
    <x v="0"/>
    <n v="1"/>
    <x v="1"/>
    <n v="3"/>
    <n v="3"/>
    <x v="1"/>
    <n v="0"/>
    <n v="0"/>
    <n v="0"/>
  </r>
  <r>
    <x v="0"/>
    <x v="1"/>
    <x v="1"/>
    <n v="1395"/>
    <x v="1"/>
    <n v="26"/>
    <x v="2"/>
    <n v="3"/>
    <s v="Medical"/>
    <n v="202"/>
    <n v="2"/>
    <x v="0"/>
    <n v="54"/>
    <n v="3"/>
    <n v="2"/>
    <x v="1"/>
    <x v="1"/>
    <x v="2"/>
    <x v="147"/>
    <n v="8504"/>
    <n v="1"/>
    <x v="1"/>
    <n v="11"/>
    <n v="3"/>
    <n v="1"/>
    <x v="1"/>
    <n v="20"/>
    <x v="2"/>
    <n v="2"/>
    <n v="3"/>
    <x v="3"/>
    <n v="7"/>
    <n v="2"/>
    <n v="13"/>
  </r>
  <r>
    <x v="2"/>
    <x v="1"/>
    <x v="0"/>
    <n v="662"/>
    <x v="0"/>
    <n v="1"/>
    <x v="0"/>
    <n v="5"/>
    <s v="Marketing"/>
    <n v="204"/>
    <n v="3"/>
    <x v="1"/>
    <n v="94"/>
    <n v="3"/>
    <n v="3"/>
    <x v="0"/>
    <x v="1"/>
    <x v="1"/>
    <x v="148"/>
    <n v="11439"/>
    <n v="1"/>
    <x v="1"/>
    <n v="13"/>
    <n v="3"/>
    <n v="1"/>
    <x v="3"/>
    <n v="10"/>
    <x v="0"/>
    <n v="3"/>
    <n v="3"/>
    <x v="0"/>
    <n v="8"/>
    <n v="0"/>
    <n v="6"/>
  </r>
  <r>
    <x v="1"/>
    <x v="1"/>
    <x v="0"/>
    <n v="1436"/>
    <x v="0"/>
    <n v="6"/>
    <x v="1"/>
    <n v="2"/>
    <s v="Marketing"/>
    <n v="205"/>
    <n v="2"/>
    <x v="1"/>
    <n v="34"/>
    <n v="3"/>
    <n v="2"/>
    <x v="6"/>
    <x v="2"/>
    <x v="1"/>
    <x v="149"/>
    <n v="16047"/>
    <n v="2"/>
    <x v="0"/>
    <n v="20"/>
    <n v="4"/>
    <n v="4"/>
    <x v="1"/>
    <n v="13"/>
    <x v="0"/>
    <n v="3"/>
    <n v="1"/>
    <x v="0"/>
    <n v="7"/>
    <n v="4"/>
    <n v="5"/>
  </r>
  <r>
    <x v="0"/>
    <x v="1"/>
    <x v="0"/>
    <n v="194"/>
    <x v="1"/>
    <n v="9"/>
    <x v="1"/>
    <n v="3"/>
    <s v="Life Sciences"/>
    <n v="206"/>
    <n v="2"/>
    <x v="1"/>
    <n v="60"/>
    <n v="3"/>
    <n v="2"/>
    <x v="2"/>
    <x v="1"/>
    <x v="2"/>
    <x v="150"/>
    <n v="10901"/>
    <n v="8"/>
    <x v="1"/>
    <n v="18"/>
    <n v="3"/>
    <n v="3"/>
    <x v="1"/>
    <n v="20"/>
    <x v="2"/>
    <n v="2"/>
    <n v="1"/>
    <x v="3"/>
    <n v="9"/>
    <n v="0"/>
    <n v="15"/>
  </r>
  <r>
    <x v="2"/>
    <x v="1"/>
    <x v="1"/>
    <n v="967"/>
    <x v="0"/>
    <n v="8"/>
    <x v="1"/>
    <n v="3"/>
    <s v="Marketing"/>
    <n v="207"/>
    <n v="2"/>
    <x v="0"/>
    <n v="43"/>
    <n v="3"/>
    <n v="3"/>
    <x v="0"/>
    <x v="0"/>
    <x v="0"/>
    <x v="151"/>
    <n v="15589"/>
    <n v="1"/>
    <x v="1"/>
    <n v="14"/>
    <n v="3"/>
    <n v="4"/>
    <x v="0"/>
    <n v="9"/>
    <x v="0"/>
    <n v="2"/>
    <n v="3"/>
    <x v="0"/>
    <n v="8"/>
    <n v="3"/>
    <n v="7"/>
  </r>
  <r>
    <x v="2"/>
    <x v="1"/>
    <x v="2"/>
    <n v="1496"/>
    <x v="1"/>
    <n v="1"/>
    <x v="0"/>
    <n v="1"/>
    <s v="Technical Degree"/>
    <n v="208"/>
    <n v="4"/>
    <x v="1"/>
    <n v="41"/>
    <n v="3"/>
    <n v="2"/>
    <x v="3"/>
    <x v="2"/>
    <x v="1"/>
    <x v="152"/>
    <n v="26283"/>
    <n v="1"/>
    <x v="1"/>
    <n v="13"/>
    <n v="3"/>
    <n v="1"/>
    <x v="1"/>
    <n v="10"/>
    <x v="0"/>
    <n v="1"/>
    <n v="3"/>
    <x v="0"/>
    <n v="7"/>
    <n v="0"/>
    <n v="9"/>
  </r>
  <r>
    <x v="1"/>
    <x v="1"/>
    <x v="0"/>
    <n v="1169"/>
    <x v="1"/>
    <n v="7"/>
    <x v="1"/>
    <n v="4"/>
    <s v="Medical"/>
    <n v="211"/>
    <n v="2"/>
    <x v="1"/>
    <n v="34"/>
    <n v="2"/>
    <n v="2"/>
    <x v="3"/>
    <x v="2"/>
    <x v="1"/>
    <x v="153"/>
    <n v="13983"/>
    <n v="2"/>
    <x v="1"/>
    <n v="17"/>
    <n v="3"/>
    <n v="3"/>
    <x v="0"/>
    <n v="10"/>
    <x v="0"/>
    <n v="2"/>
    <n v="3"/>
    <x v="1"/>
    <n v="0"/>
    <n v="0"/>
    <n v="0"/>
  </r>
  <r>
    <x v="1"/>
    <x v="1"/>
    <x v="0"/>
    <n v="1145"/>
    <x v="1"/>
    <n v="9"/>
    <x v="1"/>
    <n v="3"/>
    <s v="Medical"/>
    <n v="214"/>
    <n v="2"/>
    <x v="0"/>
    <n v="75"/>
    <n v="2"/>
    <n v="1"/>
    <x v="1"/>
    <x v="1"/>
    <x v="1"/>
    <x v="154"/>
    <n v="11873"/>
    <n v="4"/>
    <x v="0"/>
    <n v="20"/>
    <n v="4"/>
    <n v="2"/>
    <x v="1"/>
    <n v="9"/>
    <x v="0"/>
    <n v="3"/>
    <n v="2"/>
    <x v="1"/>
    <n v="0"/>
    <n v="0"/>
    <n v="0"/>
  </r>
  <r>
    <x v="0"/>
    <x v="1"/>
    <x v="0"/>
    <n v="630"/>
    <x v="0"/>
    <n v="4"/>
    <x v="0"/>
    <n v="4"/>
    <s v="Marketing"/>
    <n v="215"/>
    <n v="3"/>
    <x v="1"/>
    <n v="67"/>
    <n v="2"/>
    <n v="3"/>
    <x v="0"/>
    <x v="0"/>
    <x v="1"/>
    <x v="155"/>
    <n v="8552"/>
    <n v="7"/>
    <x v="1"/>
    <n v="11"/>
    <n v="3"/>
    <n v="1"/>
    <x v="1"/>
    <n v="15"/>
    <x v="0"/>
    <n v="2"/>
    <n v="2"/>
    <x v="3"/>
    <n v="11"/>
    <n v="2"/>
    <n v="11"/>
  </r>
  <r>
    <x v="2"/>
    <x v="1"/>
    <x v="1"/>
    <n v="303"/>
    <x v="0"/>
    <n v="2"/>
    <x v="0"/>
    <n v="4"/>
    <s v="Marketing"/>
    <n v="216"/>
    <n v="3"/>
    <x v="0"/>
    <n v="75"/>
    <n v="3"/>
    <n v="1"/>
    <x v="6"/>
    <x v="2"/>
    <x v="1"/>
    <x v="156"/>
    <n v="11314"/>
    <n v="6"/>
    <x v="1"/>
    <n v="18"/>
    <n v="3"/>
    <n v="4"/>
    <x v="1"/>
    <n v="6"/>
    <x v="0"/>
    <n v="3"/>
    <n v="3"/>
    <x v="2"/>
    <n v="3"/>
    <n v="1"/>
    <n v="2"/>
  </r>
  <r>
    <x v="3"/>
    <x v="1"/>
    <x v="0"/>
    <n v="1256"/>
    <x v="1"/>
    <n v="19"/>
    <x v="2"/>
    <n v="1"/>
    <s v="Medical"/>
    <n v="217"/>
    <n v="3"/>
    <x v="1"/>
    <n v="80"/>
    <n v="3"/>
    <n v="1"/>
    <x v="1"/>
    <x v="0"/>
    <x v="1"/>
    <x v="157"/>
    <n v="11992"/>
    <n v="1"/>
    <x v="1"/>
    <n v="24"/>
    <n v="4"/>
    <n v="1"/>
    <x v="3"/>
    <n v="2"/>
    <x v="1"/>
    <n v="6"/>
    <n v="3"/>
    <x v="1"/>
    <n v="2"/>
    <n v="2"/>
    <n v="2"/>
  </r>
  <r>
    <x v="2"/>
    <x v="1"/>
    <x v="2"/>
    <n v="691"/>
    <x v="1"/>
    <n v="9"/>
    <x v="1"/>
    <n v="3"/>
    <s v="Medical"/>
    <n v="218"/>
    <n v="4"/>
    <x v="1"/>
    <n v="57"/>
    <n v="3"/>
    <n v="1"/>
    <x v="1"/>
    <x v="1"/>
    <x v="2"/>
    <x v="158"/>
    <n v="5970"/>
    <n v="6"/>
    <x v="1"/>
    <n v="18"/>
    <n v="3"/>
    <n v="4"/>
    <x v="1"/>
    <n v="6"/>
    <x v="0"/>
    <n v="1"/>
    <n v="1"/>
    <x v="1"/>
    <n v="2"/>
    <n v="2"/>
    <n v="2"/>
  </r>
  <r>
    <x v="2"/>
    <x v="1"/>
    <x v="0"/>
    <n v="440"/>
    <x v="1"/>
    <n v="21"/>
    <x v="2"/>
    <n v="3"/>
    <s v="Medical"/>
    <n v="221"/>
    <n v="3"/>
    <x v="1"/>
    <n v="42"/>
    <n v="3"/>
    <n v="1"/>
    <x v="1"/>
    <x v="0"/>
    <x v="1"/>
    <x v="159"/>
    <n v="6672"/>
    <n v="1"/>
    <x v="1"/>
    <n v="11"/>
    <n v="3"/>
    <n v="3"/>
    <x v="1"/>
    <n v="5"/>
    <x v="1"/>
    <n v="2"/>
    <n v="1"/>
    <x v="2"/>
    <n v="2"/>
    <n v="0"/>
    <n v="2"/>
  </r>
  <r>
    <x v="1"/>
    <x v="1"/>
    <x v="0"/>
    <n v="334"/>
    <x v="1"/>
    <n v="24"/>
    <x v="2"/>
    <n v="2"/>
    <s v="Life Sciences"/>
    <n v="223"/>
    <n v="3"/>
    <x v="1"/>
    <n v="83"/>
    <n v="4"/>
    <n v="3"/>
    <x v="4"/>
    <x v="0"/>
    <x v="2"/>
    <x v="160"/>
    <n v="23402"/>
    <n v="3"/>
    <x v="0"/>
    <n v="16"/>
    <n v="3"/>
    <n v="2"/>
    <x v="1"/>
    <n v="12"/>
    <x v="0"/>
    <n v="2"/>
    <n v="1"/>
    <x v="2"/>
    <n v="3"/>
    <n v="1"/>
    <n v="4"/>
  </r>
  <r>
    <x v="2"/>
    <x v="1"/>
    <x v="2"/>
    <n v="1450"/>
    <x v="1"/>
    <n v="3"/>
    <x v="0"/>
    <n v="3"/>
    <s v="Medical"/>
    <n v="224"/>
    <n v="3"/>
    <x v="1"/>
    <n v="79"/>
    <n v="2"/>
    <n v="1"/>
    <x v="1"/>
    <x v="2"/>
    <x v="2"/>
    <x v="161"/>
    <n v="25326"/>
    <n v="1"/>
    <x v="0"/>
    <n v="15"/>
    <n v="3"/>
    <n v="4"/>
    <x v="1"/>
    <n v="1"/>
    <x v="1"/>
    <n v="2"/>
    <n v="2"/>
    <x v="1"/>
    <n v="1"/>
    <n v="0"/>
    <n v="1"/>
  </r>
  <r>
    <x v="1"/>
    <x v="1"/>
    <x v="0"/>
    <n v="1452"/>
    <x v="1"/>
    <n v="11"/>
    <x v="1"/>
    <n v="3"/>
    <s v="Life Sciences"/>
    <n v="226"/>
    <n v="3"/>
    <x v="0"/>
    <n v="53"/>
    <n v="3"/>
    <n v="5"/>
    <x v="5"/>
    <x v="1"/>
    <x v="0"/>
    <x v="162"/>
    <n v="17053"/>
    <n v="3"/>
    <x v="1"/>
    <n v="15"/>
    <n v="3"/>
    <n v="2"/>
    <x v="0"/>
    <n v="21"/>
    <x v="2"/>
    <n v="5"/>
    <n v="3"/>
    <x v="2"/>
    <n v="4"/>
    <n v="4"/>
    <n v="4"/>
  </r>
  <r>
    <x v="0"/>
    <x v="1"/>
    <x v="0"/>
    <n v="465"/>
    <x v="1"/>
    <n v="14"/>
    <x v="1"/>
    <n v="3"/>
    <s v="Life Sciences"/>
    <n v="227"/>
    <n v="1"/>
    <x v="1"/>
    <n v="56"/>
    <n v="3"/>
    <n v="1"/>
    <x v="1"/>
    <x v="2"/>
    <x v="2"/>
    <x v="163"/>
    <n v="4609"/>
    <n v="4"/>
    <x v="1"/>
    <n v="12"/>
    <n v="3"/>
    <n v="1"/>
    <x v="1"/>
    <n v="13"/>
    <x v="0"/>
    <n v="2"/>
    <n v="3"/>
    <x v="0"/>
    <n v="8"/>
    <n v="1"/>
    <n v="8"/>
  </r>
  <r>
    <x v="2"/>
    <x v="1"/>
    <x v="0"/>
    <n v="1339"/>
    <x v="0"/>
    <n v="5"/>
    <x v="0"/>
    <n v="3"/>
    <s v="Life Sciences"/>
    <n v="228"/>
    <n v="2"/>
    <x v="0"/>
    <n v="41"/>
    <n v="3"/>
    <n v="3"/>
    <x v="0"/>
    <x v="0"/>
    <x v="1"/>
    <x v="164"/>
    <n v="8053"/>
    <n v="2"/>
    <x v="1"/>
    <n v="12"/>
    <n v="3"/>
    <n v="3"/>
    <x v="1"/>
    <n v="12"/>
    <x v="0"/>
    <n v="2"/>
    <n v="3"/>
    <x v="0"/>
    <n v="9"/>
    <n v="7"/>
    <n v="4"/>
  </r>
  <r>
    <x v="0"/>
    <x v="1"/>
    <x v="0"/>
    <n v="702"/>
    <x v="0"/>
    <n v="1"/>
    <x v="0"/>
    <n v="4"/>
    <s v="Life Sciences"/>
    <n v="230"/>
    <n v="1"/>
    <x v="0"/>
    <n v="59"/>
    <n v="2"/>
    <n v="2"/>
    <x v="0"/>
    <x v="0"/>
    <x v="0"/>
    <x v="165"/>
    <n v="12930"/>
    <n v="4"/>
    <x v="1"/>
    <n v="22"/>
    <n v="4"/>
    <n v="3"/>
    <x v="0"/>
    <n v="12"/>
    <x v="0"/>
    <n v="2"/>
    <n v="4"/>
    <x v="0"/>
    <n v="3"/>
    <n v="0"/>
    <n v="7"/>
  </r>
  <r>
    <x v="2"/>
    <x v="1"/>
    <x v="0"/>
    <n v="120"/>
    <x v="1"/>
    <n v="6"/>
    <x v="1"/>
    <n v="5"/>
    <s v="Life Sciences"/>
    <n v="231"/>
    <n v="3"/>
    <x v="1"/>
    <n v="43"/>
    <n v="3"/>
    <n v="1"/>
    <x v="1"/>
    <x v="2"/>
    <x v="0"/>
    <x v="71"/>
    <n v="12430"/>
    <n v="3"/>
    <x v="1"/>
    <n v="20"/>
    <n v="4"/>
    <n v="1"/>
    <x v="0"/>
    <n v="8"/>
    <x v="0"/>
    <n v="2"/>
    <n v="3"/>
    <x v="2"/>
    <n v="4"/>
    <n v="1"/>
    <n v="4"/>
  </r>
  <r>
    <x v="2"/>
    <x v="1"/>
    <x v="0"/>
    <n v="1157"/>
    <x v="1"/>
    <n v="17"/>
    <x v="2"/>
    <n v="3"/>
    <s v="Technical Degree"/>
    <n v="233"/>
    <n v="3"/>
    <x v="1"/>
    <n v="51"/>
    <n v="3"/>
    <n v="1"/>
    <x v="1"/>
    <x v="1"/>
    <x v="1"/>
    <x v="166"/>
    <n v="13364"/>
    <n v="0"/>
    <x v="0"/>
    <n v="16"/>
    <n v="3"/>
    <n v="4"/>
    <x v="1"/>
    <n v="6"/>
    <x v="0"/>
    <n v="3"/>
    <n v="2"/>
    <x v="2"/>
    <n v="2"/>
    <n v="1"/>
    <n v="1"/>
  </r>
  <r>
    <x v="3"/>
    <x v="0"/>
    <x v="1"/>
    <n v="602"/>
    <x v="0"/>
    <n v="1"/>
    <x v="0"/>
    <n v="1"/>
    <s v="Technical Degree"/>
    <n v="235"/>
    <n v="3"/>
    <x v="0"/>
    <n v="100"/>
    <n v="1"/>
    <n v="1"/>
    <x v="6"/>
    <x v="3"/>
    <x v="0"/>
    <x v="167"/>
    <n v="20989"/>
    <n v="0"/>
    <x v="1"/>
    <n v="21"/>
    <n v="4"/>
    <n v="1"/>
    <x v="0"/>
    <n v="1"/>
    <x v="1"/>
    <n v="5"/>
    <n v="4"/>
    <x v="1"/>
    <n v="0"/>
    <n v="0"/>
    <n v="0"/>
  </r>
  <r>
    <x v="0"/>
    <x v="1"/>
    <x v="1"/>
    <n v="1480"/>
    <x v="1"/>
    <n v="3"/>
    <x v="0"/>
    <n v="2"/>
    <s v="Medical"/>
    <n v="238"/>
    <n v="4"/>
    <x v="1"/>
    <n v="30"/>
    <n v="3"/>
    <n v="1"/>
    <x v="2"/>
    <x v="1"/>
    <x v="0"/>
    <x v="168"/>
    <n v="15062"/>
    <n v="4"/>
    <x v="1"/>
    <n v="12"/>
    <n v="3"/>
    <n v="3"/>
    <x v="0"/>
    <n v="13"/>
    <x v="0"/>
    <n v="3"/>
    <n v="2"/>
    <x v="0"/>
    <n v="7"/>
    <n v="7"/>
    <n v="2"/>
  </r>
  <r>
    <x v="2"/>
    <x v="1"/>
    <x v="2"/>
    <n v="111"/>
    <x v="1"/>
    <n v="9"/>
    <x v="1"/>
    <n v="3"/>
    <s v="Medical"/>
    <n v="239"/>
    <n v="3"/>
    <x v="1"/>
    <n v="66"/>
    <n v="3"/>
    <n v="2"/>
    <x v="2"/>
    <x v="3"/>
    <x v="2"/>
    <x v="169"/>
    <n v="11012"/>
    <n v="1"/>
    <x v="1"/>
    <n v="11"/>
    <n v="3"/>
    <n v="3"/>
    <x v="3"/>
    <n v="12"/>
    <x v="0"/>
    <n v="4"/>
    <n v="3"/>
    <x v="3"/>
    <n v="9"/>
    <n v="6"/>
    <n v="10"/>
  </r>
  <r>
    <x v="0"/>
    <x v="1"/>
    <x v="0"/>
    <n v="1268"/>
    <x v="0"/>
    <n v="4"/>
    <x v="0"/>
    <n v="2"/>
    <s v="Life Sciences"/>
    <n v="240"/>
    <n v="3"/>
    <x v="0"/>
    <n v="30"/>
    <n v="3"/>
    <n v="2"/>
    <x v="0"/>
    <x v="3"/>
    <x v="2"/>
    <x v="170"/>
    <n v="6319"/>
    <n v="4"/>
    <x v="0"/>
    <n v="11"/>
    <n v="3"/>
    <n v="1"/>
    <x v="1"/>
    <n v="9"/>
    <x v="0"/>
    <n v="3"/>
    <n v="4"/>
    <x v="2"/>
    <n v="4"/>
    <n v="0"/>
    <n v="3"/>
  </r>
  <r>
    <x v="1"/>
    <x v="1"/>
    <x v="0"/>
    <n v="713"/>
    <x v="1"/>
    <n v="8"/>
    <x v="1"/>
    <n v="3"/>
    <s v="Life Sciences"/>
    <n v="241"/>
    <n v="3"/>
    <x v="0"/>
    <n v="67"/>
    <n v="3"/>
    <n v="1"/>
    <x v="1"/>
    <x v="3"/>
    <x v="2"/>
    <x v="171"/>
    <n v="13939"/>
    <n v="4"/>
    <x v="0"/>
    <n v="18"/>
    <n v="3"/>
    <n v="3"/>
    <x v="1"/>
    <n v="19"/>
    <x v="2"/>
    <n v="3"/>
    <n v="3"/>
    <x v="1"/>
    <n v="2"/>
    <n v="2"/>
    <n v="2"/>
  </r>
  <r>
    <x v="2"/>
    <x v="1"/>
    <x v="0"/>
    <n v="134"/>
    <x v="1"/>
    <n v="2"/>
    <x v="0"/>
    <n v="3"/>
    <s v="Life Sciences"/>
    <n v="242"/>
    <n v="3"/>
    <x v="1"/>
    <n v="90"/>
    <n v="3"/>
    <n v="1"/>
    <x v="1"/>
    <x v="0"/>
    <x v="0"/>
    <x v="172"/>
    <n v="10515"/>
    <n v="0"/>
    <x v="1"/>
    <n v="14"/>
    <n v="3"/>
    <n v="1"/>
    <x v="0"/>
    <n v="4"/>
    <x v="1"/>
    <n v="2"/>
    <n v="4"/>
    <x v="2"/>
    <n v="1"/>
    <n v="0"/>
    <n v="2"/>
  </r>
  <r>
    <x v="3"/>
    <x v="0"/>
    <x v="0"/>
    <n v="303"/>
    <x v="1"/>
    <n v="2"/>
    <x v="0"/>
    <n v="3"/>
    <s v="Life Sciences"/>
    <n v="243"/>
    <n v="2"/>
    <x v="1"/>
    <n v="47"/>
    <n v="2"/>
    <n v="1"/>
    <x v="2"/>
    <x v="0"/>
    <x v="0"/>
    <x v="173"/>
    <n v="9241"/>
    <n v="1"/>
    <x v="1"/>
    <n v="22"/>
    <n v="4"/>
    <n v="3"/>
    <x v="0"/>
    <n v="1"/>
    <x v="1"/>
    <n v="3"/>
    <n v="2"/>
    <x v="1"/>
    <n v="0"/>
    <n v="1"/>
    <n v="0"/>
  </r>
  <r>
    <x v="1"/>
    <x v="1"/>
    <x v="0"/>
    <n v="526"/>
    <x v="0"/>
    <n v="1"/>
    <x v="0"/>
    <n v="2"/>
    <s v="Marketing"/>
    <n v="244"/>
    <n v="2"/>
    <x v="0"/>
    <n v="92"/>
    <n v="3"/>
    <n v="3"/>
    <x v="0"/>
    <x v="3"/>
    <x v="2"/>
    <x v="174"/>
    <n v="2137"/>
    <n v="1"/>
    <x v="1"/>
    <n v="25"/>
    <n v="4"/>
    <n v="3"/>
    <x v="2"/>
    <n v="24"/>
    <x v="2"/>
    <n v="2"/>
    <n v="3"/>
    <x v="3"/>
    <n v="13"/>
    <n v="15"/>
    <n v="7"/>
  </r>
  <r>
    <x v="0"/>
    <x v="1"/>
    <x v="0"/>
    <n v="1380"/>
    <x v="1"/>
    <n v="9"/>
    <x v="1"/>
    <n v="2"/>
    <s v="Life Sciences"/>
    <n v="245"/>
    <n v="3"/>
    <x v="0"/>
    <n v="75"/>
    <n v="3"/>
    <n v="1"/>
    <x v="2"/>
    <x v="0"/>
    <x v="0"/>
    <x v="175"/>
    <n v="6319"/>
    <n v="1"/>
    <x v="1"/>
    <n v="12"/>
    <n v="3"/>
    <n v="3"/>
    <x v="0"/>
    <n v="2"/>
    <x v="1"/>
    <n v="3"/>
    <n v="3"/>
    <x v="1"/>
    <n v="2"/>
    <n v="2"/>
    <n v="1"/>
  </r>
  <r>
    <x v="2"/>
    <x v="1"/>
    <x v="0"/>
    <n v="140"/>
    <x v="1"/>
    <n v="12"/>
    <x v="1"/>
    <n v="1"/>
    <s v="Medical"/>
    <n v="246"/>
    <n v="3"/>
    <x v="0"/>
    <n v="95"/>
    <n v="3"/>
    <n v="1"/>
    <x v="1"/>
    <x v="0"/>
    <x v="1"/>
    <x v="176"/>
    <n v="6984"/>
    <n v="8"/>
    <x v="0"/>
    <n v="23"/>
    <n v="4"/>
    <n v="3"/>
    <x v="1"/>
    <n v="7"/>
    <x v="0"/>
    <n v="0"/>
    <n v="3"/>
    <x v="2"/>
    <n v="2"/>
    <n v="0"/>
    <n v="2"/>
  </r>
  <r>
    <x v="2"/>
    <x v="1"/>
    <x v="0"/>
    <n v="629"/>
    <x v="1"/>
    <n v="27"/>
    <x v="2"/>
    <n v="2"/>
    <s v="Medical"/>
    <n v="247"/>
    <n v="4"/>
    <x v="0"/>
    <n v="95"/>
    <n v="3"/>
    <n v="1"/>
    <x v="1"/>
    <x v="1"/>
    <x v="0"/>
    <x v="177"/>
    <n v="5711"/>
    <n v="2"/>
    <x v="1"/>
    <n v="15"/>
    <n v="3"/>
    <n v="4"/>
    <x v="0"/>
    <n v="9"/>
    <x v="0"/>
    <n v="3"/>
    <n v="3"/>
    <x v="2"/>
    <n v="2"/>
    <n v="1"/>
    <n v="2"/>
  </r>
  <r>
    <x v="0"/>
    <x v="0"/>
    <x v="0"/>
    <n v="1356"/>
    <x v="0"/>
    <n v="20"/>
    <x v="2"/>
    <n v="2"/>
    <s v="Marketing"/>
    <n v="248"/>
    <n v="2"/>
    <x v="0"/>
    <n v="70"/>
    <n v="3"/>
    <n v="1"/>
    <x v="6"/>
    <x v="1"/>
    <x v="0"/>
    <x v="178"/>
    <n v="21728"/>
    <n v="1"/>
    <x v="0"/>
    <n v="22"/>
    <n v="4"/>
    <n v="4"/>
    <x v="0"/>
    <n v="4"/>
    <x v="1"/>
    <n v="5"/>
    <n v="2"/>
    <x v="2"/>
    <n v="3"/>
    <n v="0"/>
    <n v="2"/>
  </r>
  <r>
    <x v="1"/>
    <x v="1"/>
    <x v="0"/>
    <n v="328"/>
    <x v="1"/>
    <n v="1"/>
    <x v="0"/>
    <n v="3"/>
    <s v="Medical"/>
    <n v="249"/>
    <n v="3"/>
    <x v="1"/>
    <n v="86"/>
    <n v="2"/>
    <n v="1"/>
    <x v="2"/>
    <x v="2"/>
    <x v="1"/>
    <x v="179"/>
    <n v="3425"/>
    <n v="2"/>
    <x v="1"/>
    <n v="15"/>
    <n v="3"/>
    <n v="4"/>
    <x v="1"/>
    <n v="5"/>
    <x v="1"/>
    <n v="2"/>
    <n v="2"/>
    <x v="2"/>
    <n v="2"/>
    <n v="0"/>
    <n v="2"/>
  </r>
  <r>
    <x v="1"/>
    <x v="1"/>
    <x v="0"/>
    <n v="1084"/>
    <x v="1"/>
    <n v="13"/>
    <x v="1"/>
    <n v="2"/>
    <s v="Medical"/>
    <n v="250"/>
    <n v="4"/>
    <x v="0"/>
    <n v="57"/>
    <n v="4"/>
    <n v="2"/>
    <x v="3"/>
    <x v="3"/>
    <x v="2"/>
    <x v="180"/>
    <n v="26250"/>
    <n v="1"/>
    <x v="1"/>
    <n v="11"/>
    <n v="3"/>
    <n v="3"/>
    <x v="3"/>
    <n v="5"/>
    <x v="1"/>
    <n v="3"/>
    <n v="3"/>
    <x v="2"/>
    <n v="2"/>
    <n v="1"/>
    <n v="3"/>
  </r>
  <r>
    <x v="2"/>
    <x v="1"/>
    <x v="0"/>
    <n v="931"/>
    <x v="1"/>
    <n v="14"/>
    <x v="1"/>
    <n v="3"/>
    <s v="Medical"/>
    <n v="252"/>
    <n v="4"/>
    <x v="0"/>
    <n v="72"/>
    <n v="3"/>
    <n v="1"/>
    <x v="1"/>
    <x v="1"/>
    <x v="1"/>
    <x v="181"/>
    <n v="4673"/>
    <n v="1"/>
    <x v="1"/>
    <n v="13"/>
    <n v="3"/>
    <n v="4"/>
    <x v="1"/>
    <n v="8"/>
    <x v="0"/>
    <n v="5"/>
    <n v="3"/>
    <x v="0"/>
    <n v="7"/>
    <n v="1"/>
    <n v="6"/>
  </r>
  <r>
    <x v="0"/>
    <x v="1"/>
    <x v="0"/>
    <n v="989"/>
    <x v="1"/>
    <n v="4"/>
    <x v="0"/>
    <n v="1"/>
    <s v="Medical"/>
    <n v="253"/>
    <n v="4"/>
    <x v="0"/>
    <n v="46"/>
    <n v="3"/>
    <n v="5"/>
    <x v="5"/>
    <x v="2"/>
    <x v="1"/>
    <x v="182"/>
    <n v="6499"/>
    <n v="1"/>
    <x v="1"/>
    <n v="14"/>
    <n v="3"/>
    <n v="2"/>
    <x v="1"/>
    <n v="21"/>
    <x v="2"/>
    <n v="2"/>
    <n v="3"/>
    <x v="3"/>
    <n v="8"/>
    <n v="9"/>
    <n v="9"/>
  </r>
  <r>
    <x v="1"/>
    <x v="1"/>
    <x v="0"/>
    <n v="692"/>
    <x v="1"/>
    <n v="14"/>
    <x v="1"/>
    <n v="4"/>
    <s v="Medical"/>
    <n v="254"/>
    <n v="3"/>
    <x v="1"/>
    <n v="61"/>
    <n v="4"/>
    <n v="5"/>
    <x v="7"/>
    <x v="1"/>
    <x v="0"/>
    <x v="183"/>
    <n v="13339"/>
    <n v="8"/>
    <x v="1"/>
    <n v="11"/>
    <n v="3"/>
    <n v="4"/>
    <x v="0"/>
    <n v="36"/>
    <x v="2"/>
    <n v="3"/>
    <n v="3"/>
    <x v="3"/>
    <n v="15"/>
    <n v="2"/>
    <n v="15"/>
  </r>
  <r>
    <x v="2"/>
    <x v="1"/>
    <x v="1"/>
    <n v="1069"/>
    <x v="1"/>
    <n v="2"/>
    <x v="0"/>
    <n v="1"/>
    <s v="Life Sciences"/>
    <n v="256"/>
    <n v="4"/>
    <x v="1"/>
    <n v="45"/>
    <n v="2"/>
    <n v="2"/>
    <x v="3"/>
    <x v="2"/>
    <x v="1"/>
    <x v="184"/>
    <n v="14074"/>
    <n v="1"/>
    <x v="1"/>
    <n v="17"/>
    <n v="3"/>
    <n v="3"/>
    <x v="0"/>
    <n v="10"/>
    <x v="0"/>
    <n v="2"/>
    <n v="2"/>
    <x v="0"/>
    <n v="9"/>
    <n v="1"/>
    <n v="9"/>
  </r>
  <r>
    <x v="1"/>
    <x v="1"/>
    <x v="0"/>
    <n v="313"/>
    <x v="1"/>
    <n v="3"/>
    <x v="0"/>
    <n v="3"/>
    <s v="Medical"/>
    <n v="258"/>
    <n v="4"/>
    <x v="0"/>
    <n v="98"/>
    <n v="3"/>
    <n v="4"/>
    <x v="4"/>
    <x v="1"/>
    <x v="0"/>
    <x v="185"/>
    <n v="7192"/>
    <n v="3"/>
    <x v="1"/>
    <n v="18"/>
    <n v="3"/>
    <n v="3"/>
    <x v="0"/>
    <n v="21"/>
    <x v="2"/>
    <n v="6"/>
    <n v="3"/>
    <x v="0"/>
    <n v="7"/>
    <n v="1"/>
    <n v="0"/>
  </r>
  <r>
    <x v="1"/>
    <x v="1"/>
    <x v="0"/>
    <n v="699"/>
    <x v="1"/>
    <n v="1"/>
    <x v="0"/>
    <n v="4"/>
    <s v="Life Sciences"/>
    <n v="259"/>
    <n v="3"/>
    <x v="1"/>
    <n v="65"/>
    <n v="2"/>
    <n v="5"/>
    <x v="5"/>
    <x v="2"/>
    <x v="1"/>
    <x v="186"/>
    <n v="5678"/>
    <n v="0"/>
    <x v="1"/>
    <n v="14"/>
    <n v="3"/>
    <n v="1"/>
    <x v="1"/>
    <n v="34"/>
    <x v="2"/>
    <n v="5"/>
    <n v="3"/>
    <x v="3"/>
    <n v="18"/>
    <n v="11"/>
    <n v="9"/>
  </r>
  <r>
    <x v="2"/>
    <x v="1"/>
    <x v="0"/>
    <n v="894"/>
    <x v="1"/>
    <n v="9"/>
    <x v="1"/>
    <n v="3"/>
    <s v="Medical"/>
    <n v="260"/>
    <n v="4"/>
    <x v="0"/>
    <n v="99"/>
    <n v="3"/>
    <n v="1"/>
    <x v="1"/>
    <x v="1"/>
    <x v="0"/>
    <x v="187"/>
    <n v="11781"/>
    <n v="1"/>
    <x v="1"/>
    <n v="16"/>
    <n v="3"/>
    <n v="4"/>
    <x v="0"/>
    <n v="7"/>
    <x v="0"/>
    <n v="2"/>
    <n v="2"/>
    <x v="0"/>
    <n v="7"/>
    <n v="0"/>
    <n v="3"/>
  </r>
  <r>
    <x v="2"/>
    <x v="0"/>
    <x v="0"/>
    <n v="556"/>
    <x v="1"/>
    <n v="23"/>
    <x v="2"/>
    <n v="2"/>
    <s v="Life Sciences"/>
    <n v="261"/>
    <n v="2"/>
    <x v="1"/>
    <n v="50"/>
    <n v="2"/>
    <n v="2"/>
    <x v="3"/>
    <x v="2"/>
    <x v="1"/>
    <x v="188"/>
    <n v="15497"/>
    <n v="3"/>
    <x v="0"/>
    <n v="13"/>
    <n v="3"/>
    <n v="1"/>
    <x v="0"/>
    <n v="8"/>
    <x v="0"/>
    <n v="1"/>
    <n v="3"/>
    <x v="1"/>
    <n v="0"/>
    <n v="0"/>
    <n v="1"/>
  </r>
  <r>
    <x v="0"/>
    <x v="1"/>
    <x v="2"/>
    <n v="1344"/>
    <x v="1"/>
    <n v="7"/>
    <x v="1"/>
    <n v="3"/>
    <s v="Medical"/>
    <n v="262"/>
    <n v="4"/>
    <x v="1"/>
    <n v="37"/>
    <n v="4"/>
    <n v="1"/>
    <x v="1"/>
    <x v="0"/>
    <x v="2"/>
    <x v="189"/>
    <n v="5228"/>
    <n v="4"/>
    <x v="1"/>
    <n v="14"/>
    <n v="3"/>
    <n v="4"/>
    <x v="2"/>
    <n v="7"/>
    <x v="0"/>
    <n v="3"/>
    <n v="4"/>
    <x v="2"/>
    <n v="4"/>
    <n v="2"/>
    <n v="2"/>
  </r>
  <r>
    <x v="0"/>
    <x v="1"/>
    <x v="2"/>
    <n v="1195"/>
    <x v="1"/>
    <n v="2"/>
    <x v="0"/>
    <n v="2"/>
    <s v="Medical"/>
    <n v="264"/>
    <n v="1"/>
    <x v="1"/>
    <n v="65"/>
    <n v="2"/>
    <n v="4"/>
    <x v="5"/>
    <x v="0"/>
    <x v="1"/>
    <x v="190"/>
    <n v="20462"/>
    <n v="9"/>
    <x v="1"/>
    <n v="23"/>
    <n v="4"/>
    <n v="4"/>
    <x v="1"/>
    <n v="22"/>
    <x v="2"/>
    <n v="1"/>
    <n v="3"/>
    <x v="3"/>
    <n v="8"/>
    <n v="11"/>
    <n v="8"/>
  </r>
  <r>
    <x v="0"/>
    <x v="1"/>
    <x v="0"/>
    <n v="290"/>
    <x v="1"/>
    <n v="21"/>
    <x v="2"/>
    <n v="3"/>
    <s v="Life Sciences"/>
    <n v="267"/>
    <n v="2"/>
    <x v="1"/>
    <n v="65"/>
    <n v="4"/>
    <n v="1"/>
    <x v="1"/>
    <x v="3"/>
    <x v="1"/>
    <x v="191"/>
    <n v="22977"/>
    <n v="1"/>
    <x v="0"/>
    <n v="12"/>
    <n v="3"/>
    <n v="1"/>
    <x v="1"/>
    <n v="8"/>
    <x v="0"/>
    <n v="3"/>
    <n v="2"/>
    <x v="0"/>
    <n v="7"/>
    <n v="1"/>
    <n v="7"/>
  </r>
  <r>
    <x v="2"/>
    <x v="1"/>
    <x v="1"/>
    <n v="138"/>
    <x v="1"/>
    <n v="2"/>
    <x v="0"/>
    <n v="3"/>
    <s v="Medical"/>
    <n v="269"/>
    <n v="2"/>
    <x v="0"/>
    <n v="37"/>
    <n v="3"/>
    <n v="2"/>
    <x v="2"/>
    <x v="1"/>
    <x v="0"/>
    <x v="192"/>
    <n v="15986"/>
    <n v="5"/>
    <x v="1"/>
    <n v="11"/>
    <n v="3"/>
    <n v="4"/>
    <x v="0"/>
    <n v="10"/>
    <x v="0"/>
    <n v="5"/>
    <n v="3"/>
    <x v="0"/>
    <n v="2"/>
    <n v="1"/>
    <n v="2"/>
  </r>
  <r>
    <x v="0"/>
    <x v="1"/>
    <x v="2"/>
    <n v="926"/>
    <x v="1"/>
    <n v="21"/>
    <x v="2"/>
    <n v="2"/>
    <s v="Medical"/>
    <n v="270"/>
    <n v="3"/>
    <x v="0"/>
    <n v="36"/>
    <n v="3"/>
    <n v="2"/>
    <x v="3"/>
    <x v="2"/>
    <x v="2"/>
    <x v="193"/>
    <n v="16439"/>
    <n v="2"/>
    <x v="1"/>
    <n v="16"/>
    <n v="3"/>
    <n v="2"/>
    <x v="1"/>
    <n v="11"/>
    <x v="0"/>
    <n v="5"/>
    <n v="3"/>
    <x v="2"/>
    <n v="3"/>
    <n v="0"/>
    <n v="2"/>
  </r>
  <r>
    <x v="0"/>
    <x v="1"/>
    <x v="0"/>
    <n v="1261"/>
    <x v="1"/>
    <n v="2"/>
    <x v="0"/>
    <n v="4"/>
    <s v="Life Sciences"/>
    <n v="271"/>
    <n v="4"/>
    <x v="1"/>
    <n v="88"/>
    <n v="3"/>
    <n v="2"/>
    <x v="3"/>
    <x v="2"/>
    <x v="1"/>
    <x v="194"/>
    <n v="7259"/>
    <n v="9"/>
    <x v="1"/>
    <n v="14"/>
    <n v="3"/>
    <n v="2"/>
    <x v="0"/>
    <n v="14"/>
    <x v="0"/>
    <n v="3"/>
    <n v="3"/>
    <x v="1"/>
    <n v="0"/>
    <n v="0"/>
    <n v="0"/>
  </r>
  <r>
    <x v="0"/>
    <x v="1"/>
    <x v="0"/>
    <n v="1084"/>
    <x v="1"/>
    <n v="29"/>
    <x v="2"/>
    <n v="3"/>
    <s v="Technical Degree"/>
    <n v="273"/>
    <n v="4"/>
    <x v="1"/>
    <n v="54"/>
    <n v="3"/>
    <n v="2"/>
    <x v="3"/>
    <x v="0"/>
    <x v="1"/>
    <x v="195"/>
    <n v="4185"/>
    <n v="3"/>
    <x v="1"/>
    <n v="18"/>
    <n v="3"/>
    <n v="1"/>
    <x v="1"/>
    <n v="9"/>
    <x v="0"/>
    <n v="3"/>
    <n v="1"/>
    <x v="0"/>
    <n v="7"/>
    <n v="1"/>
    <n v="7"/>
  </r>
  <r>
    <x v="2"/>
    <x v="1"/>
    <x v="1"/>
    <n v="472"/>
    <x v="1"/>
    <n v="1"/>
    <x v="0"/>
    <n v="1"/>
    <s v="Technical Degree"/>
    <n v="274"/>
    <n v="3"/>
    <x v="1"/>
    <n v="60"/>
    <n v="2"/>
    <n v="2"/>
    <x v="3"/>
    <x v="3"/>
    <x v="1"/>
    <x v="196"/>
    <n v="9679"/>
    <n v="5"/>
    <x v="1"/>
    <n v="19"/>
    <n v="3"/>
    <n v="3"/>
    <x v="1"/>
    <n v="6"/>
    <x v="0"/>
    <n v="1"/>
    <n v="3"/>
    <x v="1"/>
    <n v="2"/>
    <n v="2"/>
    <n v="0"/>
  </r>
  <r>
    <x v="1"/>
    <x v="1"/>
    <x v="2"/>
    <n v="1002"/>
    <x v="1"/>
    <n v="18"/>
    <x v="2"/>
    <n v="4"/>
    <s v="Life Sciences"/>
    <n v="275"/>
    <n v="4"/>
    <x v="1"/>
    <n v="92"/>
    <n v="3"/>
    <n v="2"/>
    <x v="3"/>
    <x v="0"/>
    <x v="2"/>
    <x v="197"/>
    <n v="23793"/>
    <n v="1"/>
    <x v="0"/>
    <n v="15"/>
    <n v="3"/>
    <n v="1"/>
    <x v="3"/>
    <n v="7"/>
    <x v="0"/>
    <n v="0"/>
    <n v="3"/>
    <x v="0"/>
    <n v="7"/>
    <n v="1"/>
    <n v="7"/>
  </r>
  <r>
    <x v="2"/>
    <x v="1"/>
    <x v="1"/>
    <n v="878"/>
    <x v="1"/>
    <n v="10"/>
    <x v="1"/>
    <n v="4"/>
    <s v="Medical"/>
    <n v="277"/>
    <n v="4"/>
    <x v="1"/>
    <n v="43"/>
    <n v="3"/>
    <n v="1"/>
    <x v="1"/>
    <x v="2"/>
    <x v="2"/>
    <x v="198"/>
    <n v="5972"/>
    <n v="1"/>
    <x v="0"/>
    <n v="17"/>
    <n v="3"/>
    <n v="4"/>
    <x v="1"/>
    <n v="5"/>
    <x v="1"/>
    <n v="4"/>
    <n v="4"/>
    <x v="2"/>
    <n v="3"/>
    <n v="2"/>
    <n v="0"/>
  </r>
  <r>
    <x v="0"/>
    <x v="1"/>
    <x v="0"/>
    <n v="905"/>
    <x v="1"/>
    <n v="19"/>
    <x v="2"/>
    <n v="2"/>
    <s v="Medical"/>
    <n v="281"/>
    <n v="3"/>
    <x v="1"/>
    <n v="99"/>
    <n v="3"/>
    <n v="2"/>
    <x v="2"/>
    <x v="0"/>
    <x v="1"/>
    <x v="199"/>
    <n v="16523"/>
    <n v="8"/>
    <x v="0"/>
    <n v="15"/>
    <n v="3"/>
    <n v="3"/>
    <x v="1"/>
    <n v="15"/>
    <x v="0"/>
    <n v="2"/>
    <n v="4"/>
    <x v="0"/>
    <n v="2"/>
    <n v="3"/>
    <n v="7"/>
  </r>
  <r>
    <x v="0"/>
    <x v="0"/>
    <x v="0"/>
    <n v="1180"/>
    <x v="1"/>
    <n v="29"/>
    <x v="2"/>
    <n v="1"/>
    <s v="Medical"/>
    <n v="282"/>
    <n v="2"/>
    <x v="1"/>
    <n v="70"/>
    <n v="3"/>
    <n v="2"/>
    <x v="4"/>
    <x v="3"/>
    <x v="1"/>
    <x v="200"/>
    <n v="11354"/>
    <n v="7"/>
    <x v="0"/>
    <n v="19"/>
    <n v="3"/>
    <n v="2"/>
    <x v="0"/>
    <n v="17"/>
    <x v="2"/>
    <n v="2"/>
    <n v="3"/>
    <x v="1"/>
    <n v="0"/>
    <n v="0"/>
    <n v="0"/>
  </r>
  <r>
    <x v="2"/>
    <x v="0"/>
    <x v="0"/>
    <n v="121"/>
    <x v="0"/>
    <n v="27"/>
    <x v="2"/>
    <n v="3"/>
    <s v="Marketing"/>
    <n v="283"/>
    <n v="2"/>
    <x v="0"/>
    <n v="35"/>
    <n v="3"/>
    <n v="3"/>
    <x v="0"/>
    <x v="0"/>
    <x v="1"/>
    <x v="201"/>
    <n v="24525"/>
    <n v="1"/>
    <x v="1"/>
    <n v="22"/>
    <n v="4"/>
    <n v="4"/>
    <x v="2"/>
    <n v="10"/>
    <x v="0"/>
    <n v="3"/>
    <n v="2"/>
    <x v="0"/>
    <n v="4"/>
    <n v="1"/>
    <n v="9"/>
  </r>
  <r>
    <x v="3"/>
    <x v="1"/>
    <x v="0"/>
    <n v="1136"/>
    <x v="1"/>
    <n v="5"/>
    <x v="0"/>
    <n v="3"/>
    <s v="Life Sciences"/>
    <n v="284"/>
    <n v="4"/>
    <x v="1"/>
    <n v="60"/>
    <n v="4"/>
    <n v="1"/>
    <x v="1"/>
    <x v="1"/>
    <x v="2"/>
    <x v="202"/>
    <n v="12392"/>
    <n v="1"/>
    <x v="0"/>
    <n v="16"/>
    <n v="3"/>
    <n v="1"/>
    <x v="1"/>
    <n v="4"/>
    <x v="1"/>
    <n v="2"/>
    <n v="2"/>
    <x v="2"/>
    <n v="2"/>
    <n v="2"/>
    <n v="2"/>
  </r>
  <r>
    <x v="0"/>
    <x v="1"/>
    <x v="1"/>
    <n v="635"/>
    <x v="1"/>
    <n v="18"/>
    <x v="2"/>
    <n v="1"/>
    <s v="Medical"/>
    <n v="286"/>
    <n v="2"/>
    <x v="0"/>
    <n v="73"/>
    <n v="3"/>
    <n v="1"/>
    <x v="2"/>
    <x v="0"/>
    <x v="0"/>
    <x v="203"/>
    <n v="7703"/>
    <n v="1"/>
    <x v="1"/>
    <n v="13"/>
    <n v="3"/>
    <n v="1"/>
    <x v="0"/>
    <n v="8"/>
    <x v="0"/>
    <n v="2"/>
    <n v="3"/>
    <x v="0"/>
    <n v="1"/>
    <n v="1"/>
    <n v="7"/>
  </r>
  <r>
    <x v="0"/>
    <x v="1"/>
    <x v="2"/>
    <n v="1151"/>
    <x v="1"/>
    <n v="9"/>
    <x v="1"/>
    <n v="5"/>
    <s v="Life Sciences"/>
    <n v="287"/>
    <n v="4"/>
    <x v="1"/>
    <n v="63"/>
    <n v="2"/>
    <n v="2"/>
    <x v="4"/>
    <x v="0"/>
    <x v="1"/>
    <x v="204"/>
    <n v="14242"/>
    <n v="9"/>
    <x v="1"/>
    <n v="14"/>
    <n v="3"/>
    <n v="4"/>
    <x v="1"/>
    <n v="5"/>
    <x v="1"/>
    <n v="5"/>
    <n v="1"/>
    <x v="2"/>
    <n v="2"/>
    <n v="0"/>
    <n v="2"/>
  </r>
  <r>
    <x v="1"/>
    <x v="1"/>
    <x v="0"/>
    <n v="644"/>
    <x v="1"/>
    <n v="1"/>
    <x v="0"/>
    <n v="4"/>
    <s v="Medical"/>
    <n v="288"/>
    <n v="4"/>
    <x v="1"/>
    <n v="97"/>
    <n v="3"/>
    <n v="3"/>
    <x v="4"/>
    <x v="3"/>
    <x v="2"/>
    <x v="205"/>
    <n v="12368"/>
    <n v="7"/>
    <x v="1"/>
    <n v="16"/>
    <n v="3"/>
    <n v="3"/>
    <x v="1"/>
    <n v="17"/>
    <x v="2"/>
    <n v="3"/>
    <n v="3"/>
    <x v="2"/>
    <n v="2"/>
    <n v="0"/>
    <n v="3"/>
  </r>
  <r>
    <x v="2"/>
    <x v="0"/>
    <x v="0"/>
    <n v="1045"/>
    <x v="0"/>
    <n v="4"/>
    <x v="0"/>
    <n v="4"/>
    <s v="Medical"/>
    <n v="291"/>
    <n v="4"/>
    <x v="1"/>
    <n v="32"/>
    <n v="1"/>
    <n v="3"/>
    <x v="0"/>
    <x v="0"/>
    <x v="1"/>
    <x v="206"/>
    <n v="25812"/>
    <n v="1"/>
    <x v="1"/>
    <n v="11"/>
    <n v="3"/>
    <n v="3"/>
    <x v="0"/>
    <n v="14"/>
    <x v="0"/>
    <n v="2"/>
    <n v="2"/>
    <x v="3"/>
    <n v="8"/>
    <n v="9"/>
    <n v="8"/>
  </r>
  <r>
    <x v="2"/>
    <x v="1"/>
    <x v="2"/>
    <n v="829"/>
    <x v="1"/>
    <n v="1"/>
    <x v="0"/>
    <n v="1"/>
    <s v="Life Sciences"/>
    <n v="292"/>
    <n v="3"/>
    <x v="1"/>
    <n v="88"/>
    <n v="2"/>
    <n v="3"/>
    <x v="3"/>
    <x v="2"/>
    <x v="0"/>
    <x v="207"/>
    <n v="20925"/>
    <n v="1"/>
    <x v="1"/>
    <n v="22"/>
    <n v="4"/>
    <n v="3"/>
    <x v="0"/>
    <n v="12"/>
    <x v="0"/>
    <n v="2"/>
    <n v="3"/>
    <x v="3"/>
    <n v="8"/>
    <n v="5"/>
    <n v="8"/>
  </r>
  <r>
    <x v="2"/>
    <x v="1"/>
    <x v="1"/>
    <n v="1242"/>
    <x v="0"/>
    <n v="20"/>
    <x v="2"/>
    <n v="3"/>
    <s v="Life Sciences"/>
    <n v="293"/>
    <n v="4"/>
    <x v="0"/>
    <n v="90"/>
    <n v="3"/>
    <n v="2"/>
    <x v="0"/>
    <x v="2"/>
    <x v="0"/>
    <x v="208"/>
    <n v="12916"/>
    <n v="1"/>
    <x v="1"/>
    <n v="14"/>
    <n v="3"/>
    <n v="4"/>
    <x v="0"/>
    <n v="7"/>
    <x v="0"/>
    <n v="2"/>
    <n v="3"/>
    <x v="0"/>
    <n v="7"/>
    <n v="0"/>
    <n v="7"/>
  </r>
  <r>
    <x v="1"/>
    <x v="1"/>
    <x v="0"/>
    <n v="1469"/>
    <x v="1"/>
    <n v="8"/>
    <x v="1"/>
    <n v="4"/>
    <s v="Life Sciences"/>
    <n v="296"/>
    <n v="2"/>
    <x v="1"/>
    <n v="81"/>
    <n v="2"/>
    <n v="3"/>
    <x v="7"/>
    <x v="1"/>
    <x v="1"/>
    <x v="209"/>
    <n v="15736"/>
    <n v="5"/>
    <x v="1"/>
    <n v="16"/>
    <n v="3"/>
    <n v="4"/>
    <x v="3"/>
    <n v="16"/>
    <x v="2"/>
    <n v="5"/>
    <n v="1"/>
    <x v="0"/>
    <n v="9"/>
    <n v="4"/>
    <n v="7"/>
  </r>
  <r>
    <x v="2"/>
    <x v="0"/>
    <x v="0"/>
    <n v="1005"/>
    <x v="1"/>
    <n v="3"/>
    <x v="0"/>
    <n v="3"/>
    <s v="Technical Degree"/>
    <n v="297"/>
    <n v="4"/>
    <x v="0"/>
    <n v="88"/>
    <n v="3"/>
    <n v="1"/>
    <x v="1"/>
    <x v="3"/>
    <x v="0"/>
    <x v="210"/>
    <n v="8556"/>
    <n v="5"/>
    <x v="0"/>
    <n v="11"/>
    <n v="3"/>
    <n v="3"/>
    <x v="0"/>
    <n v="8"/>
    <x v="0"/>
    <n v="5"/>
    <n v="3"/>
    <x v="2"/>
    <n v="2"/>
    <n v="0"/>
    <n v="4"/>
  </r>
  <r>
    <x v="0"/>
    <x v="1"/>
    <x v="0"/>
    <n v="896"/>
    <x v="0"/>
    <n v="6"/>
    <x v="1"/>
    <n v="3"/>
    <s v="Life Sciences"/>
    <n v="298"/>
    <n v="4"/>
    <x v="0"/>
    <n v="75"/>
    <n v="3"/>
    <n v="3"/>
    <x v="5"/>
    <x v="0"/>
    <x v="0"/>
    <x v="211"/>
    <n v="14674"/>
    <n v="3"/>
    <x v="0"/>
    <n v="18"/>
    <n v="3"/>
    <n v="3"/>
    <x v="0"/>
    <n v="16"/>
    <x v="2"/>
    <n v="3"/>
    <n v="3"/>
    <x v="1"/>
    <n v="0"/>
    <n v="0"/>
    <n v="0"/>
  </r>
  <r>
    <x v="2"/>
    <x v="0"/>
    <x v="1"/>
    <n v="334"/>
    <x v="0"/>
    <n v="26"/>
    <x v="2"/>
    <n v="4"/>
    <s v="Marketing"/>
    <n v="299"/>
    <n v="3"/>
    <x v="0"/>
    <n v="52"/>
    <n v="2"/>
    <n v="2"/>
    <x v="0"/>
    <x v="3"/>
    <x v="0"/>
    <x v="212"/>
    <n v="22967"/>
    <n v="5"/>
    <x v="1"/>
    <n v="15"/>
    <n v="3"/>
    <n v="3"/>
    <x v="0"/>
    <n v="9"/>
    <x v="0"/>
    <n v="5"/>
    <n v="2"/>
    <x v="0"/>
    <n v="3"/>
    <n v="0"/>
    <n v="1"/>
  </r>
  <r>
    <x v="2"/>
    <x v="0"/>
    <x v="0"/>
    <n v="992"/>
    <x v="1"/>
    <n v="1"/>
    <x v="0"/>
    <n v="3"/>
    <s v="Technical Degree"/>
    <n v="300"/>
    <n v="3"/>
    <x v="1"/>
    <n v="85"/>
    <n v="3"/>
    <n v="1"/>
    <x v="1"/>
    <x v="2"/>
    <x v="0"/>
    <x v="213"/>
    <n v="19757"/>
    <n v="0"/>
    <x v="1"/>
    <n v="14"/>
    <n v="3"/>
    <n v="4"/>
    <x v="0"/>
    <n v="7"/>
    <x v="0"/>
    <n v="1"/>
    <n v="2"/>
    <x v="0"/>
    <n v="2"/>
    <n v="1"/>
    <n v="5"/>
  </r>
  <r>
    <x v="0"/>
    <x v="1"/>
    <x v="2"/>
    <n v="1052"/>
    <x v="0"/>
    <n v="6"/>
    <x v="1"/>
    <n v="3"/>
    <s v="Medical"/>
    <n v="302"/>
    <n v="4"/>
    <x v="0"/>
    <n v="57"/>
    <n v="2"/>
    <n v="3"/>
    <x v="0"/>
    <x v="0"/>
    <x v="0"/>
    <x v="214"/>
    <n v="16840"/>
    <n v="6"/>
    <x v="1"/>
    <n v="12"/>
    <n v="3"/>
    <n v="4"/>
    <x v="0"/>
    <n v="23"/>
    <x v="2"/>
    <n v="2"/>
    <n v="3"/>
    <x v="3"/>
    <n v="7"/>
    <n v="12"/>
    <n v="8"/>
  </r>
  <r>
    <x v="1"/>
    <x v="1"/>
    <x v="0"/>
    <n v="1147"/>
    <x v="0"/>
    <n v="3"/>
    <x v="0"/>
    <n v="3"/>
    <s v="Marketing"/>
    <n v="303"/>
    <n v="4"/>
    <x v="0"/>
    <n v="52"/>
    <n v="3"/>
    <n v="2"/>
    <x v="0"/>
    <x v="3"/>
    <x v="1"/>
    <x v="215"/>
    <n v="17011"/>
    <n v="2"/>
    <x v="1"/>
    <n v="14"/>
    <n v="3"/>
    <n v="4"/>
    <x v="1"/>
    <n v="16"/>
    <x v="2"/>
    <n v="4"/>
    <n v="3"/>
    <x v="0"/>
    <n v="2"/>
    <n v="0"/>
    <n v="5"/>
  </r>
  <r>
    <x v="0"/>
    <x v="1"/>
    <x v="0"/>
    <n v="1396"/>
    <x v="1"/>
    <n v="5"/>
    <x v="0"/>
    <n v="2"/>
    <s v="Life Sciences"/>
    <n v="304"/>
    <n v="4"/>
    <x v="1"/>
    <n v="62"/>
    <n v="3"/>
    <n v="2"/>
    <x v="2"/>
    <x v="1"/>
    <x v="0"/>
    <x v="216"/>
    <n v="9945"/>
    <n v="8"/>
    <x v="1"/>
    <n v="16"/>
    <n v="3"/>
    <n v="4"/>
    <x v="0"/>
    <n v="16"/>
    <x v="2"/>
    <n v="3"/>
    <n v="4"/>
    <x v="3"/>
    <n v="11"/>
    <n v="3"/>
    <n v="7"/>
  </r>
  <r>
    <x v="2"/>
    <x v="1"/>
    <x v="0"/>
    <n v="147"/>
    <x v="1"/>
    <n v="4"/>
    <x v="0"/>
    <n v="4"/>
    <s v="Medical"/>
    <n v="305"/>
    <n v="3"/>
    <x v="0"/>
    <n v="47"/>
    <n v="2"/>
    <n v="1"/>
    <x v="1"/>
    <x v="1"/>
    <x v="1"/>
    <x v="217"/>
    <n v="13248"/>
    <n v="6"/>
    <x v="1"/>
    <n v="21"/>
    <n v="4"/>
    <n v="4"/>
    <x v="0"/>
    <n v="7"/>
    <x v="0"/>
    <n v="3"/>
    <n v="3"/>
    <x v="2"/>
    <n v="2"/>
    <n v="1"/>
    <n v="1"/>
  </r>
  <r>
    <x v="0"/>
    <x v="1"/>
    <x v="1"/>
    <n v="663"/>
    <x v="1"/>
    <n v="11"/>
    <x v="1"/>
    <n v="3"/>
    <s v="Other"/>
    <n v="306"/>
    <n v="2"/>
    <x v="1"/>
    <n v="47"/>
    <n v="3"/>
    <n v="3"/>
    <x v="7"/>
    <x v="0"/>
    <x v="2"/>
    <x v="218"/>
    <n v="10056"/>
    <n v="1"/>
    <x v="0"/>
    <n v="14"/>
    <n v="3"/>
    <n v="3"/>
    <x v="2"/>
    <n v="10"/>
    <x v="0"/>
    <n v="1"/>
    <n v="3"/>
    <x v="0"/>
    <n v="8"/>
    <n v="0"/>
    <n v="7"/>
  </r>
  <r>
    <x v="0"/>
    <x v="1"/>
    <x v="0"/>
    <n v="119"/>
    <x v="0"/>
    <n v="3"/>
    <x v="0"/>
    <n v="3"/>
    <s v="Life Sciences"/>
    <n v="307"/>
    <n v="1"/>
    <x v="1"/>
    <n v="76"/>
    <n v="3"/>
    <n v="3"/>
    <x v="0"/>
    <x v="2"/>
    <x v="2"/>
    <x v="219"/>
    <n v="9647"/>
    <n v="0"/>
    <x v="1"/>
    <n v="12"/>
    <n v="3"/>
    <n v="3"/>
    <x v="3"/>
    <n v="17"/>
    <x v="2"/>
    <n v="6"/>
    <n v="2"/>
    <x v="3"/>
    <n v="10"/>
    <n v="5"/>
    <n v="13"/>
  </r>
  <r>
    <x v="2"/>
    <x v="1"/>
    <x v="2"/>
    <n v="979"/>
    <x v="1"/>
    <n v="1"/>
    <x v="0"/>
    <n v="4"/>
    <s v="Medical"/>
    <n v="308"/>
    <n v="3"/>
    <x v="1"/>
    <n v="90"/>
    <n v="1"/>
    <n v="2"/>
    <x v="3"/>
    <x v="2"/>
    <x v="1"/>
    <x v="220"/>
    <n v="4381"/>
    <n v="0"/>
    <x v="1"/>
    <n v="12"/>
    <n v="3"/>
    <n v="4"/>
    <x v="1"/>
    <n v="6"/>
    <x v="0"/>
    <n v="2"/>
    <n v="3"/>
    <x v="2"/>
    <n v="4"/>
    <n v="1"/>
    <n v="4"/>
  </r>
  <r>
    <x v="1"/>
    <x v="1"/>
    <x v="0"/>
    <n v="142"/>
    <x v="1"/>
    <n v="3"/>
    <x v="0"/>
    <n v="3"/>
    <s v="Life Sciences"/>
    <n v="309"/>
    <n v="3"/>
    <x v="1"/>
    <n v="70"/>
    <n v="2"/>
    <n v="1"/>
    <x v="1"/>
    <x v="0"/>
    <x v="1"/>
    <x v="221"/>
    <n v="8456"/>
    <n v="3"/>
    <x v="1"/>
    <n v="17"/>
    <n v="3"/>
    <n v="1"/>
    <x v="1"/>
    <n v="7"/>
    <x v="0"/>
    <n v="6"/>
    <n v="3"/>
    <x v="1"/>
    <n v="0"/>
    <n v="0"/>
    <n v="0"/>
  </r>
  <r>
    <x v="0"/>
    <x v="1"/>
    <x v="1"/>
    <n v="319"/>
    <x v="0"/>
    <n v="4"/>
    <x v="0"/>
    <n v="4"/>
    <s v="Marketing"/>
    <n v="311"/>
    <n v="1"/>
    <x v="1"/>
    <n v="41"/>
    <n v="3"/>
    <n v="1"/>
    <x v="6"/>
    <x v="0"/>
    <x v="2"/>
    <x v="222"/>
    <n v="2539"/>
    <n v="4"/>
    <x v="1"/>
    <n v="17"/>
    <n v="3"/>
    <n v="3"/>
    <x v="1"/>
    <n v="13"/>
    <x v="0"/>
    <n v="2"/>
    <n v="3"/>
    <x v="0"/>
    <n v="8"/>
    <n v="5"/>
    <n v="8"/>
  </r>
  <r>
    <x v="2"/>
    <x v="1"/>
    <x v="1"/>
    <n v="1413"/>
    <x v="0"/>
    <n v="1"/>
    <x v="0"/>
    <n v="1"/>
    <s v="Medical"/>
    <n v="312"/>
    <n v="2"/>
    <x v="0"/>
    <n v="42"/>
    <n v="3"/>
    <n v="3"/>
    <x v="0"/>
    <x v="0"/>
    <x v="1"/>
    <x v="223"/>
    <n v="6599"/>
    <n v="1"/>
    <x v="1"/>
    <n v="14"/>
    <n v="3"/>
    <n v="4"/>
    <x v="1"/>
    <n v="11"/>
    <x v="0"/>
    <n v="5"/>
    <n v="3"/>
    <x v="3"/>
    <n v="10"/>
    <n v="4"/>
    <n v="1"/>
  </r>
  <r>
    <x v="2"/>
    <x v="1"/>
    <x v="1"/>
    <n v="944"/>
    <x v="0"/>
    <n v="1"/>
    <x v="0"/>
    <n v="3"/>
    <s v="Marketing"/>
    <n v="314"/>
    <n v="3"/>
    <x v="0"/>
    <n v="92"/>
    <n v="3"/>
    <n v="3"/>
    <x v="0"/>
    <x v="2"/>
    <x v="0"/>
    <x v="224"/>
    <n v="9096"/>
    <n v="1"/>
    <x v="1"/>
    <n v="14"/>
    <n v="3"/>
    <n v="1"/>
    <x v="0"/>
    <n v="10"/>
    <x v="0"/>
    <n v="3"/>
    <n v="4"/>
    <x v="0"/>
    <n v="7"/>
    <n v="0"/>
    <n v="8"/>
  </r>
  <r>
    <x v="2"/>
    <x v="0"/>
    <x v="0"/>
    <n v="896"/>
    <x v="1"/>
    <n v="18"/>
    <x v="2"/>
    <n v="1"/>
    <s v="Medical"/>
    <n v="315"/>
    <n v="3"/>
    <x v="1"/>
    <n v="86"/>
    <n v="2"/>
    <n v="1"/>
    <x v="1"/>
    <x v="0"/>
    <x v="0"/>
    <x v="225"/>
    <n v="14961"/>
    <n v="1"/>
    <x v="0"/>
    <n v="13"/>
    <n v="3"/>
    <n v="3"/>
    <x v="0"/>
    <n v="4"/>
    <x v="1"/>
    <n v="3"/>
    <n v="2"/>
    <x v="2"/>
    <n v="3"/>
    <n v="0"/>
    <n v="1"/>
  </r>
  <r>
    <x v="1"/>
    <x v="1"/>
    <x v="0"/>
    <n v="1323"/>
    <x v="1"/>
    <n v="2"/>
    <x v="0"/>
    <n v="3"/>
    <s v="Life Sciences"/>
    <n v="316"/>
    <n v="3"/>
    <x v="0"/>
    <n v="89"/>
    <n v="2"/>
    <n v="1"/>
    <x v="2"/>
    <x v="0"/>
    <x v="0"/>
    <x v="226"/>
    <n v="3300"/>
    <n v="7"/>
    <x v="1"/>
    <n v="15"/>
    <n v="3"/>
    <n v="2"/>
    <x v="0"/>
    <n v="6"/>
    <x v="0"/>
    <n v="3"/>
    <n v="2"/>
    <x v="1"/>
    <n v="2"/>
    <n v="2"/>
    <n v="2"/>
  </r>
  <r>
    <x v="0"/>
    <x v="1"/>
    <x v="0"/>
    <n v="532"/>
    <x v="1"/>
    <n v="4"/>
    <x v="0"/>
    <n v="2"/>
    <s v="Technical Degree"/>
    <n v="319"/>
    <n v="3"/>
    <x v="1"/>
    <n v="58"/>
    <n v="3"/>
    <n v="5"/>
    <x v="5"/>
    <x v="0"/>
    <x v="1"/>
    <x v="227"/>
    <n v="4933"/>
    <n v="1"/>
    <x v="1"/>
    <n v="11"/>
    <n v="3"/>
    <n v="4"/>
    <x v="0"/>
    <n v="22"/>
    <x v="2"/>
    <n v="3"/>
    <n v="3"/>
    <x v="3"/>
    <n v="17"/>
    <n v="11"/>
    <n v="15"/>
  </r>
  <r>
    <x v="1"/>
    <x v="1"/>
    <x v="0"/>
    <n v="818"/>
    <x v="2"/>
    <n v="6"/>
    <x v="1"/>
    <n v="2"/>
    <s v="Medical"/>
    <n v="321"/>
    <n v="2"/>
    <x v="1"/>
    <n v="52"/>
    <n v="3"/>
    <n v="1"/>
    <x v="8"/>
    <x v="2"/>
    <x v="1"/>
    <x v="228"/>
    <n v="25657"/>
    <n v="8"/>
    <x v="1"/>
    <n v="17"/>
    <n v="3"/>
    <n v="4"/>
    <x v="0"/>
    <n v="7"/>
    <x v="0"/>
    <n v="2"/>
    <n v="2"/>
    <x v="1"/>
    <n v="2"/>
    <n v="2"/>
    <n v="2"/>
  </r>
  <r>
    <x v="1"/>
    <x v="1"/>
    <x v="0"/>
    <n v="854"/>
    <x v="0"/>
    <n v="1"/>
    <x v="0"/>
    <n v="4"/>
    <s v="Medical"/>
    <n v="323"/>
    <n v="4"/>
    <x v="0"/>
    <n v="68"/>
    <n v="3"/>
    <n v="5"/>
    <x v="5"/>
    <x v="0"/>
    <x v="2"/>
    <x v="229"/>
    <n v="24118"/>
    <n v="3"/>
    <x v="1"/>
    <n v="11"/>
    <n v="3"/>
    <n v="3"/>
    <x v="1"/>
    <n v="32"/>
    <x v="2"/>
    <n v="3"/>
    <n v="2"/>
    <x v="0"/>
    <n v="0"/>
    <n v="0"/>
    <n v="6"/>
  </r>
  <r>
    <x v="2"/>
    <x v="0"/>
    <x v="0"/>
    <n v="813"/>
    <x v="1"/>
    <n v="14"/>
    <x v="1"/>
    <n v="3"/>
    <s v="Medical"/>
    <n v="325"/>
    <n v="3"/>
    <x v="1"/>
    <n v="58"/>
    <n v="3"/>
    <n v="1"/>
    <x v="2"/>
    <x v="0"/>
    <x v="1"/>
    <x v="230"/>
    <n v="22149"/>
    <n v="5"/>
    <x v="0"/>
    <n v="13"/>
    <n v="3"/>
    <n v="3"/>
    <x v="1"/>
    <n v="8"/>
    <x v="0"/>
    <n v="2"/>
    <n v="1"/>
    <x v="2"/>
    <n v="4"/>
    <n v="0"/>
    <n v="4"/>
  </r>
  <r>
    <x v="0"/>
    <x v="1"/>
    <x v="0"/>
    <n v="1034"/>
    <x v="0"/>
    <n v="16"/>
    <x v="2"/>
    <n v="3"/>
    <s v="Marketing"/>
    <n v="327"/>
    <n v="4"/>
    <x v="0"/>
    <n v="80"/>
    <n v="3"/>
    <n v="4"/>
    <x v="5"/>
    <x v="0"/>
    <x v="1"/>
    <x v="231"/>
    <n v="7744"/>
    <n v="5"/>
    <x v="0"/>
    <n v="22"/>
    <n v="4"/>
    <n v="3"/>
    <x v="1"/>
    <n v="22"/>
    <x v="2"/>
    <n v="3"/>
    <n v="3"/>
    <x v="3"/>
    <n v="13"/>
    <n v="1"/>
    <n v="9"/>
  </r>
  <r>
    <x v="2"/>
    <x v="0"/>
    <x v="0"/>
    <n v="465"/>
    <x v="1"/>
    <n v="2"/>
    <x v="0"/>
    <n v="2"/>
    <s v="Life Sciences"/>
    <n v="328"/>
    <n v="1"/>
    <x v="0"/>
    <n v="39"/>
    <n v="3"/>
    <n v="1"/>
    <x v="2"/>
    <x v="3"/>
    <x v="1"/>
    <x v="232"/>
    <n v="21509"/>
    <n v="7"/>
    <x v="1"/>
    <n v="20"/>
    <n v="4"/>
    <n v="1"/>
    <x v="0"/>
    <n v="13"/>
    <x v="0"/>
    <n v="3"/>
    <n v="4"/>
    <x v="0"/>
    <n v="7"/>
    <n v="1"/>
    <n v="7"/>
  </r>
  <r>
    <x v="1"/>
    <x v="1"/>
    <x v="2"/>
    <n v="771"/>
    <x v="0"/>
    <n v="2"/>
    <x v="0"/>
    <n v="4"/>
    <s v="Life Sciences"/>
    <n v="329"/>
    <n v="1"/>
    <x v="1"/>
    <n v="79"/>
    <n v="2"/>
    <n v="5"/>
    <x v="5"/>
    <x v="2"/>
    <x v="0"/>
    <x v="233"/>
    <n v="21030"/>
    <n v="1"/>
    <x v="0"/>
    <n v="18"/>
    <n v="3"/>
    <n v="4"/>
    <x v="0"/>
    <n v="33"/>
    <x v="2"/>
    <n v="2"/>
    <n v="4"/>
    <x v="3"/>
    <n v="7"/>
    <n v="15"/>
    <n v="12"/>
  </r>
  <r>
    <x v="2"/>
    <x v="1"/>
    <x v="0"/>
    <n v="1401"/>
    <x v="0"/>
    <n v="4"/>
    <x v="0"/>
    <n v="2"/>
    <s v="Life Sciences"/>
    <n v="330"/>
    <n v="3"/>
    <x v="0"/>
    <n v="56"/>
    <n v="3"/>
    <n v="1"/>
    <x v="6"/>
    <x v="1"/>
    <x v="1"/>
    <x v="234"/>
    <n v="20990"/>
    <n v="2"/>
    <x v="1"/>
    <n v="11"/>
    <n v="3"/>
    <n v="1"/>
    <x v="1"/>
    <n v="6"/>
    <x v="0"/>
    <n v="5"/>
    <n v="3"/>
    <x v="2"/>
    <n v="3"/>
    <n v="1"/>
    <n v="2"/>
  </r>
  <r>
    <x v="2"/>
    <x v="0"/>
    <x v="0"/>
    <n v="515"/>
    <x v="1"/>
    <n v="1"/>
    <x v="0"/>
    <n v="3"/>
    <s v="Life Sciences"/>
    <n v="331"/>
    <n v="4"/>
    <x v="1"/>
    <n v="62"/>
    <n v="2"/>
    <n v="1"/>
    <x v="2"/>
    <x v="2"/>
    <x v="0"/>
    <x v="235"/>
    <n v="9571"/>
    <n v="0"/>
    <x v="0"/>
    <n v="14"/>
    <n v="3"/>
    <n v="4"/>
    <x v="0"/>
    <n v="4"/>
    <x v="1"/>
    <n v="2"/>
    <n v="1"/>
    <x v="2"/>
    <n v="2"/>
    <n v="1"/>
    <n v="2"/>
  </r>
  <r>
    <x v="0"/>
    <x v="1"/>
    <x v="0"/>
    <n v="1431"/>
    <x v="1"/>
    <n v="1"/>
    <x v="0"/>
    <n v="4"/>
    <s v="Medical"/>
    <n v="332"/>
    <n v="3"/>
    <x v="0"/>
    <n v="96"/>
    <n v="3"/>
    <n v="1"/>
    <x v="2"/>
    <x v="2"/>
    <x v="2"/>
    <x v="236"/>
    <n v="15417"/>
    <n v="7"/>
    <x v="1"/>
    <n v="14"/>
    <n v="3"/>
    <n v="3"/>
    <x v="2"/>
    <n v="7"/>
    <x v="0"/>
    <n v="1"/>
    <n v="3"/>
    <x v="2"/>
    <n v="2"/>
    <n v="1"/>
    <n v="2"/>
  </r>
  <r>
    <x v="2"/>
    <x v="1"/>
    <x v="2"/>
    <n v="976"/>
    <x v="0"/>
    <n v="26"/>
    <x v="2"/>
    <n v="4"/>
    <s v="Marketing"/>
    <n v="333"/>
    <n v="3"/>
    <x v="1"/>
    <n v="100"/>
    <n v="3"/>
    <n v="2"/>
    <x v="0"/>
    <x v="0"/>
    <x v="1"/>
    <x v="237"/>
    <n v="12069"/>
    <n v="0"/>
    <x v="1"/>
    <n v="18"/>
    <n v="3"/>
    <n v="1"/>
    <x v="0"/>
    <n v="4"/>
    <x v="1"/>
    <n v="2"/>
    <n v="3"/>
    <x v="2"/>
    <n v="2"/>
    <n v="2"/>
    <n v="2"/>
  </r>
  <r>
    <x v="0"/>
    <x v="1"/>
    <x v="0"/>
    <n v="1411"/>
    <x v="1"/>
    <n v="19"/>
    <x v="2"/>
    <n v="2"/>
    <s v="Life Sciences"/>
    <n v="334"/>
    <n v="3"/>
    <x v="1"/>
    <n v="36"/>
    <n v="3"/>
    <n v="2"/>
    <x v="1"/>
    <x v="3"/>
    <x v="2"/>
    <x v="169"/>
    <n v="19877"/>
    <n v="2"/>
    <x v="1"/>
    <n v="16"/>
    <n v="3"/>
    <n v="1"/>
    <x v="3"/>
    <n v="17"/>
    <x v="2"/>
    <n v="2"/>
    <n v="2"/>
    <x v="1"/>
    <n v="0"/>
    <n v="0"/>
    <n v="0"/>
  </r>
  <r>
    <x v="0"/>
    <x v="1"/>
    <x v="0"/>
    <n v="1300"/>
    <x v="1"/>
    <n v="24"/>
    <x v="2"/>
    <n v="2"/>
    <s v="Technical Degree"/>
    <n v="335"/>
    <n v="1"/>
    <x v="1"/>
    <n v="62"/>
    <n v="3"/>
    <n v="2"/>
    <x v="1"/>
    <x v="0"/>
    <x v="2"/>
    <x v="238"/>
    <n v="24447"/>
    <n v="1"/>
    <x v="1"/>
    <n v="17"/>
    <n v="3"/>
    <n v="1"/>
    <x v="3"/>
    <n v="9"/>
    <x v="0"/>
    <n v="3"/>
    <n v="3"/>
    <x v="0"/>
    <n v="8"/>
    <n v="4"/>
    <n v="7"/>
  </r>
  <r>
    <x v="0"/>
    <x v="1"/>
    <x v="0"/>
    <n v="252"/>
    <x v="1"/>
    <n v="1"/>
    <x v="0"/>
    <n v="3"/>
    <s v="Other"/>
    <n v="336"/>
    <n v="3"/>
    <x v="1"/>
    <n v="70"/>
    <n v="4"/>
    <n v="5"/>
    <x v="5"/>
    <x v="0"/>
    <x v="1"/>
    <x v="239"/>
    <n v="15970"/>
    <n v="0"/>
    <x v="1"/>
    <n v="11"/>
    <n v="3"/>
    <n v="3"/>
    <x v="1"/>
    <n v="25"/>
    <x v="2"/>
    <n v="2"/>
    <n v="3"/>
    <x v="3"/>
    <n v="0"/>
    <n v="1"/>
    <n v="7"/>
  </r>
  <r>
    <x v="2"/>
    <x v="1"/>
    <x v="1"/>
    <n v="1327"/>
    <x v="1"/>
    <n v="3"/>
    <x v="0"/>
    <n v="4"/>
    <s v="Medical"/>
    <n v="337"/>
    <n v="2"/>
    <x v="1"/>
    <n v="73"/>
    <n v="3"/>
    <n v="3"/>
    <x v="7"/>
    <x v="2"/>
    <x v="2"/>
    <x v="240"/>
    <n v="13523"/>
    <n v="9"/>
    <x v="1"/>
    <n v="12"/>
    <n v="3"/>
    <n v="1"/>
    <x v="1"/>
    <n v="9"/>
    <x v="0"/>
    <n v="3"/>
    <n v="3"/>
    <x v="1"/>
    <n v="2"/>
    <n v="2"/>
    <n v="2"/>
  </r>
  <r>
    <x v="2"/>
    <x v="1"/>
    <x v="0"/>
    <n v="832"/>
    <x v="1"/>
    <n v="5"/>
    <x v="0"/>
    <n v="4"/>
    <s v="Life Sciences"/>
    <n v="338"/>
    <n v="3"/>
    <x v="0"/>
    <n v="63"/>
    <n v="2"/>
    <n v="1"/>
    <x v="1"/>
    <x v="0"/>
    <x v="1"/>
    <x v="12"/>
    <n v="14776"/>
    <n v="1"/>
    <x v="1"/>
    <n v="13"/>
    <n v="3"/>
    <n v="3"/>
    <x v="1"/>
    <n v="2"/>
    <x v="1"/>
    <n v="2"/>
    <n v="2"/>
    <x v="1"/>
    <n v="2"/>
    <n v="0"/>
    <n v="2"/>
  </r>
  <r>
    <x v="2"/>
    <x v="1"/>
    <x v="0"/>
    <n v="470"/>
    <x v="1"/>
    <n v="2"/>
    <x v="0"/>
    <n v="4"/>
    <s v="Life Sciences"/>
    <n v="339"/>
    <n v="4"/>
    <x v="1"/>
    <n v="84"/>
    <n v="2"/>
    <n v="2"/>
    <x v="3"/>
    <x v="3"/>
    <x v="1"/>
    <x v="241"/>
    <n v="23687"/>
    <n v="6"/>
    <x v="1"/>
    <n v="13"/>
    <n v="3"/>
    <n v="2"/>
    <x v="1"/>
    <n v="13"/>
    <x v="0"/>
    <n v="3"/>
    <n v="3"/>
    <x v="3"/>
    <n v="9"/>
    <n v="5"/>
    <n v="9"/>
  </r>
  <r>
    <x v="0"/>
    <x v="1"/>
    <x v="0"/>
    <n v="1017"/>
    <x v="1"/>
    <n v="1"/>
    <x v="0"/>
    <n v="2"/>
    <s v="Medical"/>
    <n v="340"/>
    <n v="3"/>
    <x v="0"/>
    <n v="83"/>
    <n v="2"/>
    <n v="1"/>
    <x v="1"/>
    <x v="3"/>
    <x v="1"/>
    <x v="242"/>
    <n v="18697"/>
    <n v="2"/>
    <x v="1"/>
    <n v="14"/>
    <n v="3"/>
    <n v="1"/>
    <x v="1"/>
    <n v="17"/>
    <x v="2"/>
    <n v="2"/>
    <n v="2"/>
    <x v="2"/>
    <n v="1"/>
    <n v="0"/>
    <n v="2"/>
  </r>
  <r>
    <x v="0"/>
    <x v="1"/>
    <x v="1"/>
    <n v="1199"/>
    <x v="1"/>
    <n v="7"/>
    <x v="1"/>
    <n v="4"/>
    <s v="Life Sciences"/>
    <n v="341"/>
    <n v="1"/>
    <x v="1"/>
    <n v="77"/>
    <n v="4"/>
    <n v="2"/>
    <x v="3"/>
    <x v="2"/>
    <x v="1"/>
    <x v="243"/>
    <n v="5118"/>
    <n v="4"/>
    <x v="1"/>
    <n v="17"/>
    <n v="3"/>
    <n v="4"/>
    <x v="1"/>
    <n v="9"/>
    <x v="0"/>
    <n v="1"/>
    <n v="3"/>
    <x v="2"/>
    <n v="2"/>
    <n v="0"/>
    <n v="2"/>
  </r>
  <r>
    <x v="0"/>
    <x v="0"/>
    <x v="1"/>
    <n v="504"/>
    <x v="1"/>
    <n v="10"/>
    <x v="1"/>
    <n v="3"/>
    <s v="Medical"/>
    <n v="342"/>
    <n v="1"/>
    <x v="1"/>
    <n v="61"/>
    <n v="3"/>
    <n v="3"/>
    <x v="3"/>
    <x v="2"/>
    <x v="2"/>
    <x v="244"/>
    <n v="22573"/>
    <n v="6"/>
    <x v="1"/>
    <n v="11"/>
    <n v="3"/>
    <n v="2"/>
    <x v="3"/>
    <n v="17"/>
    <x v="2"/>
    <n v="5"/>
    <n v="3"/>
    <x v="1"/>
    <n v="0"/>
    <n v="0"/>
    <n v="0"/>
  </r>
  <r>
    <x v="0"/>
    <x v="1"/>
    <x v="1"/>
    <n v="505"/>
    <x v="1"/>
    <n v="2"/>
    <x v="0"/>
    <n v="4"/>
    <s v="Technical Degree"/>
    <n v="343"/>
    <n v="3"/>
    <x v="0"/>
    <n v="64"/>
    <n v="3"/>
    <n v="3"/>
    <x v="4"/>
    <x v="2"/>
    <x v="0"/>
    <x v="245"/>
    <n v="6420"/>
    <n v="0"/>
    <x v="1"/>
    <n v="25"/>
    <n v="4"/>
    <n v="4"/>
    <x v="0"/>
    <n v="20"/>
    <x v="2"/>
    <n v="1"/>
    <n v="3"/>
    <x v="3"/>
    <n v="6"/>
    <n v="11"/>
    <n v="8"/>
  </r>
  <r>
    <x v="2"/>
    <x v="1"/>
    <x v="0"/>
    <n v="665"/>
    <x v="1"/>
    <n v="15"/>
    <x v="1"/>
    <n v="3"/>
    <s v="Life Sciences"/>
    <n v="346"/>
    <n v="3"/>
    <x v="1"/>
    <n v="60"/>
    <n v="3"/>
    <n v="1"/>
    <x v="1"/>
    <x v="0"/>
    <x v="0"/>
    <x v="246"/>
    <n v="22673"/>
    <n v="1"/>
    <x v="1"/>
    <n v="19"/>
    <n v="3"/>
    <n v="1"/>
    <x v="0"/>
    <n v="6"/>
    <x v="0"/>
    <n v="1"/>
    <n v="3"/>
    <x v="0"/>
    <n v="5"/>
    <n v="1"/>
    <n v="5"/>
  </r>
  <r>
    <x v="0"/>
    <x v="1"/>
    <x v="0"/>
    <n v="916"/>
    <x v="1"/>
    <n v="17"/>
    <x v="2"/>
    <n v="2"/>
    <s v="Life Sciences"/>
    <n v="347"/>
    <n v="4"/>
    <x v="0"/>
    <n v="82"/>
    <n v="4"/>
    <n v="2"/>
    <x v="1"/>
    <x v="3"/>
    <x v="0"/>
    <x v="247"/>
    <n v="23016"/>
    <n v="3"/>
    <x v="0"/>
    <n v="13"/>
    <n v="3"/>
    <n v="3"/>
    <x v="0"/>
    <n v="10"/>
    <x v="0"/>
    <n v="1"/>
    <n v="3"/>
    <x v="2"/>
    <n v="2"/>
    <n v="0"/>
    <n v="2"/>
  </r>
  <r>
    <x v="2"/>
    <x v="1"/>
    <x v="0"/>
    <n v="1247"/>
    <x v="0"/>
    <n v="20"/>
    <x v="2"/>
    <n v="2"/>
    <s v="Marketing"/>
    <n v="349"/>
    <n v="4"/>
    <x v="1"/>
    <n v="45"/>
    <n v="3"/>
    <n v="2"/>
    <x v="0"/>
    <x v="0"/>
    <x v="2"/>
    <x v="248"/>
    <n v="10732"/>
    <n v="2"/>
    <x v="1"/>
    <n v="14"/>
    <n v="3"/>
    <n v="4"/>
    <x v="1"/>
    <n v="10"/>
    <x v="0"/>
    <n v="2"/>
    <n v="3"/>
    <x v="2"/>
    <n v="2"/>
    <n v="0"/>
    <n v="2"/>
  </r>
  <r>
    <x v="3"/>
    <x v="1"/>
    <x v="0"/>
    <n v="685"/>
    <x v="1"/>
    <n v="1"/>
    <x v="0"/>
    <n v="3"/>
    <s v="Life Sciences"/>
    <n v="350"/>
    <n v="1"/>
    <x v="0"/>
    <n v="62"/>
    <n v="3"/>
    <n v="2"/>
    <x v="3"/>
    <x v="2"/>
    <x v="1"/>
    <x v="249"/>
    <n v="7505"/>
    <n v="0"/>
    <x v="1"/>
    <n v="12"/>
    <n v="3"/>
    <n v="4"/>
    <x v="3"/>
    <n v="5"/>
    <x v="1"/>
    <n v="3"/>
    <n v="3"/>
    <x v="2"/>
    <n v="2"/>
    <n v="1"/>
    <n v="2"/>
  </r>
  <r>
    <x v="0"/>
    <x v="1"/>
    <x v="0"/>
    <n v="269"/>
    <x v="1"/>
    <n v="2"/>
    <x v="0"/>
    <n v="3"/>
    <s v="Medical"/>
    <n v="351"/>
    <n v="4"/>
    <x v="0"/>
    <n v="56"/>
    <n v="2"/>
    <n v="1"/>
    <x v="2"/>
    <x v="3"/>
    <x v="2"/>
    <x v="250"/>
    <n v="8007"/>
    <n v="0"/>
    <x v="0"/>
    <n v="11"/>
    <n v="3"/>
    <n v="3"/>
    <x v="1"/>
    <n v="10"/>
    <x v="0"/>
    <n v="4"/>
    <n v="3"/>
    <x v="0"/>
    <n v="6"/>
    <n v="7"/>
    <n v="8"/>
  </r>
  <r>
    <x v="0"/>
    <x v="1"/>
    <x v="0"/>
    <n v="1416"/>
    <x v="1"/>
    <n v="2"/>
    <x v="0"/>
    <n v="2"/>
    <s v="Medical"/>
    <n v="352"/>
    <n v="1"/>
    <x v="1"/>
    <n v="49"/>
    <n v="3"/>
    <n v="5"/>
    <x v="7"/>
    <x v="2"/>
    <x v="2"/>
    <x v="251"/>
    <n v="5949"/>
    <n v="0"/>
    <x v="1"/>
    <n v="19"/>
    <n v="3"/>
    <n v="4"/>
    <x v="1"/>
    <n v="22"/>
    <x v="2"/>
    <n v="5"/>
    <n v="3"/>
    <x v="3"/>
    <n v="7"/>
    <n v="3"/>
    <n v="9"/>
  </r>
  <r>
    <x v="1"/>
    <x v="1"/>
    <x v="0"/>
    <n v="833"/>
    <x v="1"/>
    <n v="1"/>
    <x v="0"/>
    <n v="3"/>
    <s v="Life Sciences"/>
    <n v="353"/>
    <n v="3"/>
    <x v="1"/>
    <n v="96"/>
    <n v="3"/>
    <n v="1"/>
    <x v="1"/>
    <x v="0"/>
    <x v="1"/>
    <x v="252"/>
    <n v="23231"/>
    <n v="1"/>
    <x v="1"/>
    <n v="11"/>
    <n v="3"/>
    <n v="2"/>
    <x v="0"/>
    <n v="1"/>
    <x v="1"/>
    <n v="0"/>
    <n v="2"/>
    <x v="1"/>
    <n v="0"/>
    <n v="0"/>
    <n v="0"/>
  </r>
  <r>
    <x v="2"/>
    <x v="0"/>
    <x v="1"/>
    <n v="307"/>
    <x v="1"/>
    <n v="29"/>
    <x v="2"/>
    <n v="2"/>
    <s v="Medical"/>
    <n v="355"/>
    <n v="3"/>
    <x v="1"/>
    <n v="71"/>
    <n v="2"/>
    <n v="1"/>
    <x v="2"/>
    <x v="1"/>
    <x v="0"/>
    <x v="253"/>
    <n v="11652"/>
    <n v="0"/>
    <x v="1"/>
    <n v="11"/>
    <n v="3"/>
    <n v="2"/>
    <x v="0"/>
    <n v="6"/>
    <x v="0"/>
    <n v="2"/>
    <n v="4"/>
    <x v="2"/>
    <n v="4"/>
    <n v="1"/>
    <n v="4"/>
  </r>
  <r>
    <x v="2"/>
    <x v="1"/>
    <x v="1"/>
    <n v="1311"/>
    <x v="1"/>
    <n v="7"/>
    <x v="1"/>
    <n v="3"/>
    <s v="Life Sciences"/>
    <n v="359"/>
    <n v="2"/>
    <x v="1"/>
    <n v="100"/>
    <n v="4"/>
    <n v="1"/>
    <x v="2"/>
    <x v="1"/>
    <x v="1"/>
    <x v="254"/>
    <n v="26062"/>
    <n v="1"/>
    <x v="1"/>
    <n v="20"/>
    <n v="4"/>
    <n v="3"/>
    <x v="0"/>
    <n v="5"/>
    <x v="1"/>
    <n v="3"/>
    <n v="1"/>
    <x v="2"/>
    <n v="1"/>
    <n v="0"/>
    <n v="3"/>
  </r>
  <r>
    <x v="0"/>
    <x v="1"/>
    <x v="2"/>
    <n v="1327"/>
    <x v="0"/>
    <n v="2"/>
    <x v="0"/>
    <n v="2"/>
    <s v="Life Sciences"/>
    <n v="361"/>
    <n v="4"/>
    <x v="1"/>
    <n v="39"/>
    <n v="2"/>
    <n v="2"/>
    <x v="0"/>
    <x v="0"/>
    <x v="1"/>
    <x v="255"/>
    <n v="19682"/>
    <n v="3"/>
    <x v="1"/>
    <n v="18"/>
    <n v="3"/>
    <n v="4"/>
    <x v="1"/>
    <n v="13"/>
    <x v="0"/>
    <n v="0"/>
    <n v="3"/>
    <x v="0"/>
    <n v="7"/>
    <n v="7"/>
    <n v="5"/>
  </r>
  <r>
    <x v="2"/>
    <x v="1"/>
    <x v="0"/>
    <n v="128"/>
    <x v="1"/>
    <n v="2"/>
    <x v="0"/>
    <n v="1"/>
    <s v="Technical Degree"/>
    <n v="362"/>
    <n v="4"/>
    <x v="1"/>
    <n v="84"/>
    <n v="2"/>
    <n v="2"/>
    <x v="2"/>
    <x v="3"/>
    <x v="0"/>
    <x v="256"/>
    <n v="19737"/>
    <n v="4"/>
    <x v="1"/>
    <n v="13"/>
    <n v="3"/>
    <n v="4"/>
    <x v="0"/>
    <n v="9"/>
    <x v="0"/>
    <n v="5"/>
    <n v="3"/>
    <x v="0"/>
    <n v="2"/>
    <n v="0"/>
    <n v="4"/>
  </r>
  <r>
    <x v="1"/>
    <x v="1"/>
    <x v="0"/>
    <n v="488"/>
    <x v="0"/>
    <n v="2"/>
    <x v="0"/>
    <n v="3"/>
    <s v="Technical Degree"/>
    <n v="363"/>
    <n v="3"/>
    <x v="0"/>
    <n v="75"/>
    <n v="1"/>
    <n v="4"/>
    <x v="5"/>
    <x v="1"/>
    <x v="1"/>
    <x v="257"/>
    <n v="14977"/>
    <n v="3"/>
    <x v="0"/>
    <n v="12"/>
    <n v="3"/>
    <n v="2"/>
    <x v="1"/>
    <n v="28"/>
    <x v="2"/>
    <n v="2"/>
    <n v="2"/>
    <x v="0"/>
    <n v="7"/>
    <n v="7"/>
    <n v="7"/>
  </r>
  <r>
    <x v="2"/>
    <x v="0"/>
    <x v="0"/>
    <n v="529"/>
    <x v="1"/>
    <n v="2"/>
    <x v="0"/>
    <n v="4"/>
    <s v="Life Sciences"/>
    <n v="364"/>
    <n v="1"/>
    <x v="1"/>
    <n v="79"/>
    <n v="3"/>
    <n v="1"/>
    <x v="2"/>
    <x v="2"/>
    <x v="0"/>
    <x v="258"/>
    <n v="14935"/>
    <n v="2"/>
    <x v="1"/>
    <n v="11"/>
    <n v="3"/>
    <n v="3"/>
    <x v="0"/>
    <n v="5"/>
    <x v="1"/>
    <n v="5"/>
    <n v="1"/>
    <x v="1"/>
    <n v="0"/>
    <n v="0"/>
    <n v="0"/>
  </r>
  <r>
    <x v="2"/>
    <x v="1"/>
    <x v="0"/>
    <n v="1210"/>
    <x v="0"/>
    <n v="2"/>
    <x v="0"/>
    <n v="3"/>
    <s v="Medical"/>
    <n v="366"/>
    <n v="1"/>
    <x v="1"/>
    <n v="78"/>
    <n v="2"/>
    <n v="2"/>
    <x v="0"/>
    <x v="1"/>
    <x v="1"/>
    <x v="259"/>
    <n v="3687"/>
    <n v="2"/>
    <x v="1"/>
    <n v="19"/>
    <n v="3"/>
    <n v="2"/>
    <x v="3"/>
    <n v="10"/>
    <x v="0"/>
    <n v="2"/>
    <n v="3"/>
    <x v="1"/>
    <n v="0"/>
    <n v="0"/>
    <n v="0"/>
  </r>
  <r>
    <x v="2"/>
    <x v="1"/>
    <x v="0"/>
    <n v="1463"/>
    <x v="1"/>
    <n v="23"/>
    <x v="2"/>
    <n v="3"/>
    <s v="Medical"/>
    <n v="367"/>
    <n v="2"/>
    <x v="1"/>
    <n v="64"/>
    <n v="2"/>
    <n v="2"/>
    <x v="4"/>
    <x v="0"/>
    <x v="1"/>
    <x v="260"/>
    <n v="14408"/>
    <n v="0"/>
    <x v="1"/>
    <n v="21"/>
    <n v="4"/>
    <n v="2"/>
    <x v="1"/>
    <n v="10"/>
    <x v="0"/>
    <n v="2"/>
    <n v="3"/>
    <x v="0"/>
    <n v="0"/>
    <n v="7"/>
    <n v="8"/>
  </r>
  <r>
    <x v="3"/>
    <x v="1"/>
    <x v="2"/>
    <n v="675"/>
    <x v="1"/>
    <n v="5"/>
    <x v="0"/>
    <n v="2"/>
    <s v="Life Sciences"/>
    <n v="369"/>
    <n v="2"/>
    <x v="1"/>
    <n v="85"/>
    <n v="4"/>
    <n v="2"/>
    <x v="4"/>
    <x v="3"/>
    <x v="2"/>
    <x v="261"/>
    <n v="18384"/>
    <n v="1"/>
    <x v="1"/>
    <n v="12"/>
    <n v="3"/>
    <n v="4"/>
    <x v="3"/>
    <n v="6"/>
    <x v="0"/>
    <n v="2"/>
    <n v="3"/>
    <x v="0"/>
    <n v="3"/>
    <n v="1"/>
    <n v="5"/>
  </r>
  <r>
    <x v="0"/>
    <x v="1"/>
    <x v="0"/>
    <n v="1385"/>
    <x v="1"/>
    <n v="20"/>
    <x v="2"/>
    <n v="2"/>
    <s v="Medical"/>
    <n v="372"/>
    <n v="3"/>
    <x v="1"/>
    <n v="79"/>
    <n v="3"/>
    <n v="4"/>
    <x v="4"/>
    <x v="0"/>
    <x v="1"/>
    <x v="262"/>
    <n v="7501"/>
    <n v="0"/>
    <x v="0"/>
    <n v="14"/>
    <n v="3"/>
    <n v="2"/>
    <x v="0"/>
    <n v="21"/>
    <x v="2"/>
    <n v="2"/>
    <n v="3"/>
    <x v="3"/>
    <n v="7"/>
    <n v="4"/>
    <n v="10"/>
  </r>
  <r>
    <x v="0"/>
    <x v="1"/>
    <x v="0"/>
    <n v="1403"/>
    <x v="1"/>
    <n v="6"/>
    <x v="1"/>
    <n v="3"/>
    <s v="Life Sciences"/>
    <n v="373"/>
    <n v="4"/>
    <x v="1"/>
    <n v="47"/>
    <n v="3"/>
    <n v="1"/>
    <x v="2"/>
    <x v="0"/>
    <x v="1"/>
    <x v="263"/>
    <n v="20251"/>
    <n v="0"/>
    <x v="1"/>
    <n v="11"/>
    <n v="3"/>
    <n v="3"/>
    <x v="1"/>
    <n v="16"/>
    <x v="2"/>
    <n v="4"/>
    <n v="3"/>
    <x v="3"/>
    <n v="13"/>
    <n v="10"/>
    <n v="11"/>
  </r>
  <r>
    <x v="1"/>
    <x v="1"/>
    <x v="0"/>
    <n v="452"/>
    <x v="1"/>
    <n v="1"/>
    <x v="0"/>
    <n v="3"/>
    <s v="Medical"/>
    <n v="374"/>
    <n v="4"/>
    <x v="1"/>
    <n v="81"/>
    <n v="3"/>
    <n v="5"/>
    <x v="5"/>
    <x v="3"/>
    <x v="0"/>
    <x v="264"/>
    <n v="18938"/>
    <n v="0"/>
    <x v="0"/>
    <n v="14"/>
    <n v="3"/>
    <n v="3"/>
    <x v="0"/>
    <n v="37"/>
    <x v="2"/>
    <n v="2"/>
    <n v="3"/>
    <x v="3"/>
    <n v="10"/>
    <n v="4"/>
    <n v="13"/>
  </r>
  <r>
    <x v="1"/>
    <x v="0"/>
    <x v="2"/>
    <n v="666"/>
    <x v="1"/>
    <n v="29"/>
    <x v="2"/>
    <n v="4"/>
    <s v="Life Sciences"/>
    <n v="376"/>
    <n v="1"/>
    <x v="1"/>
    <n v="88"/>
    <n v="3"/>
    <n v="3"/>
    <x v="5"/>
    <x v="1"/>
    <x v="1"/>
    <x v="265"/>
    <n v="10268"/>
    <n v="1"/>
    <x v="0"/>
    <n v="12"/>
    <n v="3"/>
    <n v="4"/>
    <x v="1"/>
    <n v="10"/>
    <x v="0"/>
    <n v="2"/>
    <n v="2"/>
    <x v="0"/>
    <n v="7"/>
    <n v="9"/>
    <n v="9"/>
  </r>
  <r>
    <x v="2"/>
    <x v="1"/>
    <x v="0"/>
    <n v="1158"/>
    <x v="1"/>
    <n v="9"/>
    <x v="1"/>
    <n v="3"/>
    <s v="Medical"/>
    <n v="377"/>
    <n v="4"/>
    <x v="1"/>
    <n v="94"/>
    <n v="3"/>
    <n v="1"/>
    <x v="1"/>
    <x v="0"/>
    <x v="1"/>
    <x v="266"/>
    <n v="2613"/>
    <n v="1"/>
    <x v="1"/>
    <n v="23"/>
    <n v="4"/>
    <n v="4"/>
    <x v="1"/>
    <n v="5"/>
    <x v="1"/>
    <n v="3"/>
    <n v="2"/>
    <x v="2"/>
    <n v="2"/>
    <n v="0"/>
    <n v="4"/>
  </r>
  <r>
    <x v="0"/>
    <x v="1"/>
    <x v="0"/>
    <n v="228"/>
    <x v="0"/>
    <n v="6"/>
    <x v="1"/>
    <n v="4"/>
    <s v="Medical"/>
    <n v="378"/>
    <n v="3"/>
    <x v="1"/>
    <n v="98"/>
    <n v="3"/>
    <n v="2"/>
    <x v="0"/>
    <x v="0"/>
    <x v="1"/>
    <x v="267"/>
    <n v="22825"/>
    <n v="4"/>
    <x v="1"/>
    <n v="14"/>
    <n v="3"/>
    <n v="2"/>
    <x v="1"/>
    <n v="7"/>
    <x v="0"/>
    <n v="5"/>
    <n v="4"/>
    <x v="2"/>
    <n v="4"/>
    <n v="0"/>
    <n v="1"/>
  </r>
  <r>
    <x v="3"/>
    <x v="1"/>
    <x v="0"/>
    <n v="996"/>
    <x v="1"/>
    <n v="3"/>
    <x v="0"/>
    <n v="2"/>
    <s v="Medical"/>
    <n v="379"/>
    <n v="4"/>
    <x v="1"/>
    <n v="100"/>
    <n v="2"/>
    <n v="1"/>
    <x v="1"/>
    <x v="2"/>
    <x v="0"/>
    <x v="268"/>
    <n v="10531"/>
    <n v="1"/>
    <x v="1"/>
    <n v="17"/>
    <n v="3"/>
    <n v="1"/>
    <x v="0"/>
    <n v="3"/>
    <x v="1"/>
    <n v="4"/>
    <n v="4"/>
    <x v="2"/>
    <n v="2"/>
    <n v="1"/>
    <n v="0"/>
  </r>
  <r>
    <x v="0"/>
    <x v="1"/>
    <x v="2"/>
    <n v="728"/>
    <x v="1"/>
    <n v="1"/>
    <x v="0"/>
    <n v="4"/>
    <s v="Medical"/>
    <n v="380"/>
    <n v="1"/>
    <x v="0"/>
    <n v="80"/>
    <n v="3"/>
    <n v="3"/>
    <x v="7"/>
    <x v="0"/>
    <x v="2"/>
    <x v="269"/>
    <n v="11677"/>
    <n v="2"/>
    <x v="0"/>
    <n v="18"/>
    <n v="3"/>
    <n v="1"/>
    <x v="3"/>
    <n v="15"/>
    <x v="0"/>
    <n v="2"/>
    <n v="3"/>
    <x v="2"/>
    <n v="2"/>
    <n v="0"/>
    <n v="2"/>
  </r>
  <r>
    <x v="2"/>
    <x v="1"/>
    <x v="0"/>
    <n v="1315"/>
    <x v="1"/>
    <n v="22"/>
    <x v="2"/>
    <n v="3"/>
    <s v="Life Sciences"/>
    <n v="381"/>
    <n v="2"/>
    <x v="0"/>
    <n v="71"/>
    <n v="4"/>
    <n v="3"/>
    <x v="5"/>
    <x v="1"/>
    <x v="2"/>
    <x v="270"/>
    <n v="19100"/>
    <n v="7"/>
    <x v="1"/>
    <n v="18"/>
    <n v="3"/>
    <n v="2"/>
    <x v="1"/>
    <n v="10"/>
    <x v="0"/>
    <n v="6"/>
    <n v="2"/>
    <x v="0"/>
    <n v="7"/>
    <n v="6"/>
    <n v="2"/>
  </r>
  <r>
    <x v="0"/>
    <x v="1"/>
    <x v="0"/>
    <n v="322"/>
    <x v="0"/>
    <n v="7"/>
    <x v="1"/>
    <n v="2"/>
    <s v="Medical"/>
    <n v="382"/>
    <n v="1"/>
    <x v="0"/>
    <n v="44"/>
    <n v="4"/>
    <n v="2"/>
    <x v="0"/>
    <x v="3"/>
    <x v="2"/>
    <x v="147"/>
    <n v="19191"/>
    <n v="1"/>
    <x v="0"/>
    <n v="24"/>
    <n v="4"/>
    <n v="3"/>
    <x v="1"/>
    <n v="8"/>
    <x v="0"/>
    <n v="3"/>
    <n v="3"/>
    <x v="0"/>
    <n v="0"/>
    <n v="7"/>
    <n v="7"/>
  </r>
  <r>
    <x v="2"/>
    <x v="1"/>
    <x v="1"/>
    <n v="1479"/>
    <x v="1"/>
    <n v="1"/>
    <x v="0"/>
    <n v="3"/>
    <s v="Life Sciences"/>
    <n v="384"/>
    <n v="3"/>
    <x v="0"/>
    <n v="84"/>
    <n v="3"/>
    <n v="2"/>
    <x v="3"/>
    <x v="1"/>
    <x v="2"/>
    <x v="271"/>
    <n v="26767"/>
    <n v="1"/>
    <x v="1"/>
    <n v="20"/>
    <n v="4"/>
    <n v="1"/>
    <x v="1"/>
    <n v="6"/>
    <x v="0"/>
    <n v="6"/>
    <n v="1"/>
    <x v="0"/>
    <n v="5"/>
    <n v="1"/>
    <n v="4"/>
  </r>
  <r>
    <x v="1"/>
    <x v="1"/>
    <x v="0"/>
    <n v="797"/>
    <x v="1"/>
    <n v="4"/>
    <x v="0"/>
    <n v="1"/>
    <s v="Life Sciences"/>
    <n v="385"/>
    <n v="1"/>
    <x v="1"/>
    <n v="96"/>
    <n v="3"/>
    <n v="5"/>
    <x v="7"/>
    <x v="1"/>
    <x v="2"/>
    <x v="272"/>
    <n v="15815"/>
    <n v="3"/>
    <x v="1"/>
    <n v="14"/>
    <n v="3"/>
    <n v="1"/>
    <x v="3"/>
    <n v="28"/>
    <x v="2"/>
    <n v="4"/>
    <n v="2"/>
    <x v="0"/>
    <n v="4"/>
    <n v="1"/>
    <n v="6"/>
  </r>
  <r>
    <x v="1"/>
    <x v="1"/>
    <x v="0"/>
    <n v="1070"/>
    <x v="1"/>
    <n v="3"/>
    <x v="0"/>
    <n v="4"/>
    <s v="Medical"/>
    <n v="386"/>
    <n v="3"/>
    <x v="1"/>
    <n v="45"/>
    <n v="3"/>
    <n v="4"/>
    <x v="7"/>
    <x v="2"/>
    <x v="1"/>
    <x v="273"/>
    <n v="21016"/>
    <n v="3"/>
    <x v="0"/>
    <n v="16"/>
    <n v="3"/>
    <n v="4"/>
    <x v="2"/>
    <n v="21"/>
    <x v="2"/>
    <n v="5"/>
    <n v="2"/>
    <x v="2"/>
    <n v="3"/>
    <n v="1"/>
    <n v="3"/>
  </r>
  <r>
    <x v="0"/>
    <x v="1"/>
    <x v="0"/>
    <n v="635"/>
    <x v="0"/>
    <n v="1"/>
    <x v="0"/>
    <n v="1"/>
    <s v="Life Sciences"/>
    <n v="387"/>
    <n v="2"/>
    <x v="1"/>
    <n v="99"/>
    <n v="3"/>
    <n v="2"/>
    <x v="0"/>
    <x v="2"/>
    <x v="1"/>
    <x v="274"/>
    <n v="24532"/>
    <n v="1"/>
    <x v="1"/>
    <n v="25"/>
    <n v="4"/>
    <n v="3"/>
    <x v="0"/>
    <n v="20"/>
    <x v="2"/>
    <n v="3"/>
    <n v="3"/>
    <x v="3"/>
    <n v="16"/>
    <n v="11"/>
    <n v="6"/>
  </r>
  <r>
    <x v="2"/>
    <x v="1"/>
    <x v="1"/>
    <n v="442"/>
    <x v="0"/>
    <n v="2"/>
    <x v="0"/>
    <n v="2"/>
    <s v="Life Sciences"/>
    <n v="388"/>
    <n v="2"/>
    <x v="1"/>
    <n v="44"/>
    <n v="3"/>
    <n v="2"/>
    <x v="0"/>
    <x v="0"/>
    <x v="0"/>
    <x v="275"/>
    <n v="20260"/>
    <n v="1"/>
    <x v="1"/>
    <n v="18"/>
    <n v="3"/>
    <n v="1"/>
    <x v="0"/>
    <n v="10"/>
    <x v="0"/>
    <n v="3"/>
    <n v="2"/>
    <x v="0"/>
    <n v="7"/>
    <n v="0"/>
    <n v="9"/>
  </r>
  <r>
    <x v="1"/>
    <x v="1"/>
    <x v="0"/>
    <n v="147"/>
    <x v="1"/>
    <n v="20"/>
    <x v="2"/>
    <n v="2"/>
    <s v="Technical Degree"/>
    <n v="389"/>
    <n v="2"/>
    <x v="1"/>
    <n v="37"/>
    <n v="3"/>
    <n v="2"/>
    <x v="2"/>
    <x v="0"/>
    <x v="1"/>
    <x v="276"/>
    <n v="15972"/>
    <n v="3"/>
    <x v="0"/>
    <n v="19"/>
    <n v="3"/>
    <n v="4"/>
    <x v="1"/>
    <n v="12"/>
    <x v="0"/>
    <n v="4"/>
    <n v="3"/>
    <x v="0"/>
    <n v="7"/>
    <n v="0"/>
    <n v="8"/>
  </r>
  <r>
    <x v="2"/>
    <x v="1"/>
    <x v="1"/>
    <n v="496"/>
    <x v="1"/>
    <n v="11"/>
    <x v="1"/>
    <n v="2"/>
    <s v="Medical"/>
    <n v="390"/>
    <n v="1"/>
    <x v="1"/>
    <n v="60"/>
    <n v="3"/>
    <n v="2"/>
    <x v="4"/>
    <x v="3"/>
    <x v="1"/>
    <x v="277"/>
    <n v="22722"/>
    <n v="1"/>
    <x v="0"/>
    <n v="13"/>
    <n v="3"/>
    <n v="3"/>
    <x v="1"/>
    <n v="5"/>
    <x v="1"/>
    <n v="3"/>
    <n v="3"/>
    <x v="2"/>
    <n v="3"/>
    <n v="3"/>
    <n v="3"/>
  </r>
  <r>
    <x v="0"/>
    <x v="1"/>
    <x v="0"/>
    <n v="1372"/>
    <x v="1"/>
    <n v="1"/>
    <x v="0"/>
    <n v="3"/>
    <s v="Life Sciences"/>
    <n v="391"/>
    <n v="4"/>
    <x v="0"/>
    <n v="42"/>
    <n v="3"/>
    <n v="1"/>
    <x v="1"/>
    <x v="0"/>
    <x v="0"/>
    <x v="278"/>
    <n v="15881"/>
    <n v="1"/>
    <x v="1"/>
    <n v="12"/>
    <n v="3"/>
    <n v="2"/>
    <x v="0"/>
    <n v="17"/>
    <x v="2"/>
    <n v="3"/>
    <n v="3"/>
    <x v="3"/>
    <n v="12"/>
    <n v="5"/>
    <n v="7"/>
  </r>
  <r>
    <x v="0"/>
    <x v="0"/>
    <x v="1"/>
    <n v="920"/>
    <x v="1"/>
    <n v="24"/>
    <x v="2"/>
    <n v="3"/>
    <s v="Life Sciences"/>
    <n v="392"/>
    <n v="4"/>
    <x v="1"/>
    <n v="43"/>
    <n v="3"/>
    <n v="1"/>
    <x v="2"/>
    <x v="2"/>
    <x v="2"/>
    <x v="279"/>
    <n v="19920"/>
    <n v="3"/>
    <x v="0"/>
    <n v="22"/>
    <n v="4"/>
    <n v="4"/>
    <x v="1"/>
    <n v="19"/>
    <x v="2"/>
    <n v="0"/>
    <n v="1"/>
    <x v="1"/>
    <n v="0"/>
    <n v="0"/>
    <n v="0"/>
  </r>
  <r>
    <x v="0"/>
    <x v="1"/>
    <x v="0"/>
    <n v="688"/>
    <x v="1"/>
    <n v="23"/>
    <x v="2"/>
    <n v="4"/>
    <s v="Life Sciences"/>
    <n v="393"/>
    <n v="4"/>
    <x v="1"/>
    <n v="82"/>
    <n v="3"/>
    <n v="2"/>
    <x v="4"/>
    <x v="0"/>
    <x v="2"/>
    <x v="280"/>
    <n v="18899"/>
    <n v="9"/>
    <x v="1"/>
    <n v="14"/>
    <n v="3"/>
    <n v="2"/>
    <x v="1"/>
    <n v="10"/>
    <x v="0"/>
    <n v="2"/>
    <n v="3"/>
    <x v="1"/>
    <n v="2"/>
    <n v="1"/>
    <n v="2"/>
  </r>
  <r>
    <x v="2"/>
    <x v="0"/>
    <x v="0"/>
    <n v="1449"/>
    <x v="1"/>
    <n v="16"/>
    <x v="2"/>
    <n v="4"/>
    <s v="Medical"/>
    <n v="394"/>
    <n v="1"/>
    <x v="1"/>
    <n v="45"/>
    <n v="3"/>
    <n v="1"/>
    <x v="2"/>
    <x v="1"/>
    <x v="2"/>
    <x v="281"/>
    <n v="14180"/>
    <n v="2"/>
    <x v="0"/>
    <n v="13"/>
    <n v="3"/>
    <n v="4"/>
    <x v="1"/>
    <n v="5"/>
    <x v="1"/>
    <n v="2"/>
    <n v="3"/>
    <x v="2"/>
    <n v="2"/>
    <n v="0"/>
    <n v="2"/>
  </r>
  <r>
    <x v="2"/>
    <x v="1"/>
    <x v="0"/>
    <n v="1117"/>
    <x v="1"/>
    <n v="8"/>
    <x v="1"/>
    <n v="2"/>
    <s v="Life Sciences"/>
    <n v="395"/>
    <n v="4"/>
    <x v="0"/>
    <n v="66"/>
    <n v="3"/>
    <n v="1"/>
    <x v="1"/>
    <x v="0"/>
    <x v="0"/>
    <x v="282"/>
    <n v="4488"/>
    <n v="1"/>
    <x v="1"/>
    <n v="21"/>
    <n v="4"/>
    <n v="4"/>
    <x v="0"/>
    <n v="5"/>
    <x v="1"/>
    <n v="3"/>
    <n v="3"/>
    <x v="2"/>
    <n v="3"/>
    <n v="0"/>
    <n v="2"/>
  </r>
  <r>
    <x v="1"/>
    <x v="1"/>
    <x v="1"/>
    <n v="636"/>
    <x v="1"/>
    <n v="10"/>
    <x v="1"/>
    <n v="4"/>
    <s v="Life Sciences"/>
    <n v="396"/>
    <n v="3"/>
    <x v="0"/>
    <n v="35"/>
    <n v="3"/>
    <n v="5"/>
    <x v="7"/>
    <x v="3"/>
    <x v="0"/>
    <x v="283"/>
    <n v="25594"/>
    <n v="9"/>
    <x v="0"/>
    <n v="11"/>
    <n v="3"/>
    <n v="4"/>
    <x v="0"/>
    <n v="22"/>
    <x v="2"/>
    <n v="4"/>
    <n v="3"/>
    <x v="2"/>
    <n v="2"/>
    <n v="1"/>
    <n v="2"/>
  </r>
  <r>
    <x v="0"/>
    <x v="1"/>
    <x v="0"/>
    <n v="506"/>
    <x v="1"/>
    <n v="3"/>
    <x v="0"/>
    <n v="3"/>
    <s v="Technical Degree"/>
    <n v="397"/>
    <n v="3"/>
    <x v="1"/>
    <n v="30"/>
    <n v="3"/>
    <n v="2"/>
    <x v="1"/>
    <x v="1"/>
    <x v="0"/>
    <x v="284"/>
    <n v="26285"/>
    <n v="4"/>
    <x v="1"/>
    <n v="12"/>
    <n v="3"/>
    <n v="4"/>
    <x v="0"/>
    <n v="10"/>
    <x v="0"/>
    <n v="2"/>
    <n v="3"/>
    <x v="0"/>
    <n v="0"/>
    <n v="7"/>
    <n v="7"/>
  </r>
  <r>
    <x v="2"/>
    <x v="1"/>
    <x v="1"/>
    <n v="444"/>
    <x v="0"/>
    <n v="5"/>
    <x v="0"/>
    <n v="3"/>
    <s v="Marketing"/>
    <n v="399"/>
    <n v="4"/>
    <x v="0"/>
    <n v="84"/>
    <n v="3"/>
    <n v="1"/>
    <x v="6"/>
    <x v="1"/>
    <x v="2"/>
    <x v="285"/>
    <n v="3909"/>
    <n v="1"/>
    <x v="1"/>
    <n v="11"/>
    <n v="3"/>
    <n v="3"/>
    <x v="1"/>
    <n v="2"/>
    <x v="1"/>
    <n v="5"/>
    <n v="2"/>
    <x v="1"/>
    <n v="2"/>
    <n v="2"/>
    <n v="2"/>
  </r>
  <r>
    <x v="2"/>
    <x v="0"/>
    <x v="0"/>
    <n v="950"/>
    <x v="0"/>
    <n v="4"/>
    <x v="0"/>
    <n v="4"/>
    <s v="Marketing"/>
    <n v="401"/>
    <n v="4"/>
    <x v="1"/>
    <n v="48"/>
    <n v="2"/>
    <n v="2"/>
    <x v="0"/>
    <x v="0"/>
    <x v="0"/>
    <x v="286"/>
    <n v="8450"/>
    <n v="1"/>
    <x v="0"/>
    <n v="12"/>
    <n v="3"/>
    <n v="2"/>
    <x v="0"/>
    <n v="8"/>
    <x v="0"/>
    <n v="0"/>
    <n v="3"/>
    <x v="0"/>
    <n v="7"/>
    <n v="7"/>
    <n v="4"/>
  </r>
  <r>
    <x v="0"/>
    <x v="1"/>
    <x v="1"/>
    <n v="889"/>
    <x v="1"/>
    <n v="9"/>
    <x v="1"/>
    <n v="3"/>
    <s v="Medical"/>
    <n v="403"/>
    <n v="2"/>
    <x v="1"/>
    <n v="53"/>
    <n v="3"/>
    <n v="1"/>
    <x v="1"/>
    <x v="0"/>
    <x v="1"/>
    <x v="287"/>
    <n v="11411"/>
    <n v="1"/>
    <x v="0"/>
    <n v="12"/>
    <n v="3"/>
    <n v="3"/>
    <x v="2"/>
    <n v="4"/>
    <x v="1"/>
    <n v="3"/>
    <n v="2"/>
    <x v="2"/>
    <n v="2"/>
    <n v="1"/>
    <n v="2"/>
  </r>
  <r>
    <x v="0"/>
    <x v="1"/>
    <x v="1"/>
    <n v="555"/>
    <x v="0"/>
    <n v="26"/>
    <x v="2"/>
    <n v="3"/>
    <s v="Marketing"/>
    <n v="404"/>
    <n v="3"/>
    <x v="0"/>
    <n v="77"/>
    <n v="3"/>
    <n v="4"/>
    <x v="0"/>
    <x v="1"/>
    <x v="1"/>
    <x v="288"/>
    <n v="14864"/>
    <n v="5"/>
    <x v="1"/>
    <n v="14"/>
    <n v="3"/>
    <n v="4"/>
    <x v="1"/>
    <n v="23"/>
    <x v="2"/>
    <n v="2"/>
    <n v="4"/>
    <x v="3"/>
    <n v="4"/>
    <n v="4"/>
    <n v="8"/>
  </r>
  <r>
    <x v="3"/>
    <x v="0"/>
    <x v="0"/>
    <n v="230"/>
    <x v="1"/>
    <n v="3"/>
    <x v="0"/>
    <n v="3"/>
    <s v="Life Sciences"/>
    <n v="405"/>
    <n v="3"/>
    <x v="1"/>
    <n v="54"/>
    <n v="3"/>
    <n v="1"/>
    <x v="2"/>
    <x v="2"/>
    <x v="0"/>
    <x v="289"/>
    <n v="25233"/>
    <n v="1"/>
    <x v="1"/>
    <n v="13"/>
    <n v="3"/>
    <n v="3"/>
    <x v="0"/>
    <n v="0"/>
    <x v="1"/>
    <n v="2"/>
    <n v="3"/>
    <x v="1"/>
    <n v="0"/>
    <n v="0"/>
    <n v="0"/>
  </r>
  <r>
    <x v="2"/>
    <x v="1"/>
    <x v="0"/>
    <n v="1232"/>
    <x v="0"/>
    <n v="16"/>
    <x v="2"/>
    <n v="3"/>
    <s v="Marketing"/>
    <n v="406"/>
    <n v="3"/>
    <x v="1"/>
    <n v="96"/>
    <n v="3"/>
    <n v="3"/>
    <x v="0"/>
    <x v="1"/>
    <x v="1"/>
    <x v="290"/>
    <n v="5100"/>
    <n v="0"/>
    <x v="1"/>
    <n v="15"/>
    <n v="3"/>
    <n v="3"/>
    <x v="3"/>
    <n v="12"/>
    <x v="0"/>
    <n v="3"/>
    <n v="2"/>
    <x v="3"/>
    <n v="9"/>
    <n v="6"/>
    <n v="9"/>
  </r>
  <r>
    <x v="0"/>
    <x v="1"/>
    <x v="1"/>
    <n v="566"/>
    <x v="1"/>
    <n v="18"/>
    <x v="2"/>
    <n v="4"/>
    <s v="Life Sciences"/>
    <n v="407"/>
    <n v="3"/>
    <x v="1"/>
    <n v="81"/>
    <n v="4"/>
    <n v="1"/>
    <x v="2"/>
    <x v="0"/>
    <x v="1"/>
    <x v="291"/>
    <n v="7122"/>
    <n v="4"/>
    <x v="1"/>
    <n v="18"/>
    <n v="3"/>
    <n v="4"/>
    <x v="3"/>
    <n v="4"/>
    <x v="1"/>
    <n v="2"/>
    <n v="3"/>
    <x v="1"/>
    <n v="0"/>
    <n v="0"/>
    <n v="0"/>
  </r>
  <r>
    <x v="1"/>
    <x v="1"/>
    <x v="0"/>
    <n v="1302"/>
    <x v="1"/>
    <n v="2"/>
    <x v="0"/>
    <n v="3"/>
    <s v="Medical"/>
    <n v="408"/>
    <n v="4"/>
    <x v="1"/>
    <n v="84"/>
    <n v="1"/>
    <n v="2"/>
    <x v="3"/>
    <x v="1"/>
    <x v="2"/>
    <x v="292"/>
    <n v="16321"/>
    <n v="5"/>
    <x v="1"/>
    <n v="18"/>
    <n v="3"/>
    <n v="4"/>
    <x v="1"/>
    <n v="13"/>
    <x v="0"/>
    <n v="3"/>
    <n v="3"/>
    <x v="2"/>
    <n v="1"/>
    <n v="1"/>
    <n v="2"/>
  </r>
  <r>
    <x v="0"/>
    <x v="1"/>
    <x v="0"/>
    <n v="334"/>
    <x v="0"/>
    <n v="2"/>
    <x v="0"/>
    <n v="4"/>
    <s v="Life Sciences"/>
    <n v="410"/>
    <n v="4"/>
    <x v="1"/>
    <n v="88"/>
    <n v="3"/>
    <n v="4"/>
    <x v="5"/>
    <x v="1"/>
    <x v="0"/>
    <x v="293"/>
    <n v="15896"/>
    <n v="1"/>
    <x v="1"/>
    <n v="19"/>
    <n v="3"/>
    <n v="2"/>
    <x v="0"/>
    <n v="22"/>
    <x v="2"/>
    <n v="2"/>
    <n v="3"/>
    <x v="3"/>
    <n v="10"/>
    <n v="0"/>
    <n v="4"/>
  </r>
  <r>
    <x v="3"/>
    <x v="1"/>
    <x v="0"/>
    <n v="812"/>
    <x v="0"/>
    <n v="10"/>
    <x v="1"/>
    <n v="3"/>
    <s v="Medical"/>
    <n v="411"/>
    <n v="4"/>
    <x v="0"/>
    <n v="69"/>
    <n v="2"/>
    <n v="1"/>
    <x v="6"/>
    <x v="2"/>
    <x v="0"/>
    <x v="294"/>
    <n v="9724"/>
    <n v="1"/>
    <x v="1"/>
    <n v="12"/>
    <n v="3"/>
    <n v="1"/>
    <x v="0"/>
    <n v="0"/>
    <x v="1"/>
    <n v="2"/>
    <n v="3"/>
    <x v="1"/>
    <n v="0"/>
    <n v="0"/>
    <n v="0"/>
  </r>
  <r>
    <x v="2"/>
    <x v="1"/>
    <x v="0"/>
    <n v="1476"/>
    <x v="1"/>
    <n v="16"/>
    <x v="2"/>
    <n v="2"/>
    <s v="Medical"/>
    <n v="412"/>
    <n v="2"/>
    <x v="1"/>
    <n v="68"/>
    <n v="4"/>
    <n v="2"/>
    <x v="4"/>
    <x v="3"/>
    <x v="0"/>
    <x v="295"/>
    <n v="4824"/>
    <n v="0"/>
    <x v="1"/>
    <n v="19"/>
    <n v="3"/>
    <n v="3"/>
    <x v="0"/>
    <n v="9"/>
    <x v="0"/>
    <n v="2"/>
    <n v="3"/>
    <x v="0"/>
    <n v="3"/>
    <n v="0"/>
    <n v="7"/>
  </r>
  <r>
    <x v="2"/>
    <x v="1"/>
    <x v="0"/>
    <n v="218"/>
    <x v="0"/>
    <n v="7"/>
    <x v="1"/>
    <n v="3"/>
    <s v="Technical Degree"/>
    <n v="416"/>
    <n v="2"/>
    <x v="1"/>
    <n v="100"/>
    <n v="4"/>
    <n v="2"/>
    <x v="0"/>
    <x v="0"/>
    <x v="1"/>
    <x v="296"/>
    <n v="12241"/>
    <n v="4"/>
    <x v="1"/>
    <n v="11"/>
    <n v="3"/>
    <n v="2"/>
    <x v="1"/>
    <n v="10"/>
    <x v="0"/>
    <n v="3"/>
    <n v="2"/>
    <x v="0"/>
    <n v="7"/>
    <n v="7"/>
    <n v="7"/>
  </r>
  <r>
    <x v="0"/>
    <x v="1"/>
    <x v="0"/>
    <n v="1132"/>
    <x v="1"/>
    <n v="1"/>
    <x v="0"/>
    <n v="3"/>
    <s v="Medical"/>
    <n v="417"/>
    <n v="3"/>
    <x v="1"/>
    <n v="48"/>
    <n v="4"/>
    <n v="3"/>
    <x v="4"/>
    <x v="0"/>
    <x v="2"/>
    <x v="297"/>
    <n v="10942"/>
    <n v="0"/>
    <x v="1"/>
    <n v="17"/>
    <n v="3"/>
    <n v="1"/>
    <x v="2"/>
    <n v="19"/>
    <x v="2"/>
    <n v="5"/>
    <n v="2"/>
    <x v="3"/>
    <n v="10"/>
    <n v="3"/>
    <n v="7"/>
  </r>
  <r>
    <x v="0"/>
    <x v="1"/>
    <x v="2"/>
    <n v="1105"/>
    <x v="1"/>
    <n v="24"/>
    <x v="2"/>
    <n v="4"/>
    <s v="Life Sciences"/>
    <n v="419"/>
    <n v="2"/>
    <x v="0"/>
    <n v="47"/>
    <n v="3"/>
    <n v="2"/>
    <x v="2"/>
    <x v="1"/>
    <x v="1"/>
    <x v="298"/>
    <n v="6927"/>
    <n v="7"/>
    <x v="1"/>
    <n v="15"/>
    <n v="3"/>
    <n v="3"/>
    <x v="1"/>
    <n v="11"/>
    <x v="0"/>
    <n v="3"/>
    <n v="3"/>
    <x v="0"/>
    <n v="8"/>
    <n v="0"/>
    <n v="8"/>
  </r>
  <r>
    <x v="2"/>
    <x v="1"/>
    <x v="0"/>
    <n v="906"/>
    <x v="0"/>
    <n v="7"/>
    <x v="1"/>
    <n v="3"/>
    <s v="Life Sciences"/>
    <n v="420"/>
    <n v="4"/>
    <x v="1"/>
    <n v="91"/>
    <n v="2"/>
    <n v="2"/>
    <x v="0"/>
    <x v="2"/>
    <x v="1"/>
    <x v="299"/>
    <n v="16985"/>
    <n v="1"/>
    <x v="1"/>
    <n v="14"/>
    <n v="3"/>
    <n v="3"/>
    <x v="1"/>
    <n v="13"/>
    <x v="0"/>
    <n v="3"/>
    <n v="2"/>
    <x v="3"/>
    <n v="8"/>
    <n v="4"/>
    <n v="8"/>
  </r>
  <r>
    <x v="0"/>
    <x v="1"/>
    <x v="0"/>
    <n v="849"/>
    <x v="1"/>
    <n v="25"/>
    <x v="2"/>
    <n v="2"/>
    <s v="Life Sciences"/>
    <n v="421"/>
    <n v="1"/>
    <x v="0"/>
    <n v="81"/>
    <n v="2"/>
    <n v="3"/>
    <x v="7"/>
    <x v="1"/>
    <x v="1"/>
    <x v="300"/>
    <n v="26707"/>
    <n v="3"/>
    <x v="1"/>
    <n v="17"/>
    <n v="3"/>
    <n v="3"/>
    <x v="1"/>
    <n v="19"/>
    <x v="2"/>
    <n v="2"/>
    <n v="3"/>
    <x v="0"/>
    <n v="8"/>
    <n v="0"/>
    <n v="1"/>
  </r>
  <r>
    <x v="1"/>
    <x v="1"/>
    <x v="2"/>
    <n v="390"/>
    <x v="1"/>
    <n v="1"/>
    <x v="0"/>
    <n v="4"/>
    <s v="Life Sciences"/>
    <n v="422"/>
    <n v="4"/>
    <x v="1"/>
    <n v="32"/>
    <n v="1"/>
    <n v="2"/>
    <x v="4"/>
    <x v="2"/>
    <x v="2"/>
    <x v="301"/>
    <n v="17056"/>
    <n v="2"/>
    <x v="0"/>
    <n v="13"/>
    <n v="3"/>
    <n v="4"/>
    <x v="1"/>
    <n v="12"/>
    <x v="0"/>
    <n v="2"/>
    <n v="3"/>
    <x v="2"/>
    <n v="3"/>
    <n v="1"/>
    <n v="2"/>
  </r>
  <r>
    <x v="2"/>
    <x v="1"/>
    <x v="0"/>
    <n v="691"/>
    <x v="1"/>
    <n v="5"/>
    <x v="0"/>
    <n v="4"/>
    <s v="Technical Degree"/>
    <n v="423"/>
    <n v="3"/>
    <x v="1"/>
    <n v="86"/>
    <n v="3"/>
    <n v="1"/>
    <x v="1"/>
    <x v="0"/>
    <x v="1"/>
    <x v="302"/>
    <n v="10077"/>
    <n v="0"/>
    <x v="0"/>
    <n v="12"/>
    <n v="3"/>
    <n v="3"/>
    <x v="1"/>
    <n v="6"/>
    <x v="0"/>
    <n v="4"/>
    <n v="3"/>
    <x v="2"/>
    <n v="2"/>
    <n v="0"/>
    <n v="3"/>
  </r>
  <r>
    <x v="2"/>
    <x v="1"/>
    <x v="0"/>
    <n v="106"/>
    <x v="2"/>
    <n v="2"/>
    <x v="0"/>
    <n v="3"/>
    <s v="Human Resources"/>
    <n v="424"/>
    <n v="1"/>
    <x v="1"/>
    <n v="62"/>
    <n v="2"/>
    <n v="2"/>
    <x v="8"/>
    <x v="3"/>
    <x v="1"/>
    <x v="303"/>
    <n v="17822"/>
    <n v="3"/>
    <x v="1"/>
    <n v="12"/>
    <n v="3"/>
    <n v="4"/>
    <x v="0"/>
    <n v="9"/>
    <x v="0"/>
    <n v="1"/>
    <n v="3"/>
    <x v="1"/>
    <n v="2"/>
    <n v="1"/>
    <n v="0"/>
  </r>
  <r>
    <x v="0"/>
    <x v="1"/>
    <x v="1"/>
    <n v="1249"/>
    <x v="1"/>
    <n v="7"/>
    <x v="1"/>
    <n v="3"/>
    <s v="Life Sciences"/>
    <n v="425"/>
    <n v="1"/>
    <x v="1"/>
    <n v="97"/>
    <n v="3"/>
    <n v="3"/>
    <x v="2"/>
    <x v="3"/>
    <x v="2"/>
    <x v="304"/>
    <n v="20308"/>
    <n v="1"/>
    <x v="1"/>
    <n v="18"/>
    <n v="3"/>
    <n v="1"/>
    <x v="1"/>
    <n v="24"/>
    <x v="2"/>
    <n v="2"/>
    <n v="3"/>
    <x v="3"/>
    <n v="9"/>
    <n v="9"/>
    <n v="11"/>
  </r>
  <r>
    <x v="2"/>
    <x v="1"/>
    <x v="0"/>
    <n v="192"/>
    <x v="1"/>
    <n v="2"/>
    <x v="0"/>
    <n v="4"/>
    <s v="Life Sciences"/>
    <n v="426"/>
    <n v="3"/>
    <x v="1"/>
    <n v="32"/>
    <n v="3"/>
    <n v="1"/>
    <x v="1"/>
    <x v="0"/>
    <x v="2"/>
    <x v="305"/>
    <n v="7747"/>
    <n v="0"/>
    <x v="0"/>
    <n v="18"/>
    <n v="3"/>
    <n v="2"/>
    <x v="1"/>
    <n v="3"/>
    <x v="1"/>
    <n v="2"/>
    <n v="1"/>
    <x v="1"/>
    <n v="2"/>
    <n v="2"/>
    <n v="2"/>
  </r>
  <r>
    <x v="2"/>
    <x v="1"/>
    <x v="1"/>
    <n v="553"/>
    <x v="1"/>
    <n v="5"/>
    <x v="0"/>
    <n v="4"/>
    <s v="Life Sciences"/>
    <n v="428"/>
    <n v="4"/>
    <x v="0"/>
    <n v="74"/>
    <n v="3"/>
    <n v="3"/>
    <x v="5"/>
    <x v="1"/>
    <x v="1"/>
    <x v="306"/>
    <n v="23364"/>
    <n v="6"/>
    <x v="1"/>
    <n v="11"/>
    <n v="3"/>
    <n v="2"/>
    <x v="3"/>
    <n v="12"/>
    <x v="0"/>
    <n v="2"/>
    <n v="3"/>
    <x v="0"/>
    <n v="6"/>
    <n v="8"/>
    <n v="8"/>
  </r>
  <r>
    <x v="0"/>
    <x v="1"/>
    <x v="0"/>
    <n v="117"/>
    <x v="1"/>
    <n v="10"/>
    <x v="1"/>
    <n v="1"/>
    <s v="Medical"/>
    <n v="429"/>
    <n v="3"/>
    <x v="1"/>
    <n v="99"/>
    <n v="3"/>
    <n v="4"/>
    <x v="5"/>
    <x v="3"/>
    <x v="1"/>
    <x v="307"/>
    <n v="5355"/>
    <n v="1"/>
    <x v="0"/>
    <n v="14"/>
    <n v="3"/>
    <n v="4"/>
    <x v="0"/>
    <n v="21"/>
    <x v="2"/>
    <n v="3"/>
    <n v="3"/>
    <x v="3"/>
    <n v="9"/>
    <n v="11"/>
    <n v="10"/>
  </r>
  <r>
    <x v="0"/>
    <x v="1"/>
    <x v="1"/>
    <n v="185"/>
    <x v="1"/>
    <n v="10"/>
    <x v="1"/>
    <n v="4"/>
    <s v="Life Sciences"/>
    <n v="430"/>
    <n v="3"/>
    <x v="0"/>
    <n v="33"/>
    <n v="3"/>
    <n v="1"/>
    <x v="2"/>
    <x v="0"/>
    <x v="0"/>
    <x v="308"/>
    <n v="10675"/>
    <n v="0"/>
    <x v="1"/>
    <n v="19"/>
    <n v="3"/>
    <n v="1"/>
    <x v="0"/>
    <n v="9"/>
    <x v="0"/>
    <n v="5"/>
    <n v="3"/>
    <x v="0"/>
    <n v="7"/>
    <n v="1"/>
    <n v="7"/>
  </r>
  <r>
    <x v="1"/>
    <x v="1"/>
    <x v="0"/>
    <n v="1091"/>
    <x v="1"/>
    <n v="1"/>
    <x v="0"/>
    <n v="2"/>
    <s v="Technical Degree"/>
    <n v="431"/>
    <n v="3"/>
    <x v="0"/>
    <n v="90"/>
    <n v="2"/>
    <n v="4"/>
    <x v="4"/>
    <x v="2"/>
    <x v="0"/>
    <x v="309"/>
    <n v="17810"/>
    <n v="7"/>
    <x v="0"/>
    <n v="12"/>
    <n v="3"/>
    <n v="4"/>
    <x v="0"/>
    <n v="25"/>
    <x v="2"/>
    <n v="2"/>
    <n v="3"/>
    <x v="0"/>
    <n v="1"/>
    <n v="0"/>
    <n v="7"/>
  </r>
  <r>
    <x v="1"/>
    <x v="0"/>
    <x v="0"/>
    <n v="723"/>
    <x v="1"/>
    <n v="8"/>
    <x v="1"/>
    <n v="4"/>
    <s v="Medical"/>
    <n v="433"/>
    <n v="3"/>
    <x v="1"/>
    <n v="85"/>
    <n v="2"/>
    <n v="2"/>
    <x v="1"/>
    <x v="1"/>
    <x v="1"/>
    <x v="132"/>
    <n v="17747"/>
    <n v="2"/>
    <x v="1"/>
    <n v="15"/>
    <n v="3"/>
    <n v="1"/>
    <x v="0"/>
    <n v="11"/>
    <x v="0"/>
    <n v="3"/>
    <n v="2"/>
    <x v="0"/>
    <n v="2"/>
    <n v="7"/>
    <n v="7"/>
  </r>
  <r>
    <x v="2"/>
    <x v="1"/>
    <x v="0"/>
    <n v="1220"/>
    <x v="1"/>
    <n v="5"/>
    <x v="0"/>
    <n v="3"/>
    <s v="Life Sciences"/>
    <n v="434"/>
    <n v="3"/>
    <x v="0"/>
    <n v="85"/>
    <n v="3"/>
    <n v="1"/>
    <x v="1"/>
    <x v="1"/>
    <x v="0"/>
    <x v="310"/>
    <n v="20938"/>
    <n v="1"/>
    <x v="0"/>
    <n v="12"/>
    <n v="3"/>
    <n v="2"/>
    <x v="0"/>
    <n v="4"/>
    <x v="1"/>
    <n v="2"/>
    <n v="2"/>
    <x v="2"/>
    <n v="3"/>
    <n v="1"/>
    <n v="2"/>
  </r>
  <r>
    <x v="2"/>
    <x v="1"/>
    <x v="0"/>
    <n v="588"/>
    <x v="0"/>
    <n v="8"/>
    <x v="1"/>
    <n v="2"/>
    <s v="Technical Degree"/>
    <n v="436"/>
    <n v="3"/>
    <x v="0"/>
    <n v="65"/>
    <n v="2"/>
    <n v="2"/>
    <x v="0"/>
    <x v="1"/>
    <x v="1"/>
    <x v="311"/>
    <n v="24624"/>
    <n v="1"/>
    <x v="0"/>
    <n v="11"/>
    <n v="3"/>
    <n v="4"/>
    <x v="0"/>
    <n v="13"/>
    <x v="0"/>
    <n v="2"/>
    <n v="3"/>
    <x v="3"/>
    <n v="12"/>
    <n v="11"/>
    <n v="9"/>
  </r>
  <r>
    <x v="2"/>
    <x v="1"/>
    <x v="0"/>
    <n v="1377"/>
    <x v="0"/>
    <n v="2"/>
    <x v="0"/>
    <n v="3"/>
    <s v="Life Sciences"/>
    <n v="437"/>
    <n v="4"/>
    <x v="1"/>
    <n v="74"/>
    <n v="3"/>
    <n v="2"/>
    <x v="0"/>
    <x v="2"/>
    <x v="0"/>
    <x v="312"/>
    <n v="5242"/>
    <n v="1"/>
    <x v="0"/>
    <n v="11"/>
    <n v="3"/>
    <n v="1"/>
    <x v="0"/>
    <n v="5"/>
    <x v="1"/>
    <n v="3"/>
    <n v="3"/>
    <x v="2"/>
    <n v="4"/>
    <n v="0"/>
    <n v="4"/>
  </r>
  <r>
    <x v="2"/>
    <x v="1"/>
    <x v="0"/>
    <n v="691"/>
    <x v="0"/>
    <n v="7"/>
    <x v="1"/>
    <n v="3"/>
    <s v="Marketing"/>
    <n v="438"/>
    <n v="4"/>
    <x v="1"/>
    <n v="73"/>
    <n v="3"/>
    <n v="2"/>
    <x v="0"/>
    <x v="0"/>
    <x v="2"/>
    <x v="313"/>
    <n v="7143"/>
    <n v="4"/>
    <x v="1"/>
    <n v="12"/>
    <n v="3"/>
    <n v="4"/>
    <x v="2"/>
    <n v="13"/>
    <x v="0"/>
    <n v="3"/>
    <n v="3"/>
    <x v="0"/>
    <n v="7"/>
    <n v="1"/>
    <n v="7"/>
  </r>
  <r>
    <x v="2"/>
    <x v="1"/>
    <x v="0"/>
    <n v="1018"/>
    <x v="1"/>
    <n v="2"/>
    <x v="0"/>
    <n v="4"/>
    <s v="Medical"/>
    <n v="439"/>
    <n v="1"/>
    <x v="0"/>
    <n v="74"/>
    <n v="4"/>
    <n v="2"/>
    <x v="1"/>
    <x v="0"/>
    <x v="0"/>
    <x v="314"/>
    <n v="10557"/>
    <n v="7"/>
    <x v="1"/>
    <n v="16"/>
    <n v="3"/>
    <n v="3"/>
    <x v="0"/>
    <n v="10"/>
    <x v="0"/>
    <n v="0"/>
    <n v="2"/>
    <x v="0"/>
    <n v="7"/>
    <n v="0"/>
    <n v="7"/>
  </r>
  <r>
    <x v="2"/>
    <x v="0"/>
    <x v="0"/>
    <n v="1157"/>
    <x v="1"/>
    <n v="2"/>
    <x v="0"/>
    <n v="4"/>
    <s v="Medical"/>
    <n v="440"/>
    <n v="1"/>
    <x v="1"/>
    <n v="84"/>
    <n v="1"/>
    <n v="1"/>
    <x v="1"/>
    <x v="0"/>
    <x v="1"/>
    <x v="315"/>
    <n v="24737"/>
    <n v="5"/>
    <x v="0"/>
    <n v="13"/>
    <n v="3"/>
    <n v="4"/>
    <x v="0"/>
    <n v="5"/>
    <x v="1"/>
    <n v="4"/>
    <n v="2"/>
    <x v="2"/>
    <n v="2"/>
    <n v="2"/>
    <n v="2"/>
  </r>
  <r>
    <x v="2"/>
    <x v="1"/>
    <x v="0"/>
    <n v="1275"/>
    <x v="1"/>
    <n v="28"/>
    <x v="2"/>
    <n v="2"/>
    <s v="Medical"/>
    <n v="441"/>
    <n v="4"/>
    <x v="0"/>
    <n v="64"/>
    <n v="3"/>
    <n v="2"/>
    <x v="1"/>
    <x v="0"/>
    <x v="1"/>
    <x v="316"/>
    <n v="11934"/>
    <n v="1"/>
    <x v="1"/>
    <n v="13"/>
    <n v="3"/>
    <n v="4"/>
    <x v="3"/>
    <n v="11"/>
    <x v="0"/>
    <n v="2"/>
    <n v="3"/>
    <x v="0"/>
    <n v="8"/>
    <n v="1"/>
    <n v="9"/>
  </r>
  <r>
    <x v="2"/>
    <x v="1"/>
    <x v="1"/>
    <n v="798"/>
    <x v="1"/>
    <n v="7"/>
    <x v="1"/>
    <n v="2"/>
    <s v="Life Sciences"/>
    <n v="442"/>
    <n v="3"/>
    <x v="0"/>
    <n v="48"/>
    <n v="2"/>
    <n v="3"/>
    <x v="3"/>
    <x v="2"/>
    <x v="1"/>
    <x v="317"/>
    <n v="14034"/>
    <n v="1"/>
    <x v="1"/>
    <n v="24"/>
    <n v="4"/>
    <n v="1"/>
    <x v="1"/>
    <n v="10"/>
    <x v="0"/>
    <n v="2"/>
    <n v="3"/>
    <x v="0"/>
    <n v="9"/>
    <n v="8"/>
    <n v="9"/>
  </r>
  <r>
    <x v="0"/>
    <x v="1"/>
    <x v="1"/>
    <n v="672"/>
    <x v="1"/>
    <n v="7"/>
    <x v="1"/>
    <n v="2"/>
    <s v="Medical"/>
    <n v="444"/>
    <n v="3"/>
    <x v="1"/>
    <n v="54"/>
    <n v="2"/>
    <n v="5"/>
    <x v="5"/>
    <x v="0"/>
    <x v="1"/>
    <x v="318"/>
    <n v="21141"/>
    <n v="1"/>
    <x v="1"/>
    <n v="15"/>
    <n v="3"/>
    <n v="1"/>
    <x v="1"/>
    <n v="21"/>
    <x v="2"/>
    <n v="2"/>
    <n v="3"/>
    <x v="3"/>
    <n v="9"/>
    <n v="13"/>
    <n v="3"/>
  </r>
  <r>
    <x v="0"/>
    <x v="0"/>
    <x v="0"/>
    <n v="1162"/>
    <x v="0"/>
    <n v="3"/>
    <x v="0"/>
    <n v="2"/>
    <s v="Medical"/>
    <n v="445"/>
    <n v="4"/>
    <x v="0"/>
    <n v="41"/>
    <n v="3"/>
    <n v="2"/>
    <x v="0"/>
    <x v="2"/>
    <x v="1"/>
    <x v="319"/>
    <n v="17778"/>
    <n v="4"/>
    <x v="0"/>
    <n v="18"/>
    <n v="3"/>
    <n v="1"/>
    <x v="0"/>
    <n v="12"/>
    <x v="0"/>
    <n v="3"/>
    <n v="2"/>
    <x v="1"/>
    <n v="0"/>
    <n v="0"/>
    <n v="0"/>
  </r>
  <r>
    <x v="2"/>
    <x v="1"/>
    <x v="1"/>
    <n v="508"/>
    <x v="0"/>
    <n v="10"/>
    <x v="1"/>
    <n v="3"/>
    <s v="Marketing"/>
    <n v="446"/>
    <n v="2"/>
    <x v="1"/>
    <n v="46"/>
    <n v="2"/>
    <n v="2"/>
    <x v="0"/>
    <x v="0"/>
    <x v="0"/>
    <x v="320"/>
    <n v="4317"/>
    <n v="3"/>
    <x v="1"/>
    <n v="14"/>
    <n v="3"/>
    <n v="3"/>
    <x v="0"/>
    <n v="9"/>
    <x v="0"/>
    <n v="6"/>
    <n v="2"/>
    <x v="0"/>
    <n v="7"/>
    <n v="0"/>
    <n v="1"/>
  </r>
  <r>
    <x v="1"/>
    <x v="1"/>
    <x v="0"/>
    <n v="1482"/>
    <x v="1"/>
    <n v="5"/>
    <x v="0"/>
    <n v="5"/>
    <s v="Life Sciences"/>
    <n v="447"/>
    <n v="4"/>
    <x v="1"/>
    <n v="42"/>
    <n v="3"/>
    <n v="5"/>
    <x v="7"/>
    <x v="2"/>
    <x v="1"/>
    <x v="321"/>
    <n v="16375"/>
    <n v="4"/>
    <x v="1"/>
    <n v="11"/>
    <n v="3"/>
    <n v="2"/>
    <x v="1"/>
    <n v="21"/>
    <x v="2"/>
    <n v="2"/>
    <n v="3"/>
    <x v="2"/>
    <n v="2"/>
    <n v="1"/>
    <n v="1"/>
  </r>
  <r>
    <x v="0"/>
    <x v="1"/>
    <x v="1"/>
    <n v="559"/>
    <x v="1"/>
    <n v="10"/>
    <x v="1"/>
    <n v="4"/>
    <s v="Life Sciences"/>
    <n v="448"/>
    <n v="3"/>
    <x v="0"/>
    <n v="82"/>
    <n v="2"/>
    <n v="2"/>
    <x v="2"/>
    <x v="2"/>
    <x v="2"/>
    <x v="322"/>
    <n v="6227"/>
    <n v="1"/>
    <x v="1"/>
    <n v="11"/>
    <n v="3"/>
    <n v="2"/>
    <x v="1"/>
    <n v="9"/>
    <x v="0"/>
    <n v="3"/>
    <n v="4"/>
    <x v="0"/>
    <n v="7"/>
    <n v="0"/>
    <n v="0"/>
  </r>
  <r>
    <x v="2"/>
    <x v="1"/>
    <x v="2"/>
    <n v="210"/>
    <x v="0"/>
    <n v="1"/>
    <x v="0"/>
    <n v="1"/>
    <s v="Marketing"/>
    <n v="449"/>
    <n v="3"/>
    <x v="1"/>
    <n v="73"/>
    <n v="3"/>
    <n v="2"/>
    <x v="0"/>
    <x v="1"/>
    <x v="1"/>
    <x v="323"/>
    <n v="22107"/>
    <n v="0"/>
    <x v="0"/>
    <n v="13"/>
    <n v="3"/>
    <n v="4"/>
    <x v="1"/>
    <n v="6"/>
    <x v="0"/>
    <n v="0"/>
    <n v="3"/>
    <x v="2"/>
    <n v="4"/>
    <n v="1"/>
    <n v="4"/>
  </r>
  <r>
    <x v="1"/>
    <x v="1"/>
    <x v="1"/>
    <n v="928"/>
    <x v="1"/>
    <n v="20"/>
    <x v="2"/>
    <n v="4"/>
    <s v="Life Sciences"/>
    <n v="450"/>
    <n v="4"/>
    <x v="0"/>
    <n v="31"/>
    <n v="3"/>
    <n v="2"/>
    <x v="1"/>
    <x v="2"/>
    <x v="0"/>
    <x v="324"/>
    <n v="16885"/>
    <n v="3"/>
    <x v="1"/>
    <n v="12"/>
    <n v="3"/>
    <n v="4"/>
    <x v="0"/>
    <n v="20"/>
    <x v="2"/>
    <n v="4"/>
    <n v="2"/>
    <x v="2"/>
    <n v="3"/>
    <n v="0"/>
    <n v="3"/>
  </r>
  <r>
    <x v="0"/>
    <x v="1"/>
    <x v="0"/>
    <n v="1001"/>
    <x v="1"/>
    <n v="7"/>
    <x v="1"/>
    <n v="3"/>
    <s v="Life Sciences"/>
    <n v="451"/>
    <n v="3"/>
    <x v="0"/>
    <n v="43"/>
    <n v="3"/>
    <n v="3"/>
    <x v="4"/>
    <x v="3"/>
    <x v="1"/>
    <x v="325"/>
    <n v="9262"/>
    <n v="8"/>
    <x v="1"/>
    <n v="16"/>
    <n v="3"/>
    <n v="1"/>
    <x v="1"/>
    <n v="10"/>
    <x v="0"/>
    <n v="1"/>
    <n v="2"/>
    <x v="1"/>
    <n v="0"/>
    <n v="0"/>
    <n v="0"/>
  </r>
  <r>
    <x v="0"/>
    <x v="1"/>
    <x v="0"/>
    <n v="549"/>
    <x v="1"/>
    <n v="8"/>
    <x v="1"/>
    <n v="4"/>
    <s v="Other"/>
    <n v="452"/>
    <n v="4"/>
    <x v="1"/>
    <n v="75"/>
    <n v="3"/>
    <n v="2"/>
    <x v="1"/>
    <x v="0"/>
    <x v="1"/>
    <x v="326"/>
    <n v="9278"/>
    <n v="9"/>
    <x v="1"/>
    <n v="14"/>
    <n v="3"/>
    <n v="1"/>
    <x v="3"/>
    <n v="12"/>
    <x v="0"/>
    <n v="3"/>
    <n v="3"/>
    <x v="0"/>
    <n v="9"/>
    <n v="9"/>
    <n v="8"/>
  </r>
  <r>
    <x v="0"/>
    <x v="1"/>
    <x v="0"/>
    <n v="1124"/>
    <x v="0"/>
    <n v="1"/>
    <x v="0"/>
    <n v="2"/>
    <s v="Medical"/>
    <n v="453"/>
    <n v="2"/>
    <x v="1"/>
    <n v="57"/>
    <n v="1"/>
    <n v="2"/>
    <x v="0"/>
    <x v="0"/>
    <x v="1"/>
    <x v="327"/>
    <n v="13273"/>
    <n v="2"/>
    <x v="0"/>
    <n v="22"/>
    <n v="4"/>
    <n v="3"/>
    <x v="2"/>
    <n v="6"/>
    <x v="0"/>
    <n v="2"/>
    <n v="2"/>
    <x v="2"/>
    <n v="3"/>
    <n v="0"/>
    <n v="2"/>
  </r>
  <r>
    <x v="2"/>
    <x v="0"/>
    <x v="0"/>
    <n v="318"/>
    <x v="1"/>
    <n v="8"/>
    <x v="1"/>
    <n v="4"/>
    <s v="Other"/>
    <n v="454"/>
    <n v="2"/>
    <x v="1"/>
    <n v="77"/>
    <n v="1"/>
    <n v="1"/>
    <x v="2"/>
    <x v="3"/>
    <x v="1"/>
    <x v="328"/>
    <n v="4759"/>
    <n v="1"/>
    <x v="0"/>
    <n v="11"/>
    <n v="3"/>
    <n v="4"/>
    <x v="0"/>
    <n v="7"/>
    <x v="0"/>
    <n v="4"/>
    <n v="2"/>
    <x v="0"/>
    <n v="7"/>
    <n v="0"/>
    <n v="7"/>
  </r>
  <r>
    <x v="2"/>
    <x v="1"/>
    <x v="0"/>
    <n v="738"/>
    <x v="1"/>
    <n v="9"/>
    <x v="1"/>
    <n v="5"/>
    <s v="Other"/>
    <n v="455"/>
    <n v="2"/>
    <x v="1"/>
    <n v="30"/>
    <n v="2"/>
    <n v="1"/>
    <x v="2"/>
    <x v="0"/>
    <x v="0"/>
    <x v="329"/>
    <n v="7621"/>
    <n v="0"/>
    <x v="1"/>
    <n v="17"/>
    <n v="3"/>
    <n v="3"/>
    <x v="0"/>
    <n v="4"/>
    <x v="1"/>
    <n v="2"/>
    <n v="3"/>
    <x v="2"/>
    <n v="2"/>
    <n v="2"/>
    <n v="2"/>
  </r>
  <r>
    <x v="2"/>
    <x v="1"/>
    <x v="0"/>
    <n v="570"/>
    <x v="0"/>
    <n v="5"/>
    <x v="0"/>
    <n v="3"/>
    <s v="Marketing"/>
    <n v="456"/>
    <n v="4"/>
    <x v="0"/>
    <n v="30"/>
    <n v="2"/>
    <n v="2"/>
    <x v="0"/>
    <x v="2"/>
    <x v="2"/>
    <x v="330"/>
    <n v="5431"/>
    <n v="1"/>
    <x v="1"/>
    <n v="13"/>
    <n v="3"/>
    <n v="3"/>
    <x v="2"/>
    <n v="10"/>
    <x v="0"/>
    <n v="2"/>
    <n v="3"/>
    <x v="0"/>
    <n v="9"/>
    <n v="1"/>
    <n v="2"/>
  </r>
  <r>
    <x v="2"/>
    <x v="1"/>
    <x v="0"/>
    <n v="1130"/>
    <x v="0"/>
    <n v="8"/>
    <x v="1"/>
    <n v="4"/>
    <s v="Marketing"/>
    <n v="458"/>
    <n v="2"/>
    <x v="0"/>
    <n v="56"/>
    <n v="3"/>
    <n v="2"/>
    <x v="0"/>
    <x v="1"/>
    <x v="1"/>
    <x v="331"/>
    <n v="3415"/>
    <n v="1"/>
    <x v="1"/>
    <n v="18"/>
    <n v="3"/>
    <n v="1"/>
    <x v="1"/>
    <n v="8"/>
    <x v="0"/>
    <n v="3"/>
    <n v="3"/>
    <x v="0"/>
    <n v="7"/>
    <n v="0"/>
    <n v="7"/>
  </r>
  <r>
    <x v="0"/>
    <x v="1"/>
    <x v="0"/>
    <n v="1192"/>
    <x v="1"/>
    <n v="5"/>
    <x v="0"/>
    <n v="2"/>
    <s v="Medical"/>
    <n v="460"/>
    <n v="4"/>
    <x v="1"/>
    <n v="61"/>
    <n v="3"/>
    <n v="2"/>
    <x v="3"/>
    <x v="0"/>
    <x v="2"/>
    <x v="136"/>
    <n v="23177"/>
    <n v="7"/>
    <x v="1"/>
    <n v="16"/>
    <n v="3"/>
    <n v="3"/>
    <x v="3"/>
    <n v="8"/>
    <x v="0"/>
    <n v="2"/>
    <n v="2"/>
    <x v="0"/>
    <n v="2"/>
    <n v="0"/>
    <n v="4"/>
  </r>
  <r>
    <x v="0"/>
    <x v="1"/>
    <x v="0"/>
    <n v="343"/>
    <x v="1"/>
    <n v="15"/>
    <x v="1"/>
    <n v="2"/>
    <s v="Life Sciences"/>
    <n v="461"/>
    <n v="3"/>
    <x v="1"/>
    <n v="92"/>
    <n v="2"/>
    <n v="3"/>
    <x v="7"/>
    <x v="0"/>
    <x v="2"/>
    <x v="332"/>
    <n v="15682"/>
    <n v="0"/>
    <x v="0"/>
    <n v="14"/>
    <n v="3"/>
    <n v="2"/>
    <x v="1"/>
    <n v="12"/>
    <x v="0"/>
    <n v="3"/>
    <n v="3"/>
    <x v="3"/>
    <n v="10"/>
    <n v="2"/>
    <n v="9"/>
  </r>
  <r>
    <x v="2"/>
    <x v="1"/>
    <x v="0"/>
    <n v="1232"/>
    <x v="1"/>
    <n v="7"/>
    <x v="1"/>
    <n v="4"/>
    <s v="Medical"/>
    <n v="462"/>
    <n v="3"/>
    <x v="0"/>
    <n v="39"/>
    <n v="3"/>
    <n v="3"/>
    <x v="3"/>
    <x v="0"/>
    <x v="0"/>
    <x v="333"/>
    <n v="25713"/>
    <n v="1"/>
    <x v="0"/>
    <n v="14"/>
    <n v="3"/>
    <n v="3"/>
    <x v="0"/>
    <n v="11"/>
    <x v="0"/>
    <n v="2"/>
    <n v="2"/>
    <x v="3"/>
    <n v="9"/>
    <n v="4"/>
    <n v="10"/>
  </r>
  <r>
    <x v="2"/>
    <x v="1"/>
    <x v="0"/>
    <n v="144"/>
    <x v="0"/>
    <n v="10"/>
    <x v="1"/>
    <n v="1"/>
    <s v="Marketing"/>
    <n v="463"/>
    <n v="4"/>
    <x v="0"/>
    <n v="39"/>
    <n v="2"/>
    <n v="2"/>
    <x v="0"/>
    <x v="1"/>
    <x v="2"/>
    <x v="334"/>
    <n v="11866"/>
    <n v="1"/>
    <x v="0"/>
    <n v="14"/>
    <n v="3"/>
    <n v="1"/>
    <x v="3"/>
    <n v="7"/>
    <x v="0"/>
    <n v="2"/>
    <n v="3"/>
    <x v="0"/>
    <n v="7"/>
    <n v="1"/>
    <n v="7"/>
  </r>
  <r>
    <x v="2"/>
    <x v="1"/>
    <x v="0"/>
    <n v="1296"/>
    <x v="1"/>
    <n v="5"/>
    <x v="0"/>
    <n v="4"/>
    <s v="Technical Degree"/>
    <n v="464"/>
    <n v="3"/>
    <x v="1"/>
    <n v="62"/>
    <n v="3"/>
    <n v="3"/>
    <x v="3"/>
    <x v="1"/>
    <x v="0"/>
    <x v="335"/>
    <n v="18264"/>
    <n v="0"/>
    <x v="1"/>
    <n v="13"/>
    <n v="3"/>
    <n v="4"/>
    <x v="0"/>
    <n v="17"/>
    <x v="2"/>
    <n v="5"/>
    <n v="3"/>
    <x v="3"/>
    <n v="6"/>
    <n v="0"/>
    <n v="13"/>
  </r>
  <r>
    <x v="3"/>
    <x v="1"/>
    <x v="0"/>
    <n v="1309"/>
    <x v="1"/>
    <n v="26"/>
    <x v="2"/>
    <n v="1"/>
    <s v="Life Sciences"/>
    <n v="465"/>
    <n v="3"/>
    <x v="1"/>
    <n v="83"/>
    <n v="3"/>
    <n v="1"/>
    <x v="1"/>
    <x v="0"/>
    <x v="2"/>
    <x v="336"/>
    <n v="16092"/>
    <n v="1"/>
    <x v="1"/>
    <n v="12"/>
    <n v="3"/>
    <n v="3"/>
    <x v="3"/>
    <n v="4"/>
    <x v="1"/>
    <n v="2"/>
    <n v="2"/>
    <x v="2"/>
    <n v="2"/>
    <n v="0"/>
    <n v="2"/>
  </r>
  <r>
    <x v="0"/>
    <x v="1"/>
    <x v="0"/>
    <n v="483"/>
    <x v="1"/>
    <n v="6"/>
    <x v="1"/>
    <n v="3"/>
    <s v="Medical"/>
    <n v="466"/>
    <n v="4"/>
    <x v="1"/>
    <n v="95"/>
    <n v="2"/>
    <n v="2"/>
    <x v="3"/>
    <x v="1"/>
    <x v="0"/>
    <x v="337"/>
    <n v="10110"/>
    <n v="6"/>
    <x v="0"/>
    <n v="15"/>
    <n v="3"/>
    <n v="4"/>
    <x v="0"/>
    <n v="8"/>
    <x v="0"/>
    <n v="3"/>
    <n v="3"/>
    <x v="2"/>
    <n v="4"/>
    <n v="1"/>
    <n v="2"/>
  </r>
  <r>
    <x v="1"/>
    <x v="1"/>
    <x v="1"/>
    <n v="1309"/>
    <x v="0"/>
    <n v="4"/>
    <x v="0"/>
    <n v="1"/>
    <s v="Medical"/>
    <n v="467"/>
    <n v="2"/>
    <x v="1"/>
    <n v="99"/>
    <n v="3"/>
    <n v="2"/>
    <x v="6"/>
    <x v="2"/>
    <x v="0"/>
    <x v="338"/>
    <n v="25751"/>
    <n v="3"/>
    <x v="1"/>
    <n v="19"/>
    <n v="3"/>
    <n v="1"/>
    <x v="0"/>
    <n v="5"/>
    <x v="1"/>
    <n v="3"/>
    <n v="3"/>
    <x v="1"/>
    <n v="0"/>
    <n v="0"/>
    <n v="0"/>
  </r>
  <r>
    <x v="0"/>
    <x v="1"/>
    <x v="0"/>
    <n v="810"/>
    <x v="1"/>
    <n v="23"/>
    <x v="2"/>
    <n v="5"/>
    <s v="Life Sciences"/>
    <n v="468"/>
    <n v="1"/>
    <x v="0"/>
    <n v="44"/>
    <n v="3"/>
    <n v="4"/>
    <x v="7"/>
    <x v="0"/>
    <x v="0"/>
    <x v="339"/>
    <n v="15901"/>
    <n v="2"/>
    <x v="1"/>
    <n v="14"/>
    <n v="3"/>
    <n v="2"/>
    <x v="0"/>
    <n v="16"/>
    <x v="2"/>
    <n v="2"/>
    <n v="3"/>
    <x v="1"/>
    <n v="0"/>
    <n v="0"/>
    <n v="0"/>
  </r>
  <r>
    <x v="2"/>
    <x v="1"/>
    <x v="2"/>
    <n v="746"/>
    <x v="0"/>
    <n v="2"/>
    <x v="0"/>
    <n v="3"/>
    <s v="Life Sciences"/>
    <n v="469"/>
    <n v="4"/>
    <x v="1"/>
    <n v="61"/>
    <n v="3"/>
    <n v="2"/>
    <x v="0"/>
    <x v="2"/>
    <x v="1"/>
    <x v="340"/>
    <n v="16928"/>
    <n v="1"/>
    <x v="1"/>
    <n v="14"/>
    <n v="3"/>
    <n v="1"/>
    <x v="1"/>
    <n v="4"/>
    <x v="1"/>
    <n v="3"/>
    <n v="2"/>
    <x v="2"/>
    <n v="3"/>
    <n v="0"/>
    <n v="2"/>
  </r>
  <r>
    <x v="0"/>
    <x v="1"/>
    <x v="0"/>
    <n v="544"/>
    <x v="2"/>
    <n v="2"/>
    <x v="0"/>
    <n v="1"/>
    <s v="Technical Degree"/>
    <n v="470"/>
    <n v="3"/>
    <x v="1"/>
    <n v="52"/>
    <n v="3"/>
    <n v="1"/>
    <x v="8"/>
    <x v="2"/>
    <x v="2"/>
    <x v="341"/>
    <n v="24017"/>
    <n v="0"/>
    <x v="0"/>
    <n v="11"/>
    <n v="3"/>
    <n v="3"/>
    <x v="1"/>
    <n v="4"/>
    <x v="1"/>
    <n v="5"/>
    <n v="3"/>
    <x v="2"/>
    <n v="2"/>
    <n v="1"/>
    <n v="0"/>
  </r>
  <r>
    <x v="2"/>
    <x v="1"/>
    <x v="0"/>
    <n v="1062"/>
    <x v="1"/>
    <n v="2"/>
    <x v="0"/>
    <n v="3"/>
    <s v="Medical"/>
    <n v="471"/>
    <n v="3"/>
    <x v="0"/>
    <n v="75"/>
    <n v="3"/>
    <n v="1"/>
    <x v="2"/>
    <x v="1"/>
    <x v="1"/>
    <x v="342"/>
    <n v="3956"/>
    <n v="1"/>
    <x v="1"/>
    <n v="13"/>
    <n v="3"/>
    <n v="3"/>
    <x v="1"/>
    <n v="8"/>
    <x v="0"/>
    <n v="4"/>
    <n v="3"/>
    <x v="0"/>
    <n v="0"/>
    <n v="0"/>
    <n v="7"/>
  </r>
  <r>
    <x v="1"/>
    <x v="1"/>
    <x v="0"/>
    <n v="530"/>
    <x v="0"/>
    <n v="29"/>
    <x v="2"/>
    <n v="1"/>
    <s v="Medical"/>
    <n v="473"/>
    <n v="1"/>
    <x v="0"/>
    <n v="91"/>
    <n v="3"/>
    <n v="3"/>
    <x v="5"/>
    <x v="2"/>
    <x v="1"/>
    <x v="343"/>
    <n v="23978"/>
    <n v="3"/>
    <x v="1"/>
    <n v="21"/>
    <n v="4"/>
    <n v="2"/>
    <x v="1"/>
    <n v="15"/>
    <x v="0"/>
    <n v="3"/>
    <n v="1"/>
    <x v="1"/>
    <n v="0"/>
    <n v="0"/>
    <n v="0"/>
  </r>
  <r>
    <x v="0"/>
    <x v="1"/>
    <x v="0"/>
    <n v="1319"/>
    <x v="1"/>
    <n v="6"/>
    <x v="1"/>
    <n v="3"/>
    <s v="Medical"/>
    <n v="474"/>
    <n v="3"/>
    <x v="1"/>
    <n v="51"/>
    <n v="4"/>
    <n v="2"/>
    <x v="1"/>
    <x v="3"/>
    <x v="2"/>
    <x v="344"/>
    <n v="17001"/>
    <n v="4"/>
    <x v="0"/>
    <n v="13"/>
    <n v="3"/>
    <n v="1"/>
    <x v="3"/>
    <n v="13"/>
    <x v="0"/>
    <n v="2"/>
    <n v="3"/>
    <x v="0"/>
    <n v="7"/>
    <n v="6"/>
    <n v="7"/>
  </r>
  <r>
    <x v="2"/>
    <x v="1"/>
    <x v="2"/>
    <n v="641"/>
    <x v="0"/>
    <n v="25"/>
    <x v="2"/>
    <n v="2"/>
    <s v="Technical Degree"/>
    <n v="475"/>
    <n v="4"/>
    <x v="0"/>
    <n v="85"/>
    <n v="3"/>
    <n v="2"/>
    <x v="0"/>
    <x v="2"/>
    <x v="1"/>
    <x v="345"/>
    <n v="6069"/>
    <n v="7"/>
    <x v="0"/>
    <n v="12"/>
    <n v="3"/>
    <n v="2"/>
    <x v="1"/>
    <n v="4"/>
    <x v="1"/>
    <n v="2"/>
    <n v="4"/>
    <x v="1"/>
    <n v="2"/>
    <n v="2"/>
    <n v="2"/>
  </r>
  <r>
    <x v="2"/>
    <x v="1"/>
    <x v="0"/>
    <n v="933"/>
    <x v="0"/>
    <n v="1"/>
    <x v="0"/>
    <n v="3"/>
    <s v="Life Sciences"/>
    <n v="476"/>
    <n v="3"/>
    <x v="1"/>
    <n v="57"/>
    <n v="3"/>
    <n v="2"/>
    <x v="0"/>
    <x v="2"/>
    <x v="1"/>
    <x v="346"/>
    <n v="20156"/>
    <n v="1"/>
    <x v="1"/>
    <n v="17"/>
    <n v="3"/>
    <n v="2"/>
    <x v="1"/>
    <n v="8"/>
    <x v="0"/>
    <n v="3"/>
    <n v="3"/>
    <x v="0"/>
    <n v="7"/>
    <n v="7"/>
    <n v="7"/>
  </r>
  <r>
    <x v="0"/>
    <x v="1"/>
    <x v="0"/>
    <n v="1332"/>
    <x v="1"/>
    <n v="2"/>
    <x v="0"/>
    <n v="4"/>
    <s v="Other"/>
    <n v="477"/>
    <n v="1"/>
    <x v="1"/>
    <n v="98"/>
    <n v="2"/>
    <n v="2"/>
    <x v="4"/>
    <x v="0"/>
    <x v="0"/>
    <x v="347"/>
    <n v="17078"/>
    <n v="3"/>
    <x v="1"/>
    <n v="23"/>
    <n v="4"/>
    <n v="2"/>
    <x v="0"/>
    <n v="14"/>
    <x v="0"/>
    <n v="6"/>
    <n v="3"/>
    <x v="1"/>
    <n v="0"/>
    <n v="0"/>
    <n v="0"/>
  </r>
  <r>
    <x v="3"/>
    <x v="0"/>
    <x v="1"/>
    <n v="756"/>
    <x v="0"/>
    <n v="1"/>
    <x v="0"/>
    <n v="1"/>
    <s v="Technical Degree"/>
    <n v="478"/>
    <n v="1"/>
    <x v="0"/>
    <n v="99"/>
    <n v="2"/>
    <n v="1"/>
    <x v="6"/>
    <x v="1"/>
    <x v="0"/>
    <x v="348"/>
    <n v="9150"/>
    <n v="1"/>
    <x v="0"/>
    <n v="11"/>
    <n v="3"/>
    <n v="3"/>
    <x v="0"/>
    <n v="3"/>
    <x v="1"/>
    <n v="3"/>
    <n v="3"/>
    <x v="2"/>
    <n v="2"/>
    <n v="1"/>
    <n v="2"/>
  </r>
  <r>
    <x v="0"/>
    <x v="1"/>
    <x v="2"/>
    <n v="845"/>
    <x v="0"/>
    <n v="1"/>
    <x v="0"/>
    <n v="5"/>
    <s v="Medical"/>
    <n v="479"/>
    <n v="4"/>
    <x v="0"/>
    <n v="45"/>
    <n v="3"/>
    <n v="2"/>
    <x v="0"/>
    <x v="0"/>
    <x v="0"/>
    <x v="349"/>
    <n v="15276"/>
    <n v="4"/>
    <x v="1"/>
    <n v="15"/>
    <n v="3"/>
    <n v="2"/>
    <x v="0"/>
    <n v="7"/>
    <x v="0"/>
    <n v="6"/>
    <n v="3"/>
    <x v="1"/>
    <n v="0"/>
    <n v="0"/>
    <n v="0"/>
  </r>
  <r>
    <x v="0"/>
    <x v="1"/>
    <x v="1"/>
    <n v="541"/>
    <x v="0"/>
    <n v="3"/>
    <x v="0"/>
    <n v="4"/>
    <s v="Medical"/>
    <n v="481"/>
    <n v="1"/>
    <x v="1"/>
    <n v="48"/>
    <n v="2"/>
    <n v="3"/>
    <x v="0"/>
    <x v="0"/>
    <x v="1"/>
    <x v="350"/>
    <n v="7246"/>
    <n v="4"/>
    <x v="1"/>
    <n v="11"/>
    <n v="3"/>
    <n v="1"/>
    <x v="1"/>
    <n v="16"/>
    <x v="2"/>
    <n v="2"/>
    <n v="3"/>
    <x v="3"/>
    <n v="9"/>
    <n v="1"/>
    <n v="12"/>
  </r>
  <r>
    <x v="1"/>
    <x v="1"/>
    <x v="0"/>
    <n v="593"/>
    <x v="1"/>
    <n v="1"/>
    <x v="0"/>
    <n v="4"/>
    <s v="Medical"/>
    <n v="482"/>
    <n v="4"/>
    <x v="1"/>
    <n v="88"/>
    <n v="3"/>
    <n v="2"/>
    <x v="4"/>
    <x v="2"/>
    <x v="1"/>
    <x v="351"/>
    <n v="2967"/>
    <n v="2"/>
    <x v="1"/>
    <n v="11"/>
    <n v="3"/>
    <n v="3"/>
    <x v="0"/>
    <n v="15"/>
    <x v="0"/>
    <n v="2"/>
    <n v="3"/>
    <x v="2"/>
    <n v="2"/>
    <n v="1"/>
    <n v="2"/>
  </r>
  <r>
    <x v="0"/>
    <x v="1"/>
    <x v="0"/>
    <n v="1171"/>
    <x v="1"/>
    <n v="10"/>
    <x v="1"/>
    <n v="4"/>
    <s v="Life Sciences"/>
    <n v="483"/>
    <n v="4"/>
    <x v="0"/>
    <n v="46"/>
    <n v="4"/>
    <n v="1"/>
    <x v="2"/>
    <x v="2"/>
    <x v="1"/>
    <x v="352"/>
    <n v="22495"/>
    <n v="3"/>
    <x v="0"/>
    <n v="13"/>
    <n v="3"/>
    <n v="3"/>
    <x v="1"/>
    <n v="10"/>
    <x v="0"/>
    <n v="3"/>
    <n v="3"/>
    <x v="0"/>
    <n v="7"/>
    <n v="1"/>
    <n v="7"/>
  </r>
  <r>
    <x v="3"/>
    <x v="1"/>
    <x v="2"/>
    <n v="895"/>
    <x v="0"/>
    <n v="9"/>
    <x v="1"/>
    <n v="2"/>
    <s v="Medical"/>
    <n v="484"/>
    <n v="1"/>
    <x v="1"/>
    <n v="39"/>
    <n v="3"/>
    <n v="1"/>
    <x v="6"/>
    <x v="0"/>
    <x v="0"/>
    <x v="353"/>
    <n v="2851"/>
    <n v="1"/>
    <x v="1"/>
    <n v="24"/>
    <n v="4"/>
    <n v="3"/>
    <x v="0"/>
    <n v="3"/>
    <x v="1"/>
    <n v="3"/>
    <n v="2"/>
    <x v="2"/>
    <n v="2"/>
    <n v="2"/>
    <n v="2"/>
  </r>
  <r>
    <x v="2"/>
    <x v="0"/>
    <x v="0"/>
    <n v="350"/>
    <x v="0"/>
    <n v="5"/>
    <x v="0"/>
    <n v="3"/>
    <s v="Marketing"/>
    <n v="485"/>
    <n v="4"/>
    <x v="0"/>
    <n v="34"/>
    <n v="3"/>
    <n v="1"/>
    <x v="6"/>
    <x v="2"/>
    <x v="0"/>
    <x v="354"/>
    <n v="9150"/>
    <n v="1"/>
    <x v="0"/>
    <n v="13"/>
    <n v="3"/>
    <n v="2"/>
    <x v="0"/>
    <n v="1"/>
    <x v="1"/>
    <n v="2"/>
    <n v="3"/>
    <x v="1"/>
    <n v="0"/>
    <n v="0"/>
    <n v="0"/>
  </r>
  <r>
    <x v="0"/>
    <x v="1"/>
    <x v="0"/>
    <n v="921"/>
    <x v="1"/>
    <n v="10"/>
    <x v="1"/>
    <n v="3"/>
    <s v="Medical"/>
    <n v="486"/>
    <n v="3"/>
    <x v="0"/>
    <n v="98"/>
    <n v="3"/>
    <n v="1"/>
    <x v="2"/>
    <x v="3"/>
    <x v="1"/>
    <x v="138"/>
    <n v="17663"/>
    <n v="6"/>
    <x v="1"/>
    <n v="20"/>
    <n v="4"/>
    <n v="2"/>
    <x v="1"/>
    <n v="17"/>
    <x v="2"/>
    <n v="3"/>
    <n v="3"/>
    <x v="2"/>
    <n v="4"/>
    <n v="0"/>
    <n v="3"/>
  </r>
  <r>
    <x v="1"/>
    <x v="1"/>
    <x v="2"/>
    <n v="1144"/>
    <x v="1"/>
    <n v="7"/>
    <x v="1"/>
    <n v="4"/>
    <s v="Medical"/>
    <n v="487"/>
    <n v="3"/>
    <x v="0"/>
    <n v="30"/>
    <n v="3"/>
    <n v="2"/>
    <x v="3"/>
    <x v="2"/>
    <x v="1"/>
    <x v="355"/>
    <n v="16044"/>
    <n v="2"/>
    <x v="1"/>
    <n v="14"/>
    <n v="3"/>
    <n v="3"/>
    <x v="0"/>
    <n v="7"/>
    <x v="0"/>
    <n v="2"/>
    <n v="4"/>
    <x v="1"/>
    <n v="0"/>
    <n v="0"/>
    <n v="0"/>
  </r>
  <r>
    <x v="0"/>
    <x v="0"/>
    <x v="1"/>
    <n v="143"/>
    <x v="0"/>
    <n v="4"/>
    <x v="0"/>
    <n v="3"/>
    <s v="Marketing"/>
    <n v="488"/>
    <n v="1"/>
    <x v="1"/>
    <n v="56"/>
    <n v="3"/>
    <n v="2"/>
    <x v="0"/>
    <x v="1"/>
    <x v="0"/>
    <x v="356"/>
    <n v="9558"/>
    <n v="1"/>
    <x v="1"/>
    <n v="18"/>
    <n v="3"/>
    <n v="3"/>
    <x v="0"/>
    <n v="8"/>
    <x v="0"/>
    <n v="5"/>
    <n v="3"/>
    <x v="0"/>
    <n v="7"/>
    <n v="7"/>
    <n v="7"/>
  </r>
  <r>
    <x v="1"/>
    <x v="1"/>
    <x v="0"/>
    <n v="1046"/>
    <x v="1"/>
    <n v="10"/>
    <x v="1"/>
    <n v="3"/>
    <s v="Technical Degree"/>
    <n v="491"/>
    <n v="4"/>
    <x v="1"/>
    <n v="100"/>
    <n v="2"/>
    <n v="3"/>
    <x v="4"/>
    <x v="0"/>
    <x v="0"/>
    <x v="357"/>
    <n v="2755"/>
    <n v="6"/>
    <x v="1"/>
    <n v="15"/>
    <n v="3"/>
    <n v="4"/>
    <x v="0"/>
    <n v="20"/>
    <x v="2"/>
    <n v="2"/>
    <n v="3"/>
    <x v="2"/>
    <n v="3"/>
    <n v="1"/>
    <n v="3"/>
  </r>
  <r>
    <x v="0"/>
    <x v="0"/>
    <x v="0"/>
    <n v="575"/>
    <x v="0"/>
    <n v="22"/>
    <x v="2"/>
    <n v="2"/>
    <s v="Marketing"/>
    <n v="492"/>
    <n v="3"/>
    <x v="1"/>
    <n v="68"/>
    <n v="2"/>
    <n v="2"/>
    <x v="0"/>
    <x v="2"/>
    <x v="1"/>
    <x v="358"/>
    <n v="6110"/>
    <n v="2"/>
    <x v="0"/>
    <n v="12"/>
    <n v="3"/>
    <n v="1"/>
    <x v="3"/>
    <n v="8"/>
    <x v="0"/>
    <n v="6"/>
    <n v="3"/>
    <x v="0"/>
    <n v="4"/>
    <n v="1"/>
    <n v="0"/>
  </r>
  <r>
    <x v="2"/>
    <x v="1"/>
    <x v="0"/>
    <n v="408"/>
    <x v="1"/>
    <n v="9"/>
    <x v="1"/>
    <n v="4"/>
    <s v="Life Sciences"/>
    <n v="493"/>
    <n v="3"/>
    <x v="1"/>
    <n v="42"/>
    <n v="2"/>
    <n v="1"/>
    <x v="1"/>
    <x v="1"/>
    <x v="0"/>
    <x v="210"/>
    <n v="7551"/>
    <n v="0"/>
    <x v="0"/>
    <n v="16"/>
    <n v="3"/>
    <n v="4"/>
    <x v="0"/>
    <n v="3"/>
    <x v="1"/>
    <n v="5"/>
    <n v="3"/>
    <x v="1"/>
    <n v="2"/>
    <n v="2"/>
    <n v="2"/>
  </r>
  <r>
    <x v="3"/>
    <x v="0"/>
    <x v="0"/>
    <n v="156"/>
    <x v="0"/>
    <n v="12"/>
    <x v="1"/>
    <n v="3"/>
    <s v="Life Sciences"/>
    <n v="494"/>
    <n v="3"/>
    <x v="0"/>
    <n v="90"/>
    <n v="4"/>
    <n v="1"/>
    <x v="6"/>
    <x v="1"/>
    <x v="0"/>
    <x v="359"/>
    <n v="25422"/>
    <n v="1"/>
    <x v="1"/>
    <n v="15"/>
    <n v="3"/>
    <n v="4"/>
    <x v="0"/>
    <n v="1"/>
    <x v="1"/>
    <n v="0"/>
    <n v="3"/>
    <x v="1"/>
    <n v="0"/>
    <n v="0"/>
    <n v="0"/>
  </r>
  <r>
    <x v="2"/>
    <x v="1"/>
    <x v="0"/>
    <n v="1283"/>
    <x v="1"/>
    <n v="23"/>
    <x v="2"/>
    <n v="3"/>
    <s v="Life Sciences"/>
    <n v="495"/>
    <n v="4"/>
    <x v="1"/>
    <n v="54"/>
    <n v="3"/>
    <n v="1"/>
    <x v="1"/>
    <x v="0"/>
    <x v="0"/>
    <x v="360"/>
    <n v="18168"/>
    <n v="9"/>
    <x v="1"/>
    <n v="16"/>
    <n v="3"/>
    <n v="4"/>
    <x v="0"/>
    <n v="6"/>
    <x v="0"/>
    <n v="4"/>
    <n v="3"/>
    <x v="2"/>
    <n v="2"/>
    <n v="1"/>
    <n v="2"/>
  </r>
  <r>
    <x v="2"/>
    <x v="1"/>
    <x v="0"/>
    <n v="755"/>
    <x v="1"/>
    <n v="9"/>
    <x v="1"/>
    <n v="4"/>
    <s v="Life Sciences"/>
    <n v="496"/>
    <n v="3"/>
    <x v="1"/>
    <n v="97"/>
    <n v="2"/>
    <n v="2"/>
    <x v="4"/>
    <x v="1"/>
    <x v="0"/>
    <x v="361"/>
    <n v="19394"/>
    <n v="9"/>
    <x v="1"/>
    <n v="19"/>
    <n v="3"/>
    <n v="3"/>
    <x v="0"/>
    <n v="10"/>
    <x v="0"/>
    <n v="5"/>
    <n v="3"/>
    <x v="1"/>
    <n v="1"/>
    <n v="0"/>
    <n v="0"/>
  </r>
  <r>
    <x v="2"/>
    <x v="1"/>
    <x v="0"/>
    <n v="1469"/>
    <x v="1"/>
    <n v="1"/>
    <x v="0"/>
    <n v="2"/>
    <s v="Medical"/>
    <n v="497"/>
    <n v="4"/>
    <x v="1"/>
    <n v="82"/>
    <n v="3"/>
    <n v="1"/>
    <x v="2"/>
    <x v="1"/>
    <x v="2"/>
    <x v="362"/>
    <n v="17881"/>
    <n v="1"/>
    <x v="1"/>
    <n v="11"/>
    <n v="3"/>
    <n v="2"/>
    <x v="1"/>
    <n v="5"/>
    <x v="1"/>
    <n v="2"/>
    <n v="3"/>
    <x v="2"/>
    <n v="2"/>
    <n v="0"/>
    <n v="4"/>
  </r>
  <r>
    <x v="2"/>
    <x v="1"/>
    <x v="0"/>
    <n v="304"/>
    <x v="0"/>
    <n v="9"/>
    <x v="1"/>
    <n v="4"/>
    <s v="Life Sciences"/>
    <n v="498"/>
    <n v="2"/>
    <x v="1"/>
    <n v="92"/>
    <n v="3"/>
    <n v="2"/>
    <x v="0"/>
    <x v="0"/>
    <x v="0"/>
    <x v="363"/>
    <n v="20750"/>
    <n v="1"/>
    <x v="1"/>
    <n v="16"/>
    <n v="3"/>
    <n v="4"/>
    <x v="0"/>
    <n v="7"/>
    <x v="0"/>
    <n v="1"/>
    <n v="3"/>
    <x v="0"/>
    <n v="5"/>
    <n v="0"/>
    <n v="7"/>
  </r>
  <r>
    <x v="1"/>
    <x v="1"/>
    <x v="0"/>
    <n v="1261"/>
    <x v="1"/>
    <n v="7"/>
    <x v="1"/>
    <n v="3"/>
    <s v="Other"/>
    <n v="499"/>
    <n v="2"/>
    <x v="1"/>
    <n v="31"/>
    <n v="2"/>
    <n v="3"/>
    <x v="4"/>
    <x v="2"/>
    <x v="0"/>
    <x v="364"/>
    <n v="12066"/>
    <n v="8"/>
    <x v="1"/>
    <n v="24"/>
    <n v="4"/>
    <n v="3"/>
    <x v="0"/>
    <n v="26"/>
    <x v="2"/>
    <n v="2"/>
    <n v="3"/>
    <x v="2"/>
    <n v="2"/>
    <n v="0"/>
    <n v="0"/>
  </r>
  <r>
    <x v="1"/>
    <x v="1"/>
    <x v="0"/>
    <n v="1178"/>
    <x v="0"/>
    <n v="14"/>
    <x v="1"/>
    <n v="2"/>
    <s v="Life Sciences"/>
    <n v="500"/>
    <n v="3"/>
    <x v="0"/>
    <n v="87"/>
    <n v="3"/>
    <n v="2"/>
    <x v="0"/>
    <x v="0"/>
    <x v="1"/>
    <x v="365"/>
    <n v="14862"/>
    <n v="4"/>
    <x v="1"/>
    <n v="11"/>
    <n v="3"/>
    <n v="3"/>
    <x v="1"/>
    <n v="18"/>
    <x v="2"/>
    <n v="2"/>
    <n v="2"/>
    <x v="0"/>
    <n v="7"/>
    <n v="0"/>
    <n v="7"/>
  </r>
  <r>
    <x v="0"/>
    <x v="1"/>
    <x v="0"/>
    <n v="329"/>
    <x v="1"/>
    <n v="2"/>
    <x v="0"/>
    <n v="3"/>
    <s v="Life Sciences"/>
    <n v="501"/>
    <n v="4"/>
    <x v="0"/>
    <n v="96"/>
    <n v="3"/>
    <n v="1"/>
    <x v="1"/>
    <x v="2"/>
    <x v="1"/>
    <x v="366"/>
    <n v="11868"/>
    <n v="4"/>
    <x v="1"/>
    <n v="13"/>
    <n v="3"/>
    <n v="2"/>
    <x v="1"/>
    <n v="6"/>
    <x v="0"/>
    <n v="3"/>
    <n v="3"/>
    <x v="1"/>
    <n v="2"/>
    <n v="2"/>
    <n v="2"/>
  </r>
  <r>
    <x v="2"/>
    <x v="0"/>
    <x v="2"/>
    <n v="1362"/>
    <x v="0"/>
    <n v="19"/>
    <x v="2"/>
    <n v="3"/>
    <s v="Marketing"/>
    <n v="502"/>
    <n v="1"/>
    <x v="1"/>
    <n v="67"/>
    <n v="4"/>
    <n v="2"/>
    <x v="0"/>
    <x v="0"/>
    <x v="0"/>
    <x v="367"/>
    <n v="4652"/>
    <n v="8"/>
    <x v="0"/>
    <n v="13"/>
    <n v="3"/>
    <n v="2"/>
    <x v="0"/>
    <n v="9"/>
    <x v="0"/>
    <n v="3"/>
    <n v="2"/>
    <x v="2"/>
    <n v="2"/>
    <n v="0"/>
    <n v="4"/>
  </r>
  <r>
    <x v="1"/>
    <x v="1"/>
    <x v="0"/>
    <n v="1311"/>
    <x v="1"/>
    <n v="2"/>
    <x v="0"/>
    <n v="3"/>
    <s v="Life Sciences"/>
    <n v="505"/>
    <n v="3"/>
    <x v="0"/>
    <n v="97"/>
    <n v="3"/>
    <n v="4"/>
    <x v="5"/>
    <x v="0"/>
    <x v="0"/>
    <x v="368"/>
    <n v="23258"/>
    <n v="2"/>
    <x v="0"/>
    <n v="13"/>
    <n v="3"/>
    <n v="3"/>
    <x v="0"/>
    <n v="30"/>
    <x v="2"/>
    <n v="2"/>
    <n v="3"/>
    <x v="2"/>
    <n v="4"/>
    <n v="1"/>
    <n v="2"/>
  </r>
  <r>
    <x v="3"/>
    <x v="1"/>
    <x v="0"/>
    <n v="1371"/>
    <x v="0"/>
    <n v="10"/>
    <x v="1"/>
    <n v="4"/>
    <s v="Marketing"/>
    <n v="507"/>
    <n v="4"/>
    <x v="0"/>
    <n v="77"/>
    <n v="3"/>
    <n v="2"/>
    <x v="0"/>
    <x v="2"/>
    <x v="2"/>
    <x v="369"/>
    <n v="5915"/>
    <n v="1"/>
    <x v="0"/>
    <n v="12"/>
    <n v="3"/>
    <n v="4"/>
    <x v="1"/>
    <n v="5"/>
    <x v="1"/>
    <n v="2"/>
    <n v="4"/>
    <x v="2"/>
    <n v="2"/>
    <n v="0"/>
    <n v="3"/>
  </r>
  <r>
    <x v="2"/>
    <x v="1"/>
    <x v="0"/>
    <n v="202"/>
    <x v="0"/>
    <n v="2"/>
    <x v="0"/>
    <n v="1"/>
    <s v="Technical Degree"/>
    <n v="508"/>
    <n v="3"/>
    <x v="1"/>
    <n v="72"/>
    <n v="3"/>
    <n v="1"/>
    <x v="6"/>
    <x v="1"/>
    <x v="1"/>
    <x v="370"/>
    <n v="17434"/>
    <n v="1"/>
    <x v="1"/>
    <n v="18"/>
    <n v="3"/>
    <n v="1"/>
    <x v="1"/>
    <n v="1"/>
    <x v="1"/>
    <n v="3"/>
    <n v="3"/>
    <x v="1"/>
    <n v="0"/>
    <n v="0"/>
    <n v="0"/>
  </r>
  <r>
    <x v="2"/>
    <x v="0"/>
    <x v="1"/>
    <n v="575"/>
    <x v="1"/>
    <n v="3"/>
    <x v="0"/>
    <n v="1"/>
    <s v="Technical Degree"/>
    <n v="510"/>
    <n v="3"/>
    <x v="1"/>
    <n v="73"/>
    <n v="3"/>
    <n v="1"/>
    <x v="1"/>
    <x v="3"/>
    <x v="0"/>
    <x v="371"/>
    <n v="6582"/>
    <n v="0"/>
    <x v="1"/>
    <n v="22"/>
    <n v="4"/>
    <n v="3"/>
    <x v="0"/>
    <n v="7"/>
    <x v="0"/>
    <n v="2"/>
    <n v="3"/>
    <x v="0"/>
    <n v="4"/>
    <n v="0"/>
    <n v="4"/>
  </r>
  <r>
    <x v="3"/>
    <x v="1"/>
    <x v="0"/>
    <n v="253"/>
    <x v="1"/>
    <n v="11"/>
    <x v="1"/>
    <n v="3"/>
    <s v="Medical"/>
    <n v="511"/>
    <n v="1"/>
    <x v="0"/>
    <n v="43"/>
    <n v="3"/>
    <n v="1"/>
    <x v="1"/>
    <x v="1"/>
    <x v="1"/>
    <x v="372"/>
    <n v="24440"/>
    <n v="1"/>
    <x v="1"/>
    <n v="13"/>
    <n v="3"/>
    <n v="4"/>
    <x v="1"/>
    <n v="2"/>
    <x v="1"/>
    <n v="1"/>
    <n v="3"/>
    <x v="1"/>
    <n v="1"/>
    <n v="1"/>
    <n v="2"/>
  </r>
  <r>
    <x v="0"/>
    <x v="1"/>
    <x v="0"/>
    <n v="164"/>
    <x v="0"/>
    <n v="2"/>
    <x v="0"/>
    <n v="2"/>
    <s v="Medical"/>
    <n v="513"/>
    <n v="2"/>
    <x v="1"/>
    <n v="61"/>
    <n v="2"/>
    <n v="3"/>
    <x v="0"/>
    <x v="2"/>
    <x v="1"/>
    <x v="373"/>
    <n v="3809"/>
    <n v="1"/>
    <x v="1"/>
    <n v="13"/>
    <n v="3"/>
    <n v="2"/>
    <x v="3"/>
    <n v="10"/>
    <x v="0"/>
    <n v="2"/>
    <n v="3"/>
    <x v="0"/>
    <n v="9"/>
    <n v="9"/>
    <n v="0"/>
  </r>
  <r>
    <x v="2"/>
    <x v="0"/>
    <x v="1"/>
    <n v="464"/>
    <x v="1"/>
    <n v="4"/>
    <x v="0"/>
    <n v="3"/>
    <s v="Technical Degree"/>
    <n v="514"/>
    <n v="3"/>
    <x v="1"/>
    <n v="40"/>
    <n v="3"/>
    <n v="1"/>
    <x v="1"/>
    <x v="0"/>
    <x v="0"/>
    <x v="374"/>
    <n v="3427"/>
    <n v="9"/>
    <x v="0"/>
    <n v="23"/>
    <n v="4"/>
    <n v="3"/>
    <x v="0"/>
    <n v="3"/>
    <x v="1"/>
    <n v="4"/>
    <n v="3"/>
    <x v="1"/>
    <n v="0"/>
    <n v="0"/>
    <n v="0"/>
  </r>
  <r>
    <x v="0"/>
    <x v="1"/>
    <x v="0"/>
    <n v="1107"/>
    <x v="1"/>
    <n v="14"/>
    <x v="1"/>
    <n v="3"/>
    <s v="Life Sciences"/>
    <n v="515"/>
    <n v="4"/>
    <x v="0"/>
    <n v="95"/>
    <n v="3"/>
    <n v="1"/>
    <x v="2"/>
    <x v="3"/>
    <x v="2"/>
    <x v="375"/>
    <n v="26914"/>
    <n v="1"/>
    <x v="1"/>
    <n v="12"/>
    <n v="3"/>
    <n v="3"/>
    <x v="1"/>
    <n v="18"/>
    <x v="2"/>
    <n v="2"/>
    <n v="2"/>
    <x v="3"/>
    <n v="7"/>
    <n v="12"/>
    <n v="17"/>
  </r>
  <r>
    <x v="0"/>
    <x v="1"/>
    <x v="0"/>
    <n v="759"/>
    <x v="0"/>
    <n v="2"/>
    <x v="0"/>
    <n v="2"/>
    <s v="Marketing"/>
    <n v="516"/>
    <n v="4"/>
    <x v="0"/>
    <n v="46"/>
    <n v="3"/>
    <n v="2"/>
    <x v="0"/>
    <x v="1"/>
    <x v="2"/>
    <x v="376"/>
    <n v="22553"/>
    <n v="7"/>
    <x v="1"/>
    <n v="12"/>
    <n v="3"/>
    <n v="3"/>
    <x v="3"/>
    <n v="8"/>
    <x v="0"/>
    <n v="5"/>
    <n v="3"/>
    <x v="2"/>
    <n v="4"/>
    <n v="1"/>
    <n v="3"/>
  </r>
  <r>
    <x v="0"/>
    <x v="1"/>
    <x v="0"/>
    <n v="201"/>
    <x v="1"/>
    <n v="1"/>
    <x v="0"/>
    <n v="4"/>
    <s v="Life Sciences"/>
    <n v="517"/>
    <n v="2"/>
    <x v="0"/>
    <n v="95"/>
    <n v="3"/>
    <n v="1"/>
    <x v="2"/>
    <x v="3"/>
    <x v="2"/>
    <x v="377"/>
    <n v="20490"/>
    <n v="3"/>
    <x v="1"/>
    <n v="16"/>
    <n v="3"/>
    <n v="2"/>
    <x v="1"/>
    <n v="8"/>
    <x v="0"/>
    <n v="5"/>
    <n v="3"/>
    <x v="2"/>
    <n v="2"/>
    <n v="1"/>
    <n v="2"/>
  </r>
  <r>
    <x v="0"/>
    <x v="1"/>
    <x v="0"/>
    <n v="1305"/>
    <x v="1"/>
    <n v="10"/>
    <x v="1"/>
    <n v="4"/>
    <s v="Life Sciences"/>
    <n v="518"/>
    <n v="3"/>
    <x v="1"/>
    <n v="49"/>
    <n v="3"/>
    <n v="2"/>
    <x v="3"/>
    <x v="1"/>
    <x v="0"/>
    <x v="378"/>
    <n v="21123"/>
    <n v="2"/>
    <x v="0"/>
    <n v="12"/>
    <n v="3"/>
    <n v="4"/>
    <x v="0"/>
    <n v="18"/>
    <x v="2"/>
    <n v="2"/>
    <n v="2"/>
    <x v="1"/>
    <n v="0"/>
    <n v="0"/>
    <n v="1"/>
  </r>
  <r>
    <x v="0"/>
    <x v="1"/>
    <x v="0"/>
    <n v="982"/>
    <x v="1"/>
    <n v="12"/>
    <x v="1"/>
    <n v="3"/>
    <s v="Life Sciences"/>
    <n v="520"/>
    <n v="1"/>
    <x v="1"/>
    <n v="59"/>
    <n v="2"/>
    <n v="4"/>
    <x v="7"/>
    <x v="1"/>
    <x v="2"/>
    <x v="379"/>
    <n v="4345"/>
    <n v="1"/>
    <x v="1"/>
    <n v="11"/>
    <n v="3"/>
    <n v="3"/>
    <x v="1"/>
    <n v="25"/>
    <x v="2"/>
    <n v="3"/>
    <n v="3"/>
    <x v="3"/>
    <n v="10"/>
    <n v="3"/>
    <n v="9"/>
  </r>
  <r>
    <x v="0"/>
    <x v="1"/>
    <x v="0"/>
    <n v="555"/>
    <x v="1"/>
    <n v="2"/>
    <x v="0"/>
    <n v="3"/>
    <s v="Medical"/>
    <n v="521"/>
    <n v="2"/>
    <x v="0"/>
    <n v="78"/>
    <n v="2"/>
    <n v="2"/>
    <x v="2"/>
    <x v="2"/>
    <x v="1"/>
    <x v="380"/>
    <n v="13436"/>
    <n v="6"/>
    <x v="1"/>
    <n v="22"/>
    <n v="4"/>
    <n v="2"/>
    <x v="1"/>
    <n v="20"/>
    <x v="2"/>
    <n v="3"/>
    <n v="3"/>
    <x v="1"/>
    <n v="0"/>
    <n v="0"/>
    <n v="0"/>
  </r>
  <r>
    <x v="1"/>
    <x v="1"/>
    <x v="0"/>
    <n v="821"/>
    <x v="1"/>
    <n v="5"/>
    <x v="0"/>
    <n v="2"/>
    <s v="Medical"/>
    <n v="522"/>
    <n v="1"/>
    <x v="1"/>
    <n v="86"/>
    <n v="3"/>
    <n v="5"/>
    <x v="7"/>
    <x v="3"/>
    <x v="1"/>
    <x v="381"/>
    <n v="8509"/>
    <n v="4"/>
    <x v="1"/>
    <n v="11"/>
    <n v="3"/>
    <n v="3"/>
    <x v="1"/>
    <n v="24"/>
    <x v="2"/>
    <n v="4"/>
    <n v="2"/>
    <x v="2"/>
    <n v="2"/>
    <n v="1"/>
    <n v="2"/>
  </r>
  <r>
    <x v="2"/>
    <x v="1"/>
    <x v="2"/>
    <n v="1381"/>
    <x v="0"/>
    <n v="4"/>
    <x v="0"/>
    <n v="4"/>
    <s v="Marketing"/>
    <n v="523"/>
    <n v="3"/>
    <x v="0"/>
    <n v="72"/>
    <n v="3"/>
    <n v="2"/>
    <x v="0"/>
    <x v="2"/>
    <x v="1"/>
    <x v="382"/>
    <n v="12740"/>
    <n v="9"/>
    <x v="1"/>
    <n v="15"/>
    <n v="3"/>
    <n v="1"/>
    <x v="1"/>
    <n v="6"/>
    <x v="0"/>
    <n v="3"/>
    <n v="3"/>
    <x v="2"/>
    <n v="2"/>
    <n v="1"/>
    <n v="2"/>
  </r>
  <r>
    <x v="2"/>
    <x v="1"/>
    <x v="0"/>
    <n v="480"/>
    <x v="1"/>
    <n v="7"/>
    <x v="1"/>
    <n v="2"/>
    <s v="Medical"/>
    <n v="524"/>
    <n v="2"/>
    <x v="0"/>
    <n v="31"/>
    <n v="3"/>
    <n v="2"/>
    <x v="3"/>
    <x v="3"/>
    <x v="1"/>
    <x v="383"/>
    <n v="4156"/>
    <n v="1"/>
    <x v="1"/>
    <n v="12"/>
    <n v="3"/>
    <n v="2"/>
    <x v="1"/>
    <n v="13"/>
    <x v="0"/>
    <n v="5"/>
    <n v="1"/>
    <x v="3"/>
    <n v="10"/>
    <n v="3"/>
    <n v="12"/>
  </r>
  <r>
    <x v="0"/>
    <x v="1"/>
    <x v="1"/>
    <n v="313"/>
    <x v="1"/>
    <n v="21"/>
    <x v="2"/>
    <n v="3"/>
    <s v="Medical"/>
    <n v="525"/>
    <n v="4"/>
    <x v="1"/>
    <n v="61"/>
    <n v="3"/>
    <n v="1"/>
    <x v="2"/>
    <x v="0"/>
    <x v="1"/>
    <x v="384"/>
    <n v="15238"/>
    <n v="7"/>
    <x v="1"/>
    <n v="20"/>
    <n v="4"/>
    <n v="1"/>
    <x v="1"/>
    <n v="8"/>
    <x v="0"/>
    <n v="1"/>
    <n v="3"/>
    <x v="2"/>
    <n v="2"/>
    <n v="1"/>
    <n v="2"/>
  </r>
  <r>
    <x v="0"/>
    <x v="1"/>
    <x v="0"/>
    <n v="1473"/>
    <x v="1"/>
    <n v="8"/>
    <x v="1"/>
    <n v="4"/>
    <s v="Other"/>
    <n v="526"/>
    <n v="3"/>
    <x v="0"/>
    <n v="74"/>
    <n v="3"/>
    <n v="2"/>
    <x v="4"/>
    <x v="2"/>
    <x v="2"/>
    <x v="385"/>
    <n v="2227"/>
    <n v="4"/>
    <x v="0"/>
    <n v="14"/>
    <n v="3"/>
    <n v="4"/>
    <x v="0"/>
    <n v="8"/>
    <x v="0"/>
    <n v="3"/>
    <n v="3"/>
    <x v="2"/>
    <n v="2"/>
    <n v="0"/>
    <n v="2"/>
  </r>
  <r>
    <x v="3"/>
    <x v="1"/>
    <x v="0"/>
    <n v="891"/>
    <x v="0"/>
    <n v="4"/>
    <x v="0"/>
    <n v="2"/>
    <s v="Life Sciences"/>
    <n v="527"/>
    <n v="2"/>
    <x v="0"/>
    <n v="99"/>
    <n v="2"/>
    <n v="2"/>
    <x v="0"/>
    <x v="0"/>
    <x v="0"/>
    <x v="386"/>
    <n v="12090"/>
    <n v="1"/>
    <x v="0"/>
    <n v="11"/>
    <n v="3"/>
    <n v="2"/>
    <x v="0"/>
    <n v="5"/>
    <x v="1"/>
    <n v="3"/>
    <n v="3"/>
    <x v="2"/>
    <n v="4"/>
    <n v="1"/>
    <n v="3"/>
  </r>
  <r>
    <x v="0"/>
    <x v="1"/>
    <x v="2"/>
    <n v="1063"/>
    <x v="1"/>
    <n v="25"/>
    <x v="2"/>
    <n v="5"/>
    <s v="Medical"/>
    <n v="529"/>
    <n v="2"/>
    <x v="0"/>
    <n v="72"/>
    <n v="3"/>
    <n v="2"/>
    <x v="1"/>
    <x v="2"/>
    <x v="1"/>
    <x v="387"/>
    <n v="23866"/>
    <n v="3"/>
    <x v="0"/>
    <n v="15"/>
    <n v="3"/>
    <n v="1"/>
    <x v="3"/>
    <n v="15"/>
    <x v="0"/>
    <n v="2"/>
    <n v="3"/>
    <x v="3"/>
    <n v="11"/>
    <n v="10"/>
    <n v="7"/>
  </r>
  <r>
    <x v="2"/>
    <x v="1"/>
    <x v="0"/>
    <n v="329"/>
    <x v="1"/>
    <n v="1"/>
    <x v="0"/>
    <n v="2"/>
    <s v="Life Sciences"/>
    <n v="530"/>
    <n v="4"/>
    <x v="1"/>
    <n v="98"/>
    <n v="2"/>
    <n v="1"/>
    <x v="2"/>
    <x v="3"/>
    <x v="1"/>
    <x v="388"/>
    <n v="16193"/>
    <n v="1"/>
    <x v="1"/>
    <n v="12"/>
    <n v="3"/>
    <n v="3"/>
    <x v="1"/>
    <n v="4"/>
    <x v="1"/>
    <n v="3"/>
    <n v="3"/>
    <x v="2"/>
    <n v="2"/>
    <n v="3"/>
    <n v="2"/>
  </r>
  <r>
    <x v="0"/>
    <x v="1"/>
    <x v="1"/>
    <n v="1218"/>
    <x v="1"/>
    <n v="1"/>
    <x v="0"/>
    <n v="1"/>
    <s v="Life Sciences"/>
    <n v="531"/>
    <n v="2"/>
    <x v="1"/>
    <n v="52"/>
    <n v="3"/>
    <n v="5"/>
    <x v="5"/>
    <x v="2"/>
    <x v="2"/>
    <x v="389"/>
    <n v="8213"/>
    <n v="1"/>
    <x v="0"/>
    <n v="14"/>
    <n v="3"/>
    <n v="3"/>
    <x v="1"/>
    <n v="21"/>
    <x v="2"/>
    <n v="3"/>
    <n v="3"/>
    <x v="3"/>
    <n v="8"/>
    <n v="1"/>
    <n v="6"/>
  </r>
  <r>
    <x v="1"/>
    <x v="1"/>
    <x v="1"/>
    <n v="906"/>
    <x v="0"/>
    <n v="6"/>
    <x v="1"/>
    <n v="3"/>
    <s v="Life Sciences"/>
    <n v="532"/>
    <n v="3"/>
    <x v="0"/>
    <n v="86"/>
    <n v="4"/>
    <n v="4"/>
    <x v="0"/>
    <x v="3"/>
    <x v="1"/>
    <x v="390"/>
    <n v="18256"/>
    <n v="9"/>
    <x v="1"/>
    <n v="11"/>
    <n v="3"/>
    <n v="4"/>
    <x v="2"/>
    <n v="36"/>
    <x v="2"/>
    <n v="0"/>
    <n v="2"/>
    <x v="0"/>
    <n v="7"/>
    <n v="7"/>
    <n v="7"/>
  </r>
  <r>
    <x v="2"/>
    <x v="1"/>
    <x v="0"/>
    <n v="1082"/>
    <x v="0"/>
    <n v="12"/>
    <x v="1"/>
    <n v="3"/>
    <s v="Technical Degree"/>
    <n v="533"/>
    <n v="2"/>
    <x v="0"/>
    <n v="83"/>
    <n v="3"/>
    <n v="2"/>
    <x v="0"/>
    <x v="2"/>
    <x v="0"/>
    <x v="391"/>
    <n v="19558"/>
    <n v="0"/>
    <x v="1"/>
    <n v="11"/>
    <n v="3"/>
    <n v="2"/>
    <x v="0"/>
    <n v="6"/>
    <x v="0"/>
    <n v="6"/>
    <n v="3"/>
    <x v="2"/>
    <n v="4"/>
    <n v="4"/>
    <n v="4"/>
  </r>
  <r>
    <x v="0"/>
    <x v="1"/>
    <x v="0"/>
    <n v="645"/>
    <x v="0"/>
    <n v="1"/>
    <x v="0"/>
    <n v="3"/>
    <s v="Marketing"/>
    <n v="534"/>
    <n v="2"/>
    <x v="1"/>
    <n v="49"/>
    <n v="4"/>
    <n v="3"/>
    <x v="0"/>
    <x v="3"/>
    <x v="1"/>
    <x v="392"/>
    <n v="19566"/>
    <n v="1"/>
    <x v="1"/>
    <n v="16"/>
    <n v="3"/>
    <n v="3"/>
    <x v="1"/>
    <n v="10"/>
    <x v="0"/>
    <n v="2"/>
    <n v="3"/>
    <x v="0"/>
    <n v="7"/>
    <n v="0"/>
    <n v="7"/>
  </r>
  <r>
    <x v="2"/>
    <x v="1"/>
    <x v="0"/>
    <n v="1300"/>
    <x v="1"/>
    <n v="17"/>
    <x v="2"/>
    <n v="2"/>
    <s v="Medical"/>
    <n v="536"/>
    <n v="3"/>
    <x v="1"/>
    <n v="79"/>
    <n v="3"/>
    <n v="2"/>
    <x v="2"/>
    <x v="3"/>
    <x v="2"/>
    <x v="393"/>
    <n v="13535"/>
    <n v="1"/>
    <x v="1"/>
    <n v="12"/>
    <n v="3"/>
    <n v="4"/>
    <x v="1"/>
    <n v="10"/>
    <x v="0"/>
    <n v="2"/>
    <n v="3"/>
    <x v="0"/>
    <n v="0"/>
    <n v="1"/>
    <n v="8"/>
  </r>
  <r>
    <x v="3"/>
    <x v="0"/>
    <x v="0"/>
    <n v="688"/>
    <x v="1"/>
    <n v="3"/>
    <x v="0"/>
    <n v="3"/>
    <s v="Medical"/>
    <n v="538"/>
    <n v="1"/>
    <x v="1"/>
    <n v="91"/>
    <n v="3"/>
    <n v="1"/>
    <x v="2"/>
    <x v="3"/>
    <x v="1"/>
    <x v="394"/>
    <n v="9396"/>
    <n v="5"/>
    <x v="1"/>
    <n v="13"/>
    <n v="3"/>
    <n v="3"/>
    <x v="1"/>
    <n v="6"/>
    <x v="0"/>
    <n v="5"/>
    <n v="3"/>
    <x v="1"/>
    <n v="2"/>
    <n v="0"/>
    <n v="2"/>
  </r>
  <r>
    <x v="1"/>
    <x v="1"/>
    <x v="0"/>
    <n v="319"/>
    <x v="1"/>
    <n v="3"/>
    <x v="0"/>
    <n v="3"/>
    <s v="Medical"/>
    <n v="543"/>
    <n v="4"/>
    <x v="1"/>
    <n v="39"/>
    <n v="2"/>
    <n v="3"/>
    <x v="3"/>
    <x v="2"/>
    <x v="1"/>
    <x v="395"/>
    <n v="19609"/>
    <n v="2"/>
    <x v="0"/>
    <n v="14"/>
    <n v="3"/>
    <n v="3"/>
    <x v="0"/>
    <n v="28"/>
    <x v="2"/>
    <n v="4"/>
    <n v="3"/>
    <x v="2"/>
    <n v="4"/>
    <n v="0"/>
    <n v="4"/>
  </r>
  <r>
    <x v="0"/>
    <x v="1"/>
    <x v="0"/>
    <n v="192"/>
    <x v="1"/>
    <n v="10"/>
    <x v="1"/>
    <n v="2"/>
    <s v="Life Sciences"/>
    <n v="544"/>
    <n v="1"/>
    <x v="1"/>
    <n v="69"/>
    <n v="3"/>
    <n v="1"/>
    <x v="1"/>
    <x v="0"/>
    <x v="1"/>
    <x v="396"/>
    <n v="9655"/>
    <n v="3"/>
    <x v="1"/>
    <n v="21"/>
    <n v="4"/>
    <n v="4"/>
    <x v="3"/>
    <n v="8"/>
    <x v="0"/>
    <n v="3"/>
    <n v="2"/>
    <x v="1"/>
    <n v="2"/>
    <n v="0"/>
    <n v="2"/>
  </r>
  <r>
    <x v="1"/>
    <x v="1"/>
    <x v="0"/>
    <n v="1490"/>
    <x v="1"/>
    <n v="4"/>
    <x v="0"/>
    <n v="2"/>
    <s v="Life Sciences"/>
    <n v="546"/>
    <n v="4"/>
    <x v="0"/>
    <n v="30"/>
    <n v="3"/>
    <n v="4"/>
    <x v="5"/>
    <x v="0"/>
    <x v="1"/>
    <x v="397"/>
    <n v="10310"/>
    <n v="2"/>
    <x v="1"/>
    <n v="13"/>
    <n v="3"/>
    <n v="4"/>
    <x v="0"/>
    <n v="31"/>
    <x v="2"/>
    <n v="2"/>
    <n v="1"/>
    <x v="2"/>
    <n v="2"/>
    <n v="1"/>
    <n v="4"/>
  </r>
  <r>
    <x v="0"/>
    <x v="1"/>
    <x v="1"/>
    <n v="532"/>
    <x v="1"/>
    <n v="29"/>
    <x v="2"/>
    <n v="2"/>
    <s v="Life Sciences"/>
    <n v="547"/>
    <n v="1"/>
    <x v="0"/>
    <n v="92"/>
    <n v="3"/>
    <n v="2"/>
    <x v="1"/>
    <x v="2"/>
    <x v="2"/>
    <x v="398"/>
    <n v="12932"/>
    <n v="2"/>
    <x v="1"/>
    <n v="11"/>
    <n v="3"/>
    <n v="2"/>
    <x v="1"/>
    <n v="19"/>
    <x v="2"/>
    <n v="3"/>
    <n v="3"/>
    <x v="2"/>
    <n v="4"/>
    <n v="0"/>
    <n v="2"/>
  </r>
  <r>
    <x v="2"/>
    <x v="1"/>
    <x v="0"/>
    <n v="317"/>
    <x v="1"/>
    <n v="2"/>
    <x v="0"/>
    <n v="3"/>
    <s v="Life Sciences"/>
    <n v="548"/>
    <n v="3"/>
    <x v="0"/>
    <n v="43"/>
    <n v="1"/>
    <n v="2"/>
    <x v="3"/>
    <x v="0"/>
    <x v="0"/>
    <x v="399"/>
    <n v="24793"/>
    <n v="2"/>
    <x v="1"/>
    <n v="20"/>
    <n v="4"/>
    <n v="3"/>
    <x v="0"/>
    <n v="11"/>
    <x v="0"/>
    <n v="2"/>
    <n v="3"/>
    <x v="2"/>
    <n v="4"/>
    <n v="0"/>
    <n v="2"/>
  </r>
  <r>
    <x v="1"/>
    <x v="1"/>
    <x v="0"/>
    <n v="422"/>
    <x v="1"/>
    <n v="7"/>
    <x v="1"/>
    <n v="3"/>
    <s v="Life Sciences"/>
    <n v="549"/>
    <n v="1"/>
    <x v="0"/>
    <n v="41"/>
    <n v="3"/>
    <n v="5"/>
    <x v="5"/>
    <x v="3"/>
    <x v="1"/>
    <x v="400"/>
    <n v="3854"/>
    <n v="5"/>
    <x v="1"/>
    <n v="11"/>
    <n v="3"/>
    <n v="4"/>
    <x v="0"/>
    <n v="33"/>
    <x v="2"/>
    <n v="5"/>
    <n v="1"/>
    <x v="3"/>
    <n v="8"/>
    <n v="11"/>
    <n v="10"/>
  </r>
  <r>
    <x v="1"/>
    <x v="1"/>
    <x v="0"/>
    <n v="1485"/>
    <x v="1"/>
    <n v="18"/>
    <x v="2"/>
    <n v="3"/>
    <s v="Medical"/>
    <n v="550"/>
    <n v="3"/>
    <x v="0"/>
    <n v="87"/>
    <n v="3"/>
    <n v="2"/>
    <x v="3"/>
    <x v="2"/>
    <x v="2"/>
    <x v="401"/>
    <n v="26314"/>
    <n v="2"/>
    <x v="1"/>
    <n v="14"/>
    <n v="3"/>
    <n v="3"/>
    <x v="1"/>
    <n v="19"/>
    <x v="2"/>
    <n v="5"/>
    <n v="2"/>
    <x v="0"/>
    <n v="7"/>
    <n v="0"/>
    <n v="8"/>
  </r>
  <r>
    <x v="0"/>
    <x v="1"/>
    <x v="1"/>
    <n v="1368"/>
    <x v="1"/>
    <n v="28"/>
    <x v="2"/>
    <n v="4"/>
    <s v="Technical Degree"/>
    <n v="551"/>
    <n v="4"/>
    <x v="0"/>
    <n v="88"/>
    <n v="2"/>
    <n v="2"/>
    <x v="4"/>
    <x v="0"/>
    <x v="1"/>
    <x v="402"/>
    <n v="4386"/>
    <n v="0"/>
    <x v="1"/>
    <n v="11"/>
    <n v="3"/>
    <n v="4"/>
    <x v="2"/>
    <n v="7"/>
    <x v="0"/>
    <n v="4"/>
    <n v="4"/>
    <x v="0"/>
    <n v="5"/>
    <n v="0"/>
    <n v="4"/>
  </r>
  <r>
    <x v="3"/>
    <x v="0"/>
    <x v="0"/>
    <n v="1448"/>
    <x v="0"/>
    <n v="1"/>
    <x v="0"/>
    <n v="1"/>
    <s v="Technical Degree"/>
    <n v="554"/>
    <n v="1"/>
    <x v="0"/>
    <n v="62"/>
    <n v="3"/>
    <n v="1"/>
    <x v="6"/>
    <x v="1"/>
    <x v="0"/>
    <x v="403"/>
    <n v="21972"/>
    <n v="1"/>
    <x v="0"/>
    <n v="16"/>
    <n v="3"/>
    <n v="2"/>
    <x v="0"/>
    <n v="6"/>
    <x v="0"/>
    <n v="4"/>
    <n v="3"/>
    <x v="2"/>
    <n v="3"/>
    <n v="1"/>
    <n v="4"/>
  </r>
  <r>
    <x v="2"/>
    <x v="0"/>
    <x v="1"/>
    <n v="296"/>
    <x v="0"/>
    <n v="6"/>
    <x v="1"/>
    <n v="2"/>
    <s v="Marketing"/>
    <n v="555"/>
    <n v="4"/>
    <x v="0"/>
    <n v="33"/>
    <n v="1"/>
    <n v="1"/>
    <x v="6"/>
    <x v="2"/>
    <x v="2"/>
    <x v="404"/>
    <n v="12253"/>
    <n v="0"/>
    <x v="1"/>
    <n v="16"/>
    <n v="3"/>
    <n v="4"/>
    <x v="1"/>
    <n v="3"/>
    <x v="1"/>
    <n v="3"/>
    <n v="2"/>
    <x v="1"/>
    <n v="2"/>
    <n v="1"/>
    <n v="0"/>
  </r>
  <r>
    <x v="0"/>
    <x v="1"/>
    <x v="1"/>
    <n v="1490"/>
    <x v="1"/>
    <n v="2"/>
    <x v="0"/>
    <n v="2"/>
    <s v="Life Sciences"/>
    <n v="556"/>
    <n v="4"/>
    <x v="1"/>
    <n v="42"/>
    <n v="3"/>
    <n v="1"/>
    <x v="2"/>
    <x v="0"/>
    <x v="1"/>
    <x v="405"/>
    <n v="12106"/>
    <n v="1"/>
    <x v="0"/>
    <n v="23"/>
    <n v="4"/>
    <n v="3"/>
    <x v="1"/>
    <n v="1"/>
    <x v="1"/>
    <n v="3"/>
    <n v="3"/>
    <x v="1"/>
    <n v="0"/>
    <n v="0"/>
    <n v="0"/>
  </r>
  <r>
    <x v="0"/>
    <x v="1"/>
    <x v="0"/>
    <n v="1398"/>
    <x v="0"/>
    <n v="2"/>
    <x v="0"/>
    <n v="4"/>
    <s v="Life Sciences"/>
    <n v="558"/>
    <n v="3"/>
    <x v="0"/>
    <n v="79"/>
    <n v="3"/>
    <n v="5"/>
    <x v="5"/>
    <x v="2"/>
    <x v="1"/>
    <x v="406"/>
    <n v="13022"/>
    <n v="0"/>
    <x v="1"/>
    <n v="14"/>
    <n v="3"/>
    <n v="4"/>
    <x v="0"/>
    <n v="21"/>
    <x v="2"/>
    <n v="2"/>
    <n v="3"/>
    <x v="3"/>
    <n v="15"/>
    <n v="1"/>
    <n v="12"/>
  </r>
  <r>
    <x v="2"/>
    <x v="1"/>
    <x v="0"/>
    <n v="1349"/>
    <x v="1"/>
    <n v="23"/>
    <x v="2"/>
    <n v="3"/>
    <s v="Life Sciences"/>
    <n v="560"/>
    <n v="1"/>
    <x v="0"/>
    <n v="90"/>
    <n v="3"/>
    <n v="1"/>
    <x v="1"/>
    <x v="0"/>
    <x v="2"/>
    <x v="407"/>
    <n v="3032"/>
    <n v="1"/>
    <x v="1"/>
    <n v="22"/>
    <n v="4"/>
    <n v="2"/>
    <x v="3"/>
    <n v="3"/>
    <x v="1"/>
    <n v="3"/>
    <n v="1"/>
    <x v="2"/>
    <n v="2"/>
    <n v="0"/>
    <n v="2"/>
  </r>
  <r>
    <x v="2"/>
    <x v="1"/>
    <x v="2"/>
    <n v="1400"/>
    <x v="1"/>
    <n v="3"/>
    <x v="0"/>
    <n v="3"/>
    <s v="Life Sciences"/>
    <n v="562"/>
    <n v="3"/>
    <x v="1"/>
    <n v="53"/>
    <n v="3"/>
    <n v="1"/>
    <x v="2"/>
    <x v="0"/>
    <x v="1"/>
    <x v="408"/>
    <n v="16734"/>
    <n v="4"/>
    <x v="1"/>
    <n v="15"/>
    <n v="3"/>
    <n v="3"/>
    <x v="1"/>
    <n v="9"/>
    <x v="0"/>
    <n v="3"/>
    <n v="1"/>
    <x v="2"/>
    <n v="3"/>
    <n v="1"/>
    <n v="4"/>
  </r>
  <r>
    <x v="2"/>
    <x v="1"/>
    <x v="0"/>
    <n v="986"/>
    <x v="1"/>
    <n v="3"/>
    <x v="0"/>
    <n v="4"/>
    <s v="Medical"/>
    <n v="564"/>
    <n v="2"/>
    <x v="1"/>
    <n v="93"/>
    <n v="2"/>
    <n v="3"/>
    <x v="7"/>
    <x v="2"/>
    <x v="1"/>
    <x v="409"/>
    <n v="21526"/>
    <n v="1"/>
    <x v="1"/>
    <n v="18"/>
    <n v="3"/>
    <n v="3"/>
    <x v="0"/>
    <n v="10"/>
    <x v="0"/>
    <n v="2"/>
    <n v="3"/>
    <x v="0"/>
    <n v="2"/>
    <n v="0"/>
    <n v="7"/>
  </r>
  <r>
    <x v="2"/>
    <x v="0"/>
    <x v="0"/>
    <n v="408"/>
    <x v="1"/>
    <n v="25"/>
    <x v="2"/>
    <n v="5"/>
    <s v="Technical Degree"/>
    <n v="565"/>
    <n v="3"/>
    <x v="0"/>
    <n v="71"/>
    <n v="2"/>
    <n v="1"/>
    <x v="1"/>
    <x v="1"/>
    <x v="1"/>
    <x v="410"/>
    <n v="18300"/>
    <n v="5"/>
    <x v="1"/>
    <n v="16"/>
    <n v="3"/>
    <n v="2"/>
    <x v="0"/>
    <n v="6"/>
    <x v="0"/>
    <n v="2"/>
    <n v="4"/>
    <x v="1"/>
    <n v="2"/>
    <n v="1"/>
    <n v="1"/>
  </r>
  <r>
    <x v="3"/>
    <x v="0"/>
    <x v="0"/>
    <n v="489"/>
    <x v="2"/>
    <n v="2"/>
    <x v="0"/>
    <n v="2"/>
    <s v="Technical Degree"/>
    <n v="566"/>
    <n v="1"/>
    <x v="1"/>
    <n v="52"/>
    <n v="2"/>
    <n v="1"/>
    <x v="8"/>
    <x v="0"/>
    <x v="0"/>
    <x v="411"/>
    <n v="18437"/>
    <n v="1"/>
    <x v="1"/>
    <n v="12"/>
    <n v="3"/>
    <n v="3"/>
    <x v="0"/>
    <n v="1"/>
    <x v="1"/>
    <n v="3"/>
    <n v="4"/>
    <x v="1"/>
    <n v="0"/>
    <n v="0"/>
    <n v="0"/>
  </r>
  <r>
    <x v="2"/>
    <x v="1"/>
    <x v="2"/>
    <n v="1398"/>
    <x v="0"/>
    <n v="22"/>
    <x v="2"/>
    <n v="4"/>
    <s v="Other"/>
    <n v="567"/>
    <n v="3"/>
    <x v="0"/>
    <n v="69"/>
    <n v="3"/>
    <n v="3"/>
    <x v="0"/>
    <x v="3"/>
    <x v="1"/>
    <x v="412"/>
    <n v="2890"/>
    <n v="0"/>
    <x v="1"/>
    <n v="11"/>
    <n v="3"/>
    <n v="3"/>
    <x v="0"/>
    <n v="10"/>
    <x v="0"/>
    <n v="3"/>
    <n v="3"/>
    <x v="0"/>
    <n v="8"/>
    <n v="7"/>
    <n v="8"/>
  </r>
  <r>
    <x v="1"/>
    <x v="1"/>
    <x v="0"/>
    <n v="210"/>
    <x v="0"/>
    <n v="29"/>
    <x v="2"/>
    <n v="3"/>
    <s v="Marketing"/>
    <n v="568"/>
    <n v="1"/>
    <x v="1"/>
    <n v="56"/>
    <n v="2"/>
    <n v="4"/>
    <x v="5"/>
    <x v="0"/>
    <x v="2"/>
    <x v="413"/>
    <n v="22102"/>
    <n v="3"/>
    <x v="1"/>
    <n v="12"/>
    <n v="3"/>
    <n v="3"/>
    <x v="1"/>
    <n v="32"/>
    <x v="2"/>
    <n v="3"/>
    <n v="2"/>
    <x v="1"/>
    <n v="0"/>
    <n v="0"/>
    <n v="0"/>
  </r>
  <r>
    <x v="1"/>
    <x v="1"/>
    <x v="0"/>
    <n v="1099"/>
    <x v="1"/>
    <n v="29"/>
    <x v="2"/>
    <n v="4"/>
    <s v="Life Sciences"/>
    <n v="569"/>
    <n v="2"/>
    <x v="1"/>
    <n v="88"/>
    <n v="2"/>
    <n v="4"/>
    <x v="5"/>
    <x v="2"/>
    <x v="1"/>
    <x v="414"/>
    <n v="9314"/>
    <n v="0"/>
    <x v="1"/>
    <n v="15"/>
    <n v="3"/>
    <n v="2"/>
    <x v="1"/>
    <n v="28"/>
    <x v="2"/>
    <n v="2"/>
    <n v="3"/>
    <x v="3"/>
    <n v="10"/>
    <n v="15"/>
    <n v="7"/>
  </r>
  <r>
    <x v="2"/>
    <x v="1"/>
    <x v="2"/>
    <n v="1116"/>
    <x v="1"/>
    <n v="2"/>
    <x v="0"/>
    <n v="3"/>
    <s v="Medical"/>
    <n v="571"/>
    <n v="3"/>
    <x v="0"/>
    <n v="49"/>
    <n v="3"/>
    <n v="1"/>
    <x v="2"/>
    <x v="0"/>
    <x v="0"/>
    <x v="411"/>
    <n v="7181"/>
    <n v="0"/>
    <x v="1"/>
    <n v="14"/>
    <n v="3"/>
    <n v="3"/>
    <x v="0"/>
    <n v="12"/>
    <x v="0"/>
    <n v="2"/>
    <n v="2"/>
    <x v="3"/>
    <n v="7"/>
    <n v="6"/>
    <n v="7"/>
  </r>
  <r>
    <x v="1"/>
    <x v="1"/>
    <x v="1"/>
    <n v="1499"/>
    <x v="0"/>
    <n v="28"/>
    <x v="2"/>
    <n v="3"/>
    <s v="Marketing"/>
    <n v="573"/>
    <n v="3"/>
    <x v="0"/>
    <n v="80"/>
    <n v="2"/>
    <n v="3"/>
    <x v="0"/>
    <x v="3"/>
    <x v="1"/>
    <x v="415"/>
    <n v="2845"/>
    <n v="4"/>
    <x v="1"/>
    <n v="19"/>
    <n v="3"/>
    <n v="4"/>
    <x v="0"/>
    <n v="22"/>
    <x v="2"/>
    <n v="5"/>
    <n v="4"/>
    <x v="3"/>
    <n v="13"/>
    <n v="13"/>
    <n v="11"/>
  </r>
  <r>
    <x v="1"/>
    <x v="1"/>
    <x v="0"/>
    <n v="983"/>
    <x v="1"/>
    <n v="2"/>
    <x v="0"/>
    <n v="2"/>
    <s v="Medical"/>
    <n v="574"/>
    <n v="1"/>
    <x v="0"/>
    <n v="65"/>
    <n v="3"/>
    <n v="2"/>
    <x v="3"/>
    <x v="0"/>
    <x v="2"/>
    <x v="416"/>
    <n v="7389"/>
    <n v="5"/>
    <x v="1"/>
    <n v="13"/>
    <n v="3"/>
    <n v="3"/>
    <x v="2"/>
    <n v="20"/>
    <x v="2"/>
    <n v="2"/>
    <n v="3"/>
    <x v="2"/>
    <n v="0"/>
    <n v="0"/>
    <n v="4"/>
  </r>
  <r>
    <x v="1"/>
    <x v="1"/>
    <x v="0"/>
    <n v="1009"/>
    <x v="1"/>
    <n v="2"/>
    <x v="0"/>
    <n v="3"/>
    <s v="Life Sciences"/>
    <n v="575"/>
    <n v="1"/>
    <x v="1"/>
    <n v="51"/>
    <n v="3"/>
    <n v="4"/>
    <x v="7"/>
    <x v="2"/>
    <x v="1"/>
    <x v="417"/>
    <n v="2288"/>
    <n v="6"/>
    <x v="1"/>
    <n v="13"/>
    <n v="3"/>
    <n v="3"/>
    <x v="0"/>
    <n v="26"/>
    <x v="2"/>
    <n v="2"/>
    <n v="1"/>
    <x v="2"/>
    <n v="2"/>
    <n v="0"/>
    <n v="1"/>
  </r>
  <r>
    <x v="2"/>
    <x v="1"/>
    <x v="0"/>
    <n v="144"/>
    <x v="1"/>
    <n v="22"/>
    <x v="2"/>
    <n v="3"/>
    <s v="Life Sciences"/>
    <n v="577"/>
    <n v="4"/>
    <x v="1"/>
    <n v="46"/>
    <n v="1"/>
    <n v="1"/>
    <x v="2"/>
    <x v="2"/>
    <x v="0"/>
    <x v="418"/>
    <n v="19225"/>
    <n v="0"/>
    <x v="1"/>
    <n v="15"/>
    <n v="3"/>
    <n v="3"/>
    <x v="0"/>
    <n v="6"/>
    <x v="0"/>
    <n v="2"/>
    <n v="3"/>
    <x v="2"/>
    <n v="4"/>
    <n v="4"/>
    <n v="3"/>
  </r>
  <r>
    <x v="1"/>
    <x v="1"/>
    <x v="0"/>
    <n v="548"/>
    <x v="1"/>
    <n v="8"/>
    <x v="1"/>
    <n v="4"/>
    <s v="Life Sciences"/>
    <n v="578"/>
    <n v="3"/>
    <x v="0"/>
    <n v="42"/>
    <n v="3"/>
    <n v="2"/>
    <x v="2"/>
    <x v="2"/>
    <x v="0"/>
    <x v="419"/>
    <n v="23428"/>
    <n v="7"/>
    <x v="1"/>
    <n v="11"/>
    <n v="3"/>
    <n v="3"/>
    <x v="0"/>
    <n v="19"/>
    <x v="2"/>
    <n v="3"/>
    <n v="3"/>
    <x v="1"/>
    <n v="0"/>
    <n v="0"/>
    <n v="0"/>
  </r>
  <r>
    <x v="2"/>
    <x v="1"/>
    <x v="0"/>
    <n v="1303"/>
    <x v="1"/>
    <n v="2"/>
    <x v="0"/>
    <n v="4"/>
    <s v="Life Sciences"/>
    <n v="579"/>
    <n v="4"/>
    <x v="1"/>
    <n v="62"/>
    <n v="2"/>
    <n v="1"/>
    <x v="1"/>
    <x v="2"/>
    <x v="2"/>
    <x v="420"/>
    <n v="8416"/>
    <n v="3"/>
    <x v="1"/>
    <n v="12"/>
    <n v="3"/>
    <n v="3"/>
    <x v="1"/>
    <n v="14"/>
    <x v="0"/>
    <n v="3"/>
    <n v="3"/>
    <x v="0"/>
    <n v="3"/>
    <n v="5"/>
    <n v="7"/>
  </r>
  <r>
    <x v="1"/>
    <x v="1"/>
    <x v="0"/>
    <n v="1125"/>
    <x v="0"/>
    <n v="10"/>
    <x v="1"/>
    <n v="3"/>
    <s v="Marketing"/>
    <n v="580"/>
    <n v="3"/>
    <x v="0"/>
    <n v="94"/>
    <n v="2"/>
    <n v="3"/>
    <x v="0"/>
    <x v="0"/>
    <x v="1"/>
    <x v="421"/>
    <n v="11563"/>
    <n v="2"/>
    <x v="0"/>
    <n v="19"/>
    <n v="3"/>
    <n v="3"/>
    <x v="1"/>
    <n v="15"/>
    <x v="0"/>
    <n v="3"/>
    <n v="3"/>
    <x v="2"/>
    <n v="2"/>
    <n v="1"/>
    <n v="2"/>
  </r>
  <r>
    <x v="2"/>
    <x v="1"/>
    <x v="0"/>
    <n v="1274"/>
    <x v="1"/>
    <n v="9"/>
    <x v="1"/>
    <n v="1"/>
    <s v="Life Sciences"/>
    <n v="581"/>
    <n v="3"/>
    <x v="1"/>
    <n v="33"/>
    <n v="3"/>
    <n v="3"/>
    <x v="3"/>
    <x v="1"/>
    <x v="2"/>
    <x v="422"/>
    <n v="14394"/>
    <n v="1"/>
    <x v="1"/>
    <n v="25"/>
    <n v="4"/>
    <n v="4"/>
    <x v="1"/>
    <n v="13"/>
    <x v="0"/>
    <n v="6"/>
    <n v="4"/>
    <x v="3"/>
    <n v="8"/>
    <n v="0"/>
    <n v="8"/>
  </r>
  <r>
    <x v="2"/>
    <x v="0"/>
    <x v="0"/>
    <n v="1277"/>
    <x v="1"/>
    <n v="15"/>
    <x v="1"/>
    <n v="1"/>
    <s v="Medical"/>
    <n v="582"/>
    <n v="2"/>
    <x v="1"/>
    <n v="56"/>
    <n v="3"/>
    <n v="3"/>
    <x v="5"/>
    <x v="2"/>
    <x v="1"/>
    <x v="423"/>
    <n v="24619"/>
    <n v="7"/>
    <x v="0"/>
    <n v="12"/>
    <n v="3"/>
    <n v="4"/>
    <x v="0"/>
    <n v="15"/>
    <x v="0"/>
    <n v="2"/>
    <n v="4"/>
    <x v="0"/>
    <n v="6"/>
    <n v="7"/>
    <n v="7"/>
  </r>
  <r>
    <x v="2"/>
    <x v="0"/>
    <x v="0"/>
    <n v="587"/>
    <x v="1"/>
    <n v="10"/>
    <x v="1"/>
    <n v="1"/>
    <s v="Medical"/>
    <n v="584"/>
    <n v="1"/>
    <x v="1"/>
    <n v="38"/>
    <n v="1"/>
    <n v="1"/>
    <x v="2"/>
    <x v="0"/>
    <x v="2"/>
    <x v="424"/>
    <n v="6705"/>
    <n v="7"/>
    <x v="1"/>
    <n v="13"/>
    <n v="3"/>
    <n v="1"/>
    <x v="2"/>
    <n v="8"/>
    <x v="0"/>
    <n v="2"/>
    <n v="3"/>
    <x v="2"/>
    <n v="3"/>
    <n v="1"/>
    <n v="3"/>
  </r>
  <r>
    <x v="2"/>
    <x v="1"/>
    <x v="0"/>
    <n v="413"/>
    <x v="0"/>
    <n v="7"/>
    <x v="1"/>
    <n v="1"/>
    <s v="Marketing"/>
    <n v="585"/>
    <n v="4"/>
    <x v="1"/>
    <n v="57"/>
    <n v="3"/>
    <n v="1"/>
    <x v="6"/>
    <x v="1"/>
    <x v="0"/>
    <x v="425"/>
    <n v="18398"/>
    <n v="0"/>
    <x v="1"/>
    <n v="14"/>
    <n v="3"/>
    <n v="1"/>
    <x v="0"/>
    <n v="4"/>
    <x v="1"/>
    <n v="3"/>
    <n v="3"/>
    <x v="2"/>
    <n v="2"/>
    <n v="1"/>
    <n v="2"/>
  </r>
  <r>
    <x v="2"/>
    <x v="1"/>
    <x v="0"/>
    <n v="1276"/>
    <x v="1"/>
    <n v="16"/>
    <x v="2"/>
    <n v="3"/>
    <s v="Life Sciences"/>
    <n v="586"/>
    <n v="4"/>
    <x v="1"/>
    <n v="72"/>
    <n v="3"/>
    <n v="3"/>
    <x v="4"/>
    <x v="2"/>
    <x v="1"/>
    <x v="426"/>
    <n v="14295"/>
    <n v="4"/>
    <x v="0"/>
    <n v="12"/>
    <n v="3"/>
    <n v="3"/>
    <x v="0"/>
    <n v="10"/>
    <x v="0"/>
    <n v="2"/>
    <n v="3"/>
    <x v="0"/>
    <n v="7"/>
    <n v="0"/>
    <n v="0"/>
  </r>
  <r>
    <x v="2"/>
    <x v="0"/>
    <x v="1"/>
    <n v="534"/>
    <x v="1"/>
    <n v="20"/>
    <x v="2"/>
    <n v="3"/>
    <s v="Life Sciences"/>
    <n v="587"/>
    <n v="1"/>
    <x v="1"/>
    <n v="66"/>
    <n v="3"/>
    <n v="3"/>
    <x v="4"/>
    <x v="2"/>
    <x v="1"/>
    <x v="427"/>
    <n v="22908"/>
    <n v="3"/>
    <x v="1"/>
    <n v="12"/>
    <n v="3"/>
    <n v="1"/>
    <x v="0"/>
    <n v="12"/>
    <x v="0"/>
    <n v="2"/>
    <n v="3"/>
    <x v="1"/>
    <n v="0"/>
    <n v="0"/>
    <n v="0"/>
  </r>
  <r>
    <x v="2"/>
    <x v="0"/>
    <x v="1"/>
    <n v="988"/>
    <x v="2"/>
    <n v="23"/>
    <x v="2"/>
    <n v="3"/>
    <s v="Human Resources"/>
    <n v="590"/>
    <n v="2"/>
    <x v="0"/>
    <n v="43"/>
    <n v="3"/>
    <n v="3"/>
    <x v="8"/>
    <x v="3"/>
    <x v="2"/>
    <x v="428"/>
    <n v="11533"/>
    <n v="9"/>
    <x v="0"/>
    <n v="15"/>
    <n v="3"/>
    <n v="3"/>
    <x v="2"/>
    <n v="11"/>
    <x v="0"/>
    <n v="2"/>
    <n v="3"/>
    <x v="2"/>
    <n v="2"/>
    <n v="0"/>
    <n v="2"/>
  </r>
  <r>
    <x v="0"/>
    <x v="1"/>
    <x v="1"/>
    <n v="1474"/>
    <x v="1"/>
    <n v="5"/>
    <x v="0"/>
    <n v="2"/>
    <s v="Other"/>
    <n v="591"/>
    <n v="2"/>
    <x v="1"/>
    <n v="97"/>
    <n v="3"/>
    <n v="1"/>
    <x v="2"/>
    <x v="2"/>
    <x v="1"/>
    <x v="429"/>
    <n v="9260"/>
    <n v="4"/>
    <x v="1"/>
    <n v="17"/>
    <n v="3"/>
    <n v="4"/>
    <x v="1"/>
    <n v="8"/>
    <x v="0"/>
    <n v="4"/>
    <n v="3"/>
    <x v="1"/>
    <n v="2"/>
    <n v="2"/>
    <n v="0"/>
  </r>
  <r>
    <x v="0"/>
    <x v="1"/>
    <x v="2"/>
    <n v="635"/>
    <x v="0"/>
    <n v="10"/>
    <x v="1"/>
    <n v="4"/>
    <s v="Medical"/>
    <n v="592"/>
    <n v="2"/>
    <x v="1"/>
    <n v="32"/>
    <n v="3"/>
    <n v="3"/>
    <x v="0"/>
    <x v="0"/>
    <x v="0"/>
    <x v="15"/>
    <n v="15318"/>
    <n v="1"/>
    <x v="1"/>
    <n v="14"/>
    <n v="3"/>
    <n v="4"/>
    <x v="0"/>
    <n v="10"/>
    <x v="0"/>
    <n v="3"/>
    <n v="2"/>
    <x v="0"/>
    <n v="3"/>
    <n v="9"/>
    <n v="7"/>
  </r>
  <r>
    <x v="3"/>
    <x v="0"/>
    <x v="1"/>
    <n v="1368"/>
    <x v="1"/>
    <n v="4"/>
    <x v="0"/>
    <n v="1"/>
    <s v="Technical Degree"/>
    <n v="593"/>
    <n v="3"/>
    <x v="1"/>
    <n v="99"/>
    <n v="2"/>
    <n v="1"/>
    <x v="2"/>
    <x v="2"/>
    <x v="0"/>
    <x v="430"/>
    <n v="9129"/>
    <n v="5"/>
    <x v="1"/>
    <n v="16"/>
    <n v="3"/>
    <n v="3"/>
    <x v="0"/>
    <n v="4"/>
    <x v="1"/>
    <n v="3"/>
    <n v="3"/>
    <x v="1"/>
    <n v="2"/>
    <n v="1"/>
    <n v="2"/>
  </r>
  <r>
    <x v="1"/>
    <x v="1"/>
    <x v="0"/>
    <n v="163"/>
    <x v="0"/>
    <n v="2"/>
    <x v="0"/>
    <n v="5"/>
    <s v="Marketing"/>
    <n v="595"/>
    <n v="2"/>
    <x v="0"/>
    <n v="37"/>
    <n v="3"/>
    <n v="2"/>
    <x v="0"/>
    <x v="0"/>
    <x v="1"/>
    <x v="431"/>
    <n v="19658"/>
    <n v="2"/>
    <x v="1"/>
    <n v="14"/>
    <n v="3"/>
    <n v="1"/>
    <x v="1"/>
    <n v="14"/>
    <x v="0"/>
    <n v="2"/>
    <n v="3"/>
    <x v="0"/>
    <n v="7"/>
    <n v="6"/>
    <n v="7"/>
  </r>
  <r>
    <x v="1"/>
    <x v="1"/>
    <x v="0"/>
    <n v="1117"/>
    <x v="0"/>
    <n v="18"/>
    <x v="2"/>
    <n v="5"/>
    <s v="Life Sciences"/>
    <n v="597"/>
    <n v="1"/>
    <x v="0"/>
    <n v="83"/>
    <n v="3"/>
    <n v="4"/>
    <x v="5"/>
    <x v="1"/>
    <x v="0"/>
    <x v="432"/>
    <n v="9873"/>
    <n v="3"/>
    <x v="1"/>
    <n v="23"/>
    <n v="4"/>
    <n v="4"/>
    <x v="0"/>
    <n v="37"/>
    <x v="2"/>
    <n v="2"/>
    <n v="3"/>
    <x v="0"/>
    <n v="9"/>
    <n v="7"/>
    <n v="7"/>
  </r>
  <r>
    <x v="0"/>
    <x v="1"/>
    <x v="2"/>
    <n v="267"/>
    <x v="0"/>
    <n v="10"/>
    <x v="1"/>
    <n v="2"/>
    <s v="Life Sciences"/>
    <n v="599"/>
    <n v="4"/>
    <x v="1"/>
    <n v="56"/>
    <n v="3"/>
    <n v="2"/>
    <x v="0"/>
    <x v="0"/>
    <x v="0"/>
    <x v="433"/>
    <n v="13430"/>
    <n v="7"/>
    <x v="1"/>
    <n v="14"/>
    <n v="3"/>
    <n v="4"/>
    <x v="0"/>
    <n v="16"/>
    <x v="2"/>
    <n v="3"/>
    <n v="3"/>
    <x v="3"/>
    <n v="3"/>
    <n v="1"/>
    <n v="10"/>
  </r>
  <r>
    <x v="2"/>
    <x v="1"/>
    <x v="0"/>
    <n v="619"/>
    <x v="0"/>
    <n v="1"/>
    <x v="0"/>
    <n v="3"/>
    <s v="Marketing"/>
    <n v="600"/>
    <n v="2"/>
    <x v="1"/>
    <n v="85"/>
    <n v="3"/>
    <n v="2"/>
    <x v="0"/>
    <x v="2"/>
    <x v="1"/>
    <x v="434"/>
    <n v="18659"/>
    <n v="9"/>
    <x v="1"/>
    <n v="11"/>
    <n v="3"/>
    <n v="3"/>
    <x v="0"/>
    <n v="15"/>
    <x v="0"/>
    <n v="2"/>
    <n v="3"/>
    <x v="3"/>
    <n v="9"/>
    <n v="6"/>
    <n v="9"/>
  </r>
  <r>
    <x v="0"/>
    <x v="1"/>
    <x v="0"/>
    <n v="302"/>
    <x v="1"/>
    <n v="6"/>
    <x v="1"/>
    <n v="3"/>
    <s v="Life Sciences"/>
    <n v="601"/>
    <n v="2"/>
    <x v="0"/>
    <n v="75"/>
    <n v="3"/>
    <n v="4"/>
    <x v="3"/>
    <x v="2"/>
    <x v="0"/>
    <x v="435"/>
    <n v="20364"/>
    <n v="7"/>
    <x v="1"/>
    <n v="15"/>
    <n v="3"/>
    <n v="3"/>
    <x v="0"/>
    <n v="22"/>
    <x v="2"/>
    <n v="3"/>
    <n v="3"/>
    <x v="3"/>
    <n v="6"/>
    <n v="5"/>
    <n v="13"/>
  </r>
  <r>
    <x v="0"/>
    <x v="1"/>
    <x v="1"/>
    <n v="443"/>
    <x v="1"/>
    <n v="8"/>
    <x v="1"/>
    <n v="1"/>
    <s v="Life Sciences"/>
    <n v="602"/>
    <n v="3"/>
    <x v="0"/>
    <n v="48"/>
    <n v="3"/>
    <n v="1"/>
    <x v="2"/>
    <x v="2"/>
    <x v="1"/>
    <x v="436"/>
    <n v="17872"/>
    <n v="1"/>
    <x v="1"/>
    <n v="11"/>
    <n v="3"/>
    <n v="1"/>
    <x v="1"/>
    <n v="8"/>
    <x v="0"/>
    <n v="3"/>
    <n v="3"/>
    <x v="0"/>
    <n v="3"/>
    <n v="0"/>
    <n v="7"/>
  </r>
  <r>
    <x v="2"/>
    <x v="1"/>
    <x v="0"/>
    <n v="828"/>
    <x v="0"/>
    <n v="2"/>
    <x v="0"/>
    <n v="1"/>
    <s v="Life Sciences"/>
    <n v="604"/>
    <n v="2"/>
    <x v="1"/>
    <n v="77"/>
    <n v="3"/>
    <n v="2"/>
    <x v="0"/>
    <x v="0"/>
    <x v="0"/>
    <x v="437"/>
    <n v="8346"/>
    <n v="4"/>
    <x v="0"/>
    <n v="13"/>
    <n v="3"/>
    <n v="3"/>
    <x v="0"/>
    <n v="10"/>
    <x v="0"/>
    <n v="2"/>
    <n v="4"/>
    <x v="0"/>
    <n v="5"/>
    <n v="0"/>
    <n v="5"/>
  </r>
  <r>
    <x v="0"/>
    <x v="1"/>
    <x v="0"/>
    <n v="319"/>
    <x v="1"/>
    <n v="24"/>
    <x v="2"/>
    <n v="3"/>
    <s v="Medical"/>
    <n v="605"/>
    <n v="4"/>
    <x v="1"/>
    <n v="56"/>
    <n v="3"/>
    <n v="3"/>
    <x v="3"/>
    <x v="3"/>
    <x v="1"/>
    <x v="438"/>
    <n v="6950"/>
    <n v="1"/>
    <x v="0"/>
    <n v="21"/>
    <n v="4"/>
    <n v="4"/>
    <x v="1"/>
    <n v="10"/>
    <x v="0"/>
    <n v="5"/>
    <n v="2"/>
    <x v="0"/>
    <n v="9"/>
    <n v="5"/>
    <n v="8"/>
  </r>
  <r>
    <x v="0"/>
    <x v="1"/>
    <x v="0"/>
    <n v="561"/>
    <x v="0"/>
    <n v="2"/>
    <x v="0"/>
    <n v="3"/>
    <s v="Other"/>
    <n v="606"/>
    <n v="4"/>
    <x v="1"/>
    <n v="61"/>
    <n v="3"/>
    <n v="2"/>
    <x v="0"/>
    <x v="1"/>
    <x v="1"/>
    <x v="439"/>
    <n v="16177"/>
    <n v="0"/>
    <x v="1"/>
    <n v="19"/>
    <n v="3"/>
    <n v="2"/>
    <x v="1"/>
    <n v="9"/>
    <x v="0"/>
    <n v="3"/>
    <n v="4"/>
    <x v="0"/>
    <n v="7"/>
    <n v="3"/>
    <n v="7"/>
  </r>
  <r>
    <x v="2"/>
    <x v="0"/>
    <x v="1"/>
    <n v="426"/>
    <x v="2"/>
    <n v="17"/>
    <x v="2"/>
    <n v="4"/>
    <s v="Life Sciences"/>
    <n v="608"/>
    <n v="2"/>
    <x v="0"/>
    <n v="58"/>
    <n v="3"/>
    <n v="1"/>
    <x v="8"/>
    <x v="2"/>
    <x v="2"/>
    <x v="199"/>
    <n v="22808"/>
    <n v="0"/>
    <x v="0"/>
    <n v="11"/>
    <n v="3"/>
    <n v="2"/>
    <x v="1"/>
    <n v="8"/>
    <x v="0"/>
    <n v="2"/>
    <n v="2"/>
    <x v="0"/>
    <n v="7"/>
    <n v="1"/>
    <n v="0"/>
  </r>
  <r>
    <x v="2"/>
    <x v="1"/>
    <x v="0"/>
    <n v="232"/>
    <x v="1"/>
    <n v="19"/>
    <x v="2"/>
    <n v="3"/>
    <s v="Technical Degree"/>
    <n v="611"/>
    <n v="4"/>
    <x v="1"/>
    <n v="34"/>
    <n v="3"/>
    <n v="2"/>
    <x v="3"/>
    <x v="0"/>
    <x v="2"/>
    <x v="440"/>
    <n v="22645"/>
    <n v="4"/>
    <x v="1"/>
    <n v="12"/>
    <n v="3"/>
    <n v="2"/>
    <x v="3"/>
    <n v="8"/>
    <x v="0"/>
    <n v="2"/>
    <n v="4"/>
    <x v="2"/>
    <n v="2"/>
    <n v="1"/>
    <n v="2"/>
  </r>
  <r>
    <x v="2"/>
    <x v="1"/>
    <x v="0"/>
    <n v="922"/>
    <x v="1"/>
    <n v="1"/>
    <x v="0"/>
    <n v="5"/>
    <s v="Medical"/>
    <n v="612"/>
    <n v="1"/>
    <x v="0"/>
    <n v="95"/>
    <n v="4"/>
    <n v="4"/>
    <x v="7"/>
    <x v="2"/>
    <x v="2"/>
    <x v="441"/>
    <n v="22578"/>
    <n v="4"/>
    <x v="1"/>
    <n v="19"/>
    <n v="3"/>
    <n v="3"/>
    <x v="1"/>
    <n v="10"/>
    <x v="0"/>
    <n v="2"/>
    <n v="3"/>
    <x v="0"/>
    <n v="1"/>
    <n v="0"/>
    <n v="5"/>
  </r>
  <r>
    <x v="2"/>
    <x v="1"/>
    <x v="0"/>
    <n v="688"/>
    <x v="0"/>
    <n v="7"/>
    <x v="1"/>
    <n v="3"/>
    <s v="Life Sciences"/>
    <n v="613"/>
    <n v="3"/>
    <x v="1"/>
    <n v="44"/>
    <n v="2"/>
    <n v="3"/>
    <x v="5"/>
    <x v="0"/>
    <x v="2"/>
    <x v="442"/>
    <n v="25291"/>
    <n v="9"/>
    <x v="1"/>
    <n v="21"/>
    <n v="4"/>
    <n v="3"/>
    <x v="1"/>
    <n v="10"/>
    <x v="0"/>
    <n v="3"/>
    <n v="2"/>
    <x v="2"/>
    <n v="4"/>
    <n v="0"/>
    <n v="1"/>
  </r>
  <r>
    <x v="3"/>
    <x v="0"/>
    <x v="1"/>
    <n v="1306"/>
    <x v="0"/>
    <n v="5"/>
    <x v="0"/>
    <n v="3"/>
    <s v="Marketing"/>
    <n v="614"/>
    <n v="2"/>
    <x v="1"/>
    <n v="69"/>
    <n v="3"/>
    <n v="1"/>
    <x v="6"/>
    <x v="1"/>
    <x v="0"/>
    <x v="443"/>
    <n v="8059"/>
    <n v="1"/>
    <x v="0"/>
    <n v="14"/>
    <n v="3"/>
    <n v="4"/>
    <x v="0"/>
    <n v="0"/>
    <x v="1"/>
    <n v="3"/>
    <n v="3"/>
    <x v="1"/>
    <n v="0"/>
    <n v="0"/>
    <n v="0"/>
  </r>
  <r>
    <x v="0"/>
    <x v="1"/>
    <x v="2"/>
    <n v="1094"/>
    <x v="0"/>
    <n v="28"/>
    <x v="2"/>
    <n v="3"/>
    <s v="Other"/>
    <n v="615"/>
    <n v="3"/>
    <x v="1"/>
    <n v="58"/>
    <n v="1"/>
    <n v="3"/>
    <x v="0"/>
    <x v="3"/>
    <x v="2"/>
    <x v="444"/>
    <n v="11373"/>
    <n v="3"/>
    <x v="1"/>
    <n v="15"/>
    <n v="3"/>
    <n v="3"/>
    <x v="1"/>
    <n v="20"/>
    <x v="2"/>
    <n v="2"/>
    <n v="3"/>
    <x v="1"/>
    <n v="0"/>
    <n v="0"/>
    <n v="1"/>
  </r>
  <r>
    <x v="0"/>
    <x v="1"/>
    <x v="2"/>
    <n v="509"/>
    <x v="1"/>
    <n v="2"/>
    <x v="0"/>
    <n v="4"/>
    <s v="Other"/>
    <n v="616"/>
    <n v="1"/>
    <x v="0"/>
    <n v="62"/>
    <n v="2"/>
    <n v="2"/>
    <x v="4"/>
    <x v="2"/>
    <x v="0"/>
    <x v="445"/>
    <n v="2112"/>
    <n v="2"/>
    <x v="0"/>
    <n v="17"/>
    <n v="3"/>
    <n v="1"/>
    <x v="0"/>
    <n v="10"/>
    <x v="0"/>
    <n v="3"/>
    <n v="3"/>
    <x v="0"/>
    <n v="7"/>
    <n v="0"/>
    <n v="7"/>
  </r>
  <r>
    <x v="2"/>
    <x v="1"/>
    <x v="0"/>
    <n v="775"/>
    <x v="0"/>
    <n v="29"/>
    <x v="2"/>
    <n v="2"/>
    <s v="Medical"/>
    <n v="618"/>
    <n v="1"/>
    <x v="1"/>
    <n v="45"/>
    <n v="3"/>
    <n v="2"/>
    <x v="0"/>
    <x v="2"/>
    <x v="2"/>
    <x v="383"/>
    <n v="4267"/>
    <n v="5"/>
    <x v="1"/>
    <n v="12"/>
    <n v="3"/>
    <n v="1"/>
    <x v="3"/>
    <n v="8"/>
    <x v="0"/>
    <n v="5"/>
    <n v="3"/>
    <x v="1"/>
    <n v="0"/>
    <n v="0"/>
    <n v="0"/>
  </r>
  <r>
    <x v="2"/>
    <x v="1"/>
    <x v="0"/>
    <n v="195"/>
    <x v="0"/>
    <n v="1"/>
    <x v="0"/>
    <n v="3"/>
    <s v="Medical"/>
    <n v="620"/>
    <n v="1"/>
    <x v="0"/>
    <n v="80"/>
    <n v="3"/>
    <n v="2"/>
    <x v="0"/>
    <x v="2"/>
    <x v="0"/>
    <x v="446"/>
    <n v="6698"/>
    <n v="1"/>
    <x v="1"/>
    <n v="16"/>
    <n v="3"/>
    <n v="4"/>
    <x v="0"/>
    <n v="5"/>
    <x v="1"/>
    <n v="3"/>
    <n v="3"/>
    <x v="2"/>
    <n v="4"/>
    <n v="0"/>
    <n v="3"/>
  </r>
  <r>
    <x v="2"/>
    <x v="1"/>
    <x v="0"/>
    <n v="258"/>
    <x v="0"/>
    <n v="21"/>
    <x v="2"/>
    <n v="4"/>
    <s v="Life Sciences"/>
    <n v="621"/>
    <n v="4"/>
    <x v="1"/>
    <n v="74"/>
    <n v="4"/>
    <n v="2"/>
    <x v="0"/>
    <x v="0"/>
    <x v="0"/>
    <x v="447"/>
    <n v="19921"/>
    <n v="1"/>
    <x v="1"/>
    <n v="12"/>
    <n v="3"/>
    <n v="4"/>
    <x v="0"/>
    <n v="10"/>
    <x v="0"/>
    <n v="3"/>
    <n v="3"/>
    <x v="0"/>
    <n v="7"/>
    <n v="5"/>
    <n v="7"/>
  </r>
  <r>
    <x v="2"/>
    <x v="0"/>
    <x v="0"/>
    <n v="471"/>
    <x v="1"/>
    <n v="24"/>
    <x v="2"/>
    <n v="3"/>
    <s v="Technical Degree"/>
    <n v="622"/>
    <n v="3"/>
    <x v="1"/>
    <n v="66"/>
    <n v="1"/>
    <n v="1"/>
    <x v="2"/>
    <x v="0"/>
    <x v="0"/>
    <x v="246"/>
    <n v="23213"/>
    <n v="1"/>
    <x v="0"/>
    <n v="18"/>
    <n v="3"/>
    <n v="2"/>
    <x v="0"/>
    <n v="1"/>
    <x v="1"/>
    <n v="3"/>
    <n v="1"/>
    <x v="1"/>
    <n v="0"/>
    <n v="0"/>
    <n v="0"/>
  </r>
  <r>
    <x v="0"/>
    <x v="1"/>
    <x v="0"/>
    <n v="799"/>
    <x v="1"/>
    <n v="1"/>
    <x v="0"/>
    <n v="3"/>
    <s v="Technical Degree"/>
    <n v="623"/>
    <n v="2"/>
    <x v="0"/>
    <n v="59"/>
    <n v="3"/>
    <n v="3"/>
    <x v="3"/>
    <x v="0"/>
    <x v="0"/>
    <x v="448"/>
    <n v="23848"/>
    <n v="4"/>
    <x v="1"/>
    <n v="17"/>
    <n v="3"/>
    <n v="4"/>
    <x v="0"/>
    <n v="12"/>
    <x v="0"/>
    <n v="3"/>
    <n v="4"/>
    <x v="0"/>
    <n v="5"/>
    <n v="1"/>
    <n v="2"/>
  </r>
  <r>
    <x v="1"/>
    <x v="1"/>
    <x v="1"/>
    <n v="1034"/>
    <x v="1"/>
    <n v="18"/>
    <x v="2"/>
    <n v="1"/>
    <s v="Medical"/>
    <n v="624"/>
    <n v="1"/>
    <x v="0"/>
    <n v="86"/>
    <n v="3"/>
    <n v="3"/>
    <x v="4"/>
    <x v="2"/>
    <x v="1"/>
    <x v="449"/>
    <n v="8984"/>
    <n v="5"/>
    <x v="1"/>
    <n v="11"/>
    <n v="3"/>
    <n v="4"/>
    <x v="0"/>
    <n v="28"/>
    <x v="2"/>
    <n v="3"/>
    <n v="2"/>
    <x v="1"/>
    <n v="2"/>
    <n v="1"/>
    <n v="2"/>
  </r>
  <r>
    <x v="0"/>
    <x v="1"/>
    <x v="0"/>
    <n v="1276"/>
    <x v="0"/>
    <n v="2"/>
    <x v="0"/>
    <n v="5"/>
    <s v="Life Sciences"/>
    <n v="625"/>
    <n v="2"/>
    <x v="0"/>
    <n v="91"/>
    <n v="3"/>
    <n v="4"/>
    <x v="5"/>
    <x v="3"/>
    <x v="1"/>
    <x v="450"/>
    <n v="5626"/>
    <n v="7"/>
    <x v="1"/>
    <n v="16"/>
    <n v="3"/>
    <n v="2"/>
    <x v="1"/>
    <n v="22"/>
    <x v="2"/>
    <n v="2"/>
    <n v="3"/>
    <x v="3"/>
    <n v="16"/>
    <n v="11"/>
    <n v="8"/>
  </r>
  <r>
    <x v="0"/>
    <x v="1"/>
    <x v="2"/>
    <n v="142"/>
    <x v="0"/>
    <n v="9"/>
    <x v="1"/>
    <n v="4"/>
    <s v="Medical"/>
    <n v="626"/>
    <n v="1"/>
    <x v="1"/>
    <n v="69"/>
    <n v="3"/>
    <n v="3"/>
    <x v="0"/>
    <x v="1"/>
    <x v="2"/>
    <x v="451"/>
    <n v="24666"/>
    <n v="1"/>
    <x v="1"/>
    <n v="13"/>
    <n v="3"/>
    <n v="4"/>
    <x v="1"/>
    <n v="9"/>
    <x v="0"/>
    <n v="6"/>
    <n v="3"/>
    <x v="0"/>
    <n v="5"/>
    <n v="7"/>
    <n v="7"/>
  </r>
  <r>
    <x v="1"/>
    <x v="1"/>
    <x v="0"/>
    <n v="956"/>
    <x v="1"/>
    <n v="6"/>
    <x v="1"/>
    <n v="2"/>
    <s v="Technical Degree"/>
    <n v="630"/>
    <n v="4"/>
    <x v="1"/>
    <n v="78"/>
    <n v="3"/>
    <n v="2"/>
    <x v="1"/>
    <x v="3"/>
    <x v="2"/>
    <x v="452"/>
    <n v="22087"/>
    <n v="3"/>
    <x v="0"/>
    <n v="12"/>
    <n v="3"/>
    <n v="2"/>
    <x v="3"/>
    <n v="18"/>
    <x v="2"/>
    <n v="3"/>
    <n v="3"/>
    <x v="0"/>
    <n v="9"/>
    <n v="6"/>
    <n v="9"/>
  </r>
  <r>
    <x v="2"/>
    <x v="0"/>
    <x v="2"/>
    <n v="1474"/>
    <x v="0"/>
    <n v="11"/>
    <x v="1"/>
    <n v="4"/>
    <s v="Other"/>
    <n v="631"/>
    <n v="4"/>
    <x v="1"/>
    <n v="60"/>
    <n v="4"/>
    <n v="2"/>
    <x v="0"/>
    <x v="2"/>
    <x v="1"/>
    <x v="453"/>
    <n v="23914"/>
    <n v="8"/>
    <x v="1"/>
    <n v="12"/>
    <n v="3"/>
    <n v="4"/>
    <x v="0"/>
    <n v="6"/>
    <x v="0"/>
    <n v="2"/>
    <n v="3"/>
    <x v="2"/>
    <n v="2"/>
    <n v="1"/>
    <n v="2"/>
  </r>
  <r>
    <x v="3"/>
    <x v="1"/>
    <x v="1"/>
    <n v="535"/>
    <x v="0"/>
    <n v="24"/>
    <x v="2"/>
    <n v="3"/>
    <s v="Medical"/>
    <n v="632"/>
    <n v="4"/>
    <x v="1"/>
    <n v="38"/>
    <n v="3"/>
    <n v="1"/>
    <x v="6"/>
    <x v="0"/>
    <x v="1"/>
    <x v="454"/>
    <n v="5530"/>
    <n v="0"/>
    <x v="1"/>
    <n v="13"/>
    <n v="3"/>
    <n v="3"/>
    <x v="3"/>
    <n v="3"/>
    <x v="1"/>
    <n v="3"/>
    <n v="3"/>
    <x v="1"/>
    <n v="2"/>
    <n v="2"/>
    <n v="1"/>
  </r>
  <r>
    <x v="0"/>
    <x v="1"/>
    <x v="0"/>
    <n v="1495"/>
    <x v="1"/>
    <n v="10"/>
    <x v="1"/>
    <n v="3"/>
    <s v="Medical"/>
    <n v="634"/>
    <n v="3"/>
    <x v="0"/>
    <n v="76"/>
    <n v="3"/>
    <n v="2"/>
    <x v="4"/>
    <x v="2"/>
    <x v="1"/>
    <x v="427"/>
    <n v="22174"/>
    <n v="3"/>
    <x v="1"/>
    <n v="19"/>
    <n v="3"/>
    <n v="3"/>
    <x v="1"/>
    <n v="18"/>
    <x v="2"/>
    <n v="4"/>
    <n v="3"/>
    <x v="1"/>
    <n v="0"/>
    <n v="0"/>
    <n v="0"/>
  </r>
  <r>
    <x v="0"/>
    <x v="1"/>
    <x v="0"/>
    <n v="446"/>
    <x v="1"/>
    <n v="1"/>
    <x v="0"/>
    <n v="4"/>
    <s v="Life Sciences"/>
    <n v="635"/>
    <n v="2"/>
    <x v="0"/>
    <n v="65"/>
    <n v="3"/>
    <n v="2"/>
    <x v="3"/>
    <x v="1"/>
    <x v="1"/>
    <x v="455"/>
    <n v="15701"/>
    <n v="6"/>
    <x v="1"/>
    <n v="12"/>
    <n v="3"/>
    <n v="2"/>
    <x v="1"/>
    <n v="8"/>
    <x v="0"/>
    <n v="2"/>
    <n v="2"/>
    <x v="0"/>
    <n v="5"/>
    <n v="4"/>
    <n v="3"/>
  </r>
  <r>
    <x v="1"/>
    <x v="1"/>
    <x v="0"/>
    <n v="1245"/>
    <x v="1"/>
    <n v="18"/>
    <x v="2"/>
    <n v="4"/>
    <s v="Life Sciences"/>
    <n v="638"/>
    <n v="4"/>
    <x v="1"/>
    <n v="58"/>
    <n v="2"/>
    <n v="5"/>
    <x v="7"/>
    <x v="2"/>
    <x v="2"/>
    <x v="456"/>
    <n v="2125"/>
    <n v="1"/>
    <x v="0"/>
    <n v="17"/>
    <n v="3"/>
    <n v="3"/>
    <x v="1"/>
    <n v="31"/>
    <x v="2"/>
    <n v="5"/>
    <n v="3"/>
    <x v="3"/>
    <n v="9"/>
    <n v="0"/>
    <n v="9"/>
  </r>
  <r>
    <x v="3"/>
    <x v="1"/>
    <x v="0"/>
    <n v="691"/>
    <x v="1"/>
    <n v="23"/>
    <x v="2"/>
    <n v="3"/>
    <s v="Medical"/>
    <n v="639"/>
    <n v="2"/>
    <x v="1"/>
    <n v="89"/>
    <n v="4"/>
    <n v="1"/>
    <x v="1"/>
    <x v="0"/>
    <x v="1"/>
    <x v="457"/>
    <n v="21630"/>
    <n v="1"/>
    <x v="0"/>
    <n v="11"/>
    <n v="3"/>
    <n v="2"/>
    <x v="3"/>
    <n v="6"/>
    <x v="0"/>
    <n v="3"/>
    <n v="3"/>
    <x v="0"/>
    <n v="5"/>
    <n v="1"/>
    <n v="4"/>
  </r>
  <r>
    <x v="2"/>
    <x v="1"/>
    <x v="0"/>
    <n v="703"/>
    <x v="0"/>
    <n v="28"/>
    <x v="2"/>
    <n v="2"/>
    <s v="Marketing"/>
    <n v="641"/>
    <n v="1"/>
    <x v="1"/>
    <n v="66"/>
    <n v="3"/>
    <n v="2"/>
    <x v="0"/>
    <x v="1"/>
    <x v="1"/>
    <x v="458"/>
    <n v="7428"/>
    <n v="1"/>
    <x v="1"/>
    <n v="20"/>
    <n v="4"/>
    <n v="4"/>
    <x v="3"/>
    <n v="6"/>
    <x v="0"/>
    <n v="5"/>
    <n v="4"/>
    <x v="2"/>
    <n v="3"/>
    <n v="1"/>
    <n v="4"/>
  </r>
  <r>
    <x v="3"/>
    <x v="1"/>
    <x v="0"/>
    <n v="823"/>
    <x v="1"/>
    <n v="17"/>
    <x v="2"/>
    <n v="2"/>
    <s v="Other"/>
    <n v="643"/>
    <n v="4"/>
    <x v="1"/>
    <n v="94"/>
    <n v="2"/>
    <n v="1"/>
    <x v="2"/>
    <x v="1"/>
    <x v="1"/>
    <x v="459"/>
    <n v="9100"/>
    <n v="1"/>
    <x v="1"/>
    <n v="21"/>
    <n v="4"/>
    <n v="4"/>
    <x v="1"/>
    <n v="1"/>
    <x v="1"/>
    <n v="2"/>
    <n v="3"/>
    <x v="1"/>
    <n v="0"/>
    <n v="0"/>
    <n v="0"/>
  </r>
  <r>
    <x v="1"/>
    <x v="1"/>
    <x v="1"/>
    <n v="1246"/>
    <x v="2"/>
    <n v="3"/>
    <x v="0"/>
    <n v="3"/>
    <s v="Medical"/>
    <n v="644"/>
    <n v="1"/>
    <x v="1"/>
    <n v="99"/>
    <n v="3"/>
    <n v="5"/>
    <x v="5"/>
    <x v="1"/>
    <x v="1"/>
    <x v="460"/>
    <n v="7999"/>
    <n v="1"/>
    <x v="1"/>
    <n v="11"/>
    <n v="3"/>
    <n v="3"/>
    <x v="1"/>
    <n v="32"/>
    <x v="2"/>
    <n v="2"/>
    <n v="3"/>
    <x v="3"/>
    <n v="5"/>
    <n v="10"/>
    <n v="7"/>
  </r>
  <r>
    <x v="3"/>
    <x v="1"/>
    <x v="0"/>
    <n v="622"/>
    <x v="0"/>
    <n v="13"/>
    <x v="1"/>
    <n v="1"/>
    <s v="Medical"/>
    <n v="645"/>
    <n v="2"/>
    <x v="1"/>
    <n v="40"/>
    <n v="3"/>
    <n v="1"/>
    <x v="6"/>
    <x v="2"/>
    <x v="1"/>
    <x v="461"/>
    <n v="26376"/>
    <n v="1"/>
    <x v="1"/>
    <n v="11"/>
    <n v="3"/>
    <n v="3"/>
    <x v="0"/>
    <n v="7"/>
    <x v="0"/>
    <n v="1"/>
    <n v="3"/>
    <x v="0"/>
    <n v="4"/>
    <n v="0"/>
    <n v="6"/>
  </r>
  <r>
    <x v="3"/>
    <x v="0"/>
    <x v="1"/>
    <n v="1287"/>
    <x v="1"/>
    <n v="7"/>
    <x v="1"/>
    <n v="3"/>
    <s v="Life Sciences"/>
    <n v="647"/>
    <n v="1"/>
    <x v="0"/>
    <n v="55"/>
    <n v="3"/>
    <n v="1"/>
    <x v="2"/>
    <x v="2"/>
    <x v="1"/>
    <x v="407"/>
    <n v="14168"/>
    <n v="1"/>
    <x v="0"/>
    <n v="16"/>
    <n v="3"/>
    <n v="4"/>
    <x v="1"/>
    <n v="6"/>
    <x v="0"/>
    <n v="4"/>
    <n v="3"/>
    <x v="0"/>
    <n v="3"/>
    <n v="1"/>
    <n v="2"/>
  </r>
  <r>
    <x v="2"/>
    <x v="0"/>
    <x v="1"/>
    <n v="448"/>
    <x v="0"/>
    <n v="12"/>
    <x v="1"/>
    <n v="4"/>
    <s v="Life Sciences"/>
    <n v="648"/>
    <n v="2"/>
    <x v="1"/>
    <n v="74"/>
    <n v="2"/>
    <n v="1"/>
    <x v="6"/>
    <x v="3"/>
    <x v="1"/>
    <x v="462"/>
    <n v="14470"/>
    <n v="1"/>
    <x v="1"/>
    <n v="18"/>
    <n v="3"/>
    <n v="3"/>
    <x v="1"/>
    <n v="1"/>
    <x v="1"/>
    <n v="2"/>
    <n v="4"/>
    <x v="1"/>
    <n v="0"/>
    <n v="0"/>
    <n v="0"/>
  </r>
  <r>
    <x v="2"/>
    <x v="1"/>
    <x v="0"/>
    <n v="254"/>
    <x v="1"/>
    <n v="1"/>
    <x v="0"/>
    <n v="2"/>
    <s v="Life Sciences"/>
    <n v="649"/>
    <n v="2"/>
    <x v="1"/>
    <n v="83"/>
    <n v="2"/>
    <n v="1"/>
    <x v="1"/>
    <x v="0"/>
    <x v="1"/>
    <x v="463"/>
    <n v="22794"/>
    <n v="1"/>
    <x v="0"/>
    <n v="13"/>
    <n v="3"/>
    <n v="4"/>
    <x v="1"/>
    <n v="6"/>
    <x v="0"/>
    <n v="3"/>
    <n v="3"/>
    <x v="0"/>
    <n v="5"/>
    <n v="1"/>
    <n v="3"/>
  </r>
  <r>
    <x v="2"/>
    <x v="0"/>
    <x v="0"/>
    <n v="1365"/>
    <x v="0"/>
    <n v="13"/>
    <x v="1"/>
    <n v="4"/>
    <s v="Medical"/>
    <n v="650"/>
    <n v="2"/>
    <x v="1"/>
    <n v="46"/>
    <n v="3"/>
    <n v="2"/>
    <x v="0"/>
    <x v="3"/>
    <x v="2"/>
    <x v="464"/>
    <n v="11512"/>
    <n v="2"/>
    <x v="1"/>
    <n v="17"/>
    <n v="3"/>
    <n v="3"/>
    <x v="0"/>
    <n v="9"/>
    <x v="0"/>
    <n v="2"/>
    <n v="1"/>
    <x v="2"/>
    <n v="1"/>
    <n v="1"/>
    <n v="2"/>
  </r>
  <r>
    <x v="2"/>
    <x v="1"/>
    <x v="0"/>
    <n v="538"/>
    <x v="1"/>
    <n v="25"/>
    <x v="2"/>
    <n v="2"/>
    <s v="Other"/>
    <n v="652"/>
    <n v="1"/>
    <x v="1"/>
    <n v="54"/>
    <n v="2"/>
    <n v="2"/>
    <x v="2"/>
    <x v="0"/>
    <x v="0"/>
    <x v="465"/>
    <n v="14004"/>
    <n v="4"/>
    <x v="1"/>
    <n v="14"/>
    <n v="3"/>
    <n v="4"/>
    <x v="0"/>
    <n v="9"/>
    <x v="0"/>
    <n v="3"/>
    <n v="3"/>
    <x v="2"/>
    <n v="2"/>
    <n v="0"/>
    <n v="2"/>
  </r>
  <r>
    <x v="2"/>
    <x v="1"/>
    <x v="0"/>
    <n v="525"/>
    <x v="0"/>
    <n v="6"/>
    <x v="1"/>
    <n v="4"/>
    <s v="Medical"/>
    <n v="653"/>
    <n v="1"/>
    <x v="1"/>
    <n v="66"/>
    <n v="4"/>
    <n v="2"/>
    <x v="0"/>
    <x v="0"/>
    <x v="2"/>
    <x v="466"/>
    <n v="6219"/>
    <n v="4"/>
    <x v="1"/>
    <n v="22"/>
    <n v="4"/>
    <n v="4"/>
    <x v="3"/>
    <n v="13"/>
    <x v="0"/>
    <n v="4"/>
    <n v="4"/>
    <x v="0"/>
    <n v="7"/>
    <n v="5"/>
    <n v="7"/>
  </r>
  <r>
    <x v="2"/>
    <x v="1"/>
    <x v="0"/>
    <n v="798"/>
    <x v="1"/>
    <n v="6"/>
    <x v="1"/>
    <n v="4"/>
    <s v="Medical"/>
    <n v="655"/>
    <n v="1"/>
    <x v="0"/>
    <n v="66"/>
    <n v="2"/>
    <n v="1"/>
    <x v="1"/>
    <x v="2"/>
    <x v="2"/>
    <x v="467"/>
    <n v="5013"/>
    <n v="0"/>
    <x v="1"/>
    <n v="12"/>
    <n v="3"/>
    <n v="3"/>
    <x v="3"/>
    <n v="6"/>
    <x v="0"/>
    <n v="5"/>
    <n v="2"/>
    <x v="2"/>
    <n v="3"/>
    <n v="0"/>
    <n v="3"/>
  </r>
  <r>
    <x v="0"/>
    <x v="1"/>
    <x v="0"/>
    <n v="558"/>
    <x v="0"/>
    <n v="2"/>
    <x v="0"/>
    <n v="3"/>
    <s v="Marketing"/>
    <n v="656"/>
    <n v="4"/>
    <x v="1"/>
    <n v="75"/>
    <n v="3"/>
    <n v="2"/>
    <x v="0"/>
    <x v="2"/>
    <x v="1"/>
    <x v="468"/>
    <n v="3010"/>
    <n v="4"/>
    <x v="0"/>
    <n v="11"/>
    <n v="3"/>
    <n v="3"/>
    <x v="1"/>
    <n v="17"/>
    <x v="2"/>
    <n v="3"/>
    <n v="2"/>
    <x v="2"/>
    <n v="0"/>
    <n v="1"/>
    <n v="0"/>
  </r>
  <r>
    <x v="3"/>
    <x v="1"/>
    <x v="0"/>
    <n v="959"/>
    <x v="1"/>
    <n v="1"/>
    <x v="0"/>
    <n v="3"/>
    <s v="Life Sciences"/>
    <n v="657"/>
    <n v="4"/>
    <x v="0"/>
    <n v="83"/>
    <n v="2"/>
    <n v="1"/>
    <x v="1"/>
    <x v="1"/>
    <x v="0"/>
    <x v="469"/>
    <n v="11757"/>
    <n v="1"/>
    <x v="1"/>
    <n v="13"/>
    <n v="3"/>
    <n v="4"/>
    <x v="0"/>
    <n v="1"/>
    <x v="1"/>
    <n v="0"/>
    <n v="4"/>
    <x v="1"/>
    <n v="0"/>
    <n v="0"/>
    <n v="0"/>
  </r>
  <r>
    <x v="0"/>
    <x v="1"/>
    <x v="0"/>
    <n v="622"/>
    <x v="1"/>
    <n v="2"/>
    <x v="0"/>
    <n v="4"/>
    <s v="Life Sciences"/>
    <n v="659"/>
    <n v="3"/>
    <x v="0"/>
    <n v="81"/>
    <n v="3"/>
    <n v="2"/>
    <x v="4"/>
    <x v="0"/>
    <x v="1"/>
    <x v="470"/>
    <n v="5718"/>
    <n v="1"/>
    <x v="1"/>
    <n v="13"/>
    <n v="3"/>
    <n v="2"/>
    <x v="3"/>
    <n v="10"/>
    <x v="0"/>
    <n v="4"/>
    <n v="3"/>
    <x v="0"/>
    <n v="2"/>
    <n v="2"/>
    <n v="2"/>
  </r>
  <r>
    <x v="0"/>
    <x v="1"/>
    <x v="0"/>
    <n v="782"/>
    <x v="1"/>
    <n v="6"/>
    <x v="1"/>
    <n v="4"/>
    <s v="Other"/>
    <n v="661"/>
    <n v="2"/>
    <x v="1"/>
    <n v="50"/>
    <n v="2"/>
    <n v="4"/>
    <x v="7"/>
    <x v="0"/>
    <x v="2"/>
    <x v="471"/>
    <n v="2671"/>
    <n v="4"/>
    <x v="0"/>
    <n v="14"/>
    <n v="3"/>
    <n v="3"/>
    <x v="1"/>
    <n v="21"/>
    <x v="2"/>
    <n v="3"/>
    <n v="2"/>
    <x v="1"/>
    <n v="0"/>
    <n v="0"/>
    <n v="0"/>
  </r>
  <r>
    <x v="0"/>
    <x v="1"/>
    <x v="0"/>
    <n v="362"/>
    <x v="1"/>
    <n v="1"/>
    <x v="0"/>
    <n v="1"/>
    <s v="Life Sciences"/>
    <n v="662"/>
    <n v="3"/>
    <x v="0"/>
    <n v="43"/>
    <n v="3"/>
    <n v="1"/>
    <x v="1"/>
    <x v="3"/>
    <x v="0"/>
    <x v="472"/>
    <n v="14561"/>
    <n v="3"/>
    <x v="1"/>
    <n v="17"/>
    <n v="3"/>
    <n v="4"/>
    <x v="0"/>
    <n v="8"/>
    <x v="0"/>
    <n v="3"/>
    <n v="2"/>
    <x v="1"/>
    <n v="0"/>
    <n v="0"/>
    <n v="0"/>
  </r>
  <r>
    <x v="0"/>
    <x v="1"/>
    <x v="1"/>
    <n v="1001"/>
    <x v="1"/>
    <n v="9"/>
    <x v="1"/>
    <n v="5"/>
    <s v="Medical"/>
    <n v="663"/>
    <n v="4"/>
    <x v="1"/>
    <n v="72"/>
    <n v="3"/>
    <n v="2"/>
    <x v="2"/>
    <x v="2"/>
    <x v="2"/>
    <x v="473"/>
    <n v="19627"/>
    <n v="3"/>
    <x v="0"/>
    <n v="13"/>
    <n v="3"/>
    <n v="2"/>
    <x v="1"/>
    <n v="10"/>
    <x v="0"/>
    <n v="3"/>
    <n v="3"/>
    <x v="0"/>
    <n v="7"/>
    <n v="4"/>
    <n v="7"/>
  </r>
  <r>
    <x v="1"/>
    <x v="1"/>
    <x v="0"/>
    <n v="1236"/>
    <x v="1"/>
    <n v="1"/>
    <x v="0"/>
    <n v="4"/>
    <s v="Life Sciences"/>
    <n v="664"/>
    <n v="4"/>
    <x v="0"/>
    <n v="40"/>
    <n v="2"/>
    <n v="4"/>
    <x v="5"/>
    <x v="3"/>
    <x v="1"/>
    <x v="474"/>
    <n v="17997"/>
    <n v="7"/>
    <x v="1"/>
    <n v="11"/>
    <n v="3"/>
    <n v="1"/>
    <x v="1"/>
    <n v="21"/>
    <x v="2"/>
    <n v="3"/>
    <n v="1"/>
    <x v="2"/>
    <n v="2"/>
    <n v="0"/>
    <n v="2"/>
  </r>
  <r>
    <x v="0"/>
    <x v="1"/>
    <x v="0"/>
    <n v="1112"/>
    <x v="2"/>
    <n v="1"/>
    <x v="0"/>
    <n v="4"/>
    <s v="Life Sciences"/>
    <n v="665"/>
    <n v="1"/>
    <x v="0"/>
    <n v="50"/>
    <n v="2"/>
    <n v="2"/>
    <x v="8"/>
    <x v="2"/>
    <x v="0"/>
    <x v="475"/>
    <n v="26894"/>
    <n v="4"/>
    <x v="1"/>
    <n v="11"/>
    <n v="3"/>
    <n v="2"/>
    <x v="0"/>
    <n v="10"/>
    <x v="0"/>
    <n v="1"/>
    <n v="4"/>
    <x v="1"/>
    <n v="2"/>
    <n v="0"/>
    <n v="2"/>
  </r>
  <r>
    <x v="2"/>
    <x v="1"/>
    <x v="0"/>
    <n v="204"/>
    <x v="0"/>
    <n v="14"/>
    <x v="1"/>
    <n v="3"/>
    <s v="Technical Degree"/>
    <n v="666"/>
    <n v="3"/>
    <x v="0"/>
    <n v="31"/>
    <n v="3"/>
    <n v="1"/>
    <x v="6"/>
    <x v="2"/>
    <x v="2"/>
    <x v="476"/>
    <n v="2912"/>
    <n v="1"/>
    <x v="0"/>
    <n v="18"/>
    <n v="3"/>
    <n v="4"/>
    <x v="3"/>
    <n v="8"/>
    <x v="0"/>
    <n v="3"/>
    <n v="3"/>
    <x v="0"/>
    <n v="2"/>
    <n v="0"/>
    <n v="6"/>
  </r>
  <r>
    <x v="2"/>
    <x v="0"/>
    <x v="0"/>
    <n v="1420"/>
    <x v="0"/>
    <n v="2"/>
    <x v="0"/>
    <n v="1"/>
    <s v="Marketing"/>
    <n v="667"/>
    <n v="3"/>
    <x v="1"/>
    <n v="85"/>
    <n v="3"/>
    <n v="1"/>
    <x v="6"/>
    <x v="3"/>
    <x v="2"/>
    <x v="477"/>
    <n v="16346"/>
    <n v="0"/>
    <x v="1"/>
    <n v="11"/>
    <n v="3"/>
    <n v="2"/>
    <x v="1"/>
    <n v="5"/>
    <x v="1"/>
    <n v="3"/>
    <n v="3"/>
    <x v="2"/>
    <n v="3"/>
    <n v="0"/>
    <n v="2"/>
  </r>
  <r>
    <x v="3"/>
    <x v="1"/>
    <x v="0"/>
    <n v="1343"/>
    <x v="0"/>
    <n v="22"/>
    <x v="2"/>
    <n v="1"/>
    <s v="Technical Degree"/>
    <n v="669"/>
    <n v="3"/>
    <x v="1"/>
    <n v="49"/>
    <n v="3"/>
    <n v="1"/>
    <x v="6"/>
    <x v="2"/>
    <x v="0"/>
    <x v="478"/>
    <n v="24444"/>
    <n v="1"/>
    <x v="1"/>
    <n v="11"/>
    <n v="3"/>
    <n v="3"/>
    <x v="0"/>
    <n v="3"/>
    <x v="1"/>
    <n v="2"/>
    <n v="3"/>
    <x v="2"/>
    <n v="2"/>
    <n v="1"/>
    <n v="2"/>
  </r>
  <r>
    <x v="0"/>
    <x v="1"/>
    <x v="0"/>
    <n v="1315"/>
    <x v="1"/>
    <n v="3"/>
    <x v="0"/>
    <n v="4"/>
    <s v="Other"/>
    <n v="671"/>
    <n v="4"/>
    <x v="1"/>
    <n v="35"/>
    <n v="3"/>
    <n v="5"/>
    <x v="5"/>
    <x v="0"/>
    <x v="1"/>
    <x v="479"/>
    <n v="9358"/>
    <n v="4"/>
    <x v="0"/>
    <n v="12"/>
    <n v="3"/>
    <n v="1"/>
    <x v="1"/>
    <n v="26"/>
    <x v="2"/>
    <n v="2"/>
    <n v="4"/>
    <x v="1"/>
    <n v="2"/>
    <n v="0"/>
    <n v="1"/>
  </r>
  <r>
    <x v="3"/>
    <x v="1"/>
    <x v="0"/>
    <n v="604"/>
    <x v="1"/>
    <n v="6"/>
    <x v="1"/>
    <n v="1"/>
    <s v="Medical"/>
    <n v="675"/>
    <n v="1"/>
    <x v="1"/>
    <n v="69"/>
    <n v="3"/>
    <n v="1"/>
    <x v="1"/>
    <x v="2"/>
    <x v="1"/>
    <x v="480"/>
    <n v="12145"/>
    <n v="0"/>
    <x v="1"/>
    <n v="20"/>
    <n v="4"/>
    <n v="4"/>
    <x v="0"/>
    <n v="3"/>
    <x v="1"/>
    <n v="3"/>
    <n v="3"/>
    <x v="1"/>
    <n v="2"/>
    <n v="2"/>
    <n v="2"/>
  </r>
  <r>
    <x v="2"/>
    <x v="1"/>
    <x v="0"/>
    <n v="1216"/>
    <x v="0"/>
    <n v="8"/>
    <x v="1"/>
    <n v="4"/>
    <s v="Marketing"/>
    <n v="677"/>
    <n v="3"/>
    <x v="1"/>
    <n v="39"/>
    <n v="3"/>
    <n v="2"/>
    <x v="0"/>
    <x v="2"/>
    <x v="2"/>
    <x v="481"/>
    <n v="20431"/>
    <n v="0"/>
    <x v="1"/>
    <n v="12"/>
    <n v="3"/>
    <n v="4"/>
    <x v="0"/>
    <n v="6"/>
    <x v="0"/>
    <n v="3"/>
    <n v="3"/>
    <x v="2"/>
    <n v="0"/>
    <n v="1"/>
    <n v="2"/>
  </r>
  <r>
    <x v="2"/>
    <x v="1"/>
    <x v="0"/>
    <n v="646"/>
    <x v="1"/>
    <n v="9"/>
    <x v="1"/>
    <n v="4"/>
    <s v="Life Sciences"/>
    <n v="679"/>
    <n v="1"/>
    <x v="0"/>
    <n v="92"/>
    <n v="3"/>
    <n v="2"/>
    <x v="1"/>
    <x v="0"/>
    <x v="1"/>
    <x v="482"/>
    <n v="18089"/>
    <n v="1"/>
    <x v="0"/>
    <n v="12"/>
    <n v="3"/>
    <n v="4"/>
    <x v="1"/>
    <n v="6"/>
    <x v="0"/>
    <n v="2"/>
    <n v="2"/>
    <x v="0"/>
    <n v="4"/>
    <n v="0"/>
    <n v="5"/>
  </r>
  <r>
    <x v="2"/>
    <x v="1"/>
    <x v="1"/>
    <n v="160"/>
    <x v="1"/>
    <n v="3"/>
    <x v="0"/>
    <n v="3"/>
    <s v="Medical"/>
    <n v="680"/>
    <n v="3"/>
    <x v="0"/>
    <n v="71"/>
    <n v="3"/>
    <n v="1"/>
    <x v="1"/>
    <x v="2"/>
    <x v="2"/>
    <x v="483"/>
    <n v="22653"/>
    <n v="1"/>
    <x v="1"/>
    <n v="20"/>
    <n v="4"/>
    <n v="3"/>
    <x v="1"/>
    <n v="1"/>
    <x v="1"/>
    <n v="2"/>
    <n v="3"/>
    <x v="1"/>
    <n v="0"/>
    <n v="0"/>
    <n v="0"/>
  </r>
  <r>
    <x v="1"/>
    <x v="1"/>
    <x v="0"/>
    <n v="238"/>
    <x v="0"/>
    <n v="1"/>
    <x v="0"/>
    <n v="1"/>
    <s v="Medical"/>
    <n v="682"/>
    <n v="4"/>
    <x v="0"/>
    <n v="34"/>
    <n v="3"/>
    <n v="2"/>
    <x v="0"/>
    <x v="3"/>
    <x v="0"/>
    <x v="484"/>
    <n v="7507"/>
    <n v="7"/>
    <x v="1"/>
    <n v="20"/>
    <n v="4"/>
    <n v="4"/>
    <x v="0"/>
    <n v="18"/>
    <x v="2"/>
    <n v="2"/>
    <n v="4"/>
    <x v="3"/>
    <n v="7"/>
    <n v="8"/>
    <n v="10"/>
  </r>
  <r>
    <x v="2"/>
    <x v="1"/>
    <x v="0"/>
    <n v="1397"/>
    <x v="1"/>
    <n v="1"/>
    <x v="0"/>
    <n v="5"/>
    <s v="Life Sciences"/>
    <n v="683"/>
    <n v="2"/>
    <x v="1"/>
    <n v="42"/>
    <n v="3"/>
    <n v="1"/>
    <x v="1"/>
    <x v="0"/>
    <x v="1"/>
    <x v="485"/>
    <n v="7660"/>
    <n v="1"/>
    <x v="1"/>
    <n v="12"/>
    <n v="3"/>
    <n v="4"/>
    <x v="1"/>
    <n v="10"/>
    <x v="0"/>
    <n v="4"/>
    <n v="2"/>
    <x v="0"/>
    <n v="9"/>
    <n v="8"/>
    <n v="8"/>
  </r>
  <r>
    <x v="0"/>
    <x v="0"/>
    <x v="1"/>
    <n v="306"/>
    <x v="0"/>
    <n v="26"/>
    <x v="2"/>
    <n v="4"/>
    <s v="Life Sciences"/>
    <n v="684"/>
    <n v="1"/>
    <x v="0"/>
    <n v="100"/>
    <n v="3"/>
    <n v="2"/>
    <x v="0"/>
    <x v="3"/>
    <x v="1"/>
    <x v="486"/>
    <n v="5630"/>
    <n v="2"/>
    <x v="1"/>
    <n v="14"/>
    <n v="3"/>
    <n v="4"/>
    <x v="3"/>
    <n v="5"/>
    <x v="1"/>
    <n v="4"/>
    <n v="3"/>
    <x v="1"/>
    <n v="1"/>
    <n v="0"/>
    <n v="0"/>
  </r>
  <r>
    <x v="2"/>
    <x v="1"/>
    <x v="0"/>
    <n v="991"/>
    <x v="1"/>
    <n v="6"/>
    <x v="1"/>
    <n v="3"/>
    <s v="Life Sciences"/>
    <n v="686"/>
    <n v="3"/>
    <x v="0"/>
    <n v="71"/>
    <n v="3"/>
    <n v="1"/>
    <x v="2"/>
    <x v="0"/>
    <x v="1"/>
    <x v="487"/>
    <n v="17759"/>
    <n v="1"/>
    <x v="0"/>
    <n v="13"/>
    <n v="3"/>
    <n v="3"/>
    <x v="1"/>
    <n v="3"/>
    <x v="1"/>
    <n v="2"/>
    <n v="3"/>
    <x v="2"/>
    <n v="2"/>
    <n v="0"/>
    <n v="2"/>
  </r>
  <r>
    <x v="0"/>
    <x v="1"/>
    <x v="0"/>
    <n v="482"/>
    <x v="1"/>
    <n v="3"/>
    <x v="0"/>
    <n v="3"/>
    <s v="Other"/>
    <n v="689"/>
    <n v="3"/>
    <x v="1"/>
    <n v="36"/>
    <n v="3"/>
    <n v="3"/>
    <x v="3"/>
    <x v="2"/>
    <x v="1"/>
    <x v="488"/>
    <n v="9606"/>
    <n v="1"/>
    <x v="1"/>
    <n v="15"/>
    <n v="3"/>
    <n v="3"/>
    <x v="1"/>
    <n v="10"/>
    <x v="0"/>
    <n v="2"/>
    <n v="3"/>
    <x v="0"/>
    <n v="7"/>
    <n v="7"/>
    <n v="8"/>
  </r>
  <r>
    <x v="2"/>
    <x v="1"/>
    <x v="0"/>
    <n v="1176"/>
    <x v="0"/>
    <n v="3"/>
    <x v="0"/>
    <n v="2"/>
    <s v="Medical"/>
    <n v="690"/>
    <n v="2"/>
    <x v="0"/>
    <n v="62"/>
    <n v="3"/>
    <n v="2"/>
    <x v="0"/>
    <x v="2"/>
    <x v="1"/>
    <x v="489"/>
    <n v="3487"/>
    <n v="1"/>
    <x v="1"/>
    <n v="14"/>
    <n v="3"/>
    <n v="1"/>
    <x v="1"/>
    <n v="6"/>
    <x v="0"/>
    <n v="5"/>
    <n v="2"/>
    <x v="0"/>
    <n v="0"/>
    <n v="1"/>
    <n v="2"/>
  </r>
  <r>
    <x v="2"/>
    <x v="1"/>
    <x v="0"/>
    <n v="1017"/>
    <x v="1"/>
    <n v="6"/>
    <x v="1"/>
    <n v="4"/>
    <s v="Life Sciences"/>
    <n v="691"/>
    <n v="2"/>
    <x v="1"/>
    <n v="82"/>
    <n v="1"/>
    <n v="2"/>
    <x v="1"/>
    <x v="0"/>
    <x v="0"/>
    <x v="490"/>
    <n v="19368"/>
    <n v="1"/>
    <x v="1"/>
    <n v="13"/>
    <n v="3"/>
    <n v="2"/>
    <x v="0"/>
    <n v="17"/>
    <x v="2"/>
    <n v="3"/>
    <n v="3"/>
    <x v="3"/>
    <n v="11"/>
    <n v="11"/>
    <n v="8"/>
  </r>
  <r>
    <x v="2"/>
    <x v="1"/>
    <x v="1"/>
    <n v="1296"/>
    <x v="1"/>
    <n v="6"/>
    <x v="1"/>
    <n v="3"/>
    <s v="Life Sciences"/>
    <n v="692"/>
    <n v="3"/>
    <x v="1"/>
    <n v="30"/>
    <n v="3"/>
    <n v="2"/>
    <x v="4"/>
    <x v="0"/>
    <x v="2"/>
    <x v="491"/>
    <n v="5335"/>
    <n v="3"/>
    <x v="1"/>
    <n v="23"/>
    <n v="4"/>
    <n v="3"/>
    <x v="1"/>
    <n v="15"/>
    <x v="0"/>
    <n v="2"/>
    <n v="1"/>
    <x v="3"/>
    <n v="11"/>
    <n v="4"/>
    <n v="7"/>
  </r>
  <r>
    <x v="1"/>
    <x v="1"/>
    <x v="0"/>
    <n v="397"/>
    <x v="2"/>
    <n v="19"/>
    <x v="2"/>
    <n v="4"/>
    <s v="Medical"/>
    <n v="698"/>
    <n v="3"/>
    <x v="1"/>
    <n v="88"/>
    <n v="3"/>
    <n v="3"/>
    <x v="8"/>
    <x v="1"/>
    <x v="1"/>
    <x v="492"/>
    <n v="6729"/>
    <n v="2"/>
    <x v="1"/>
    <n v="15"/>
    <n v="3"/>
    <n v="3"/>
    <x v="1"/>
    <n v="16"/>
    <x v="2"/>
    <n v="1"/>
    <n v="4"/>
    <x v="0"/>
    <n v="7"/>
    <n v="7"/>
    <n v="1"/>
  </r>
  <r>
    <x v="0"/>
    <x v="1"/>
    <x v="0"/>
    <n v="913"/>
    <x v="1"/>
    <n v="9"/>
    <x v="1"/>
    <n v="2"/>
    <s v="Medical"/>
    <n v="699"/>
    <n v="2"/>
    <x v="1"/>
    <n v="48"/>
    <n v="2"/>
    <n v="2"/>
    <x v="3"/>
    <x v="1"/>
    <x v="2"/>
    <x v="493"/>
    <n v="13934"/>
    <n v="2"/>
    <x v="0"/>
    <n v="11"/>
    <n v="3"/>
    <n v="3"/>
    <x v="1"/>
    <n v="13"/>
    <x v="0"/>
    <n v="2"/>
    <n v="3"/>
    <x v="2"/>
    <n v="2"/>
    <n v="0"/>
    <n v="2"/>
  </r>
  <r>
    <x v="2"/>
    <x v="1"/>
    <x v="0"/>
    <n v="1115"/>
    <x v="1"/>
    <n v="3"/>
    <x v="0"/>
    <n v="4"/>
    <s v="Medical"/>
    <n v="700"/>
    <n v="1"/>
    <x v="1"/>
    <n v="54"/>
    <n v="2"/>
    <n v="1"/>
    <x v="1"/>
    <x v="0"/>
    <x v="0"/>
    <x v="494"/>
    <n v="15174"/>
    <n v="0"/>
    <x v="1"/>
    <n v="13"/>
    <n v="3"/>
    <n v="4"/>
    <x v="0"/>
    <n v="5"/>
    <x v="1"/>
    <n v="0"/>
    <n v="3"/>
    <x v="2"/>
    <n v="2"/>
    <n v="1"/>
    <n v="1"/>
  </r>
  <r>
    <x v="3"/>
    <x v="0"/>
    <x v="0"/>
    <n v="1362"/>
    <x v="1"/>
    <n v="10"/>
    <x v="1"/>
    <n v="1"/>
    <s v="Medical"/>
    <n v="701"/>
    <n v="4"/>
    <x v="1"/>
    <n v="32"/>
    <n v="3"/>
    <n v="1"/>
    <x v="1"/>
    <x v="2"/>
    <x v="0"/>
    <x v="495"/>
    <n v="26999"/>
    <n v="1"/>
    <x v="0"/>
    <n v="11"/>
    <n v="3"/>
    <n v="4"/>
    <x v="0"/>
    <n v="1"/>
    <x v="1"/>
    <n v="5"/>
    <n v="3"/>
    <x v="1"/>
    <n v="0"/>
    <n v="1"/>
    <n v="1"/>
  </r>
  <r>
    <x v="2"/>
    <x v="0"/>
    <x v="1"/>
    <n v="1076"/>
    <x v="1"/>
    <n v="3"/>
    <x v="0"/>
    <n v="3"/>
    <s v="Life Sciences"/>
    <n v="702"/>
    <n v="1"/>
    <x v="1"/>
    <n v="70"/>
    <n v="3"/>
    <n v="1"/>
    <x v="1"/>
    <x v="3"/>
    <x v="0"/>
    <x v="496"/>
    <n v="3164"/>
    <n v="1"/>
    <x v="0"/>
    <n v="11"/>
    <n v="3"/>
    <n v="1"/>
    <x v="0"/>
    <n v="10"/>
    <x v="0"/>
    <n v="3"/>
    <n v="3"/>
    <x v="0"/>
    <n v="8"/>
    <n v="9"/>
    <n v="7"/>
  </r>
  <r>
    <x v="2"/>
    <x v="1"/>
    <x v="2"/>
    <n v="727"/>
    <x v="1"/>
    <n v="3"/>
    <x v="0"/>
    <n v="3"/>
    <s v="Life Sciences"/>
    <n v="704"/>
    <n v="3"/>
    <x v="1"/>
    <n v="41"/>
    <n v="2"/>
    <n v="1"/>
    <x v="2"/>
    <x v="2"/>
    <x v="1"/>
    <x v="497"/>
    <n v="16900"/>
    <n v="1"/>
    <x v="1"/>
    <n v="18"/>
    <n v="3"/>
    <n v="3"/>
    <x v="3"/>
    <n v="1"/>
    <x v="1"/>
    <n v="3"/>
    <n v="3"/>
    <x v="1"/>
    <n v="0"/>
    <n v="0"/>
    <n v="0"/>
  </r>
  <r>
    <x v="3"/>
    <x v="1"/>
    <x v="0"/>
    <n v="885"/>
    <x v="1"/>
    <n v="4"/>
    <x v="0"/>
    <n v="3"/>
    <s v="Medical"/>
    <n v="705"/>
    <n v="1"/>
    <x v="1"/>
    <n v="58"/>
    <n v="4"/>
    <n v="1"/>
    <x v="1"/>
    <x v="3"/>
    <x v="1"/>
    <x v="498"/>
    <n v="8544"/>
    <n v="2"/>
    <x v="1"/>
    <n v="16"/>
    <n v="3"/>
    <n v="1"/>
    <x v="1"/>
    <n v="5"/>
    <x v="1"/>
    <n v="3"/>
    <n v="4"/>
    <x v="2"/>
    <n v="2"/>
    <n v="0"/>
    <n v="2"/>
  </r>
  <r>
    <x v="3"/>
    <x v="1"/>
    <x v="0"/>
    <n v="810"/>
    <x v="0"/>
    <n v="8"/>
    <x v="1"/>
    <n v="3"/>
    <s v="Life Sciences"/>
    <n v="707"/>
    <n v="4"/>
    <x v="1"/>
    <n v="57"/>
    <n v="4"/>
    <n v="2"/>
    <x v="0"/>
    <x v="1"/>
    <x v="1"/>
    <x v="499"/>
    <n v="15678"/>
    <n v="0"/>
    <x v="1"/>
    <n v="22"/>
    <n v="4"/>
    <n v="3"/>
    <x v="1"/>
    <n v="4"/>
    <x v="1"/>
    <n v="4"/>
    <n v="3"/>
    <x v="2"/>
    <n v="2"/>
    <n v="1"/>
    <n v="2"/>
  </r>
  <r>
    <x v="0"/>
    <x v="1"/>
    <x v="0"/>
    <n v="243"/>
    <x v="0"/>
    <n v="7"/>
    <x v="1"/>
    <n v="4"/>
    <s v="Marketing"/>
    <n v="709"/>
    <n v="4"/>
    <x v="0"/>
    <n v="46"/>
    <n v="2"/>
    <n v="2"/>
    <x v="0"/>
    <x v="0"/>
    <x v="0"/>
    <x v="500"/>
    <n v="7791"/>
    <n v="0"/>
    <x v="1"/>
    <n v="20"/>
    <n v="4"/>
    <n v="1"/>
    <x v="0"/>
    <n v="8"/>
    <x v="0"/>
    <n v="2"/>
    <n v="3"/>
    <x v="0"/>
    <n v="7"/>
    <n v="0"/>
    <n v="5"/>
  </r>
  <r>
    <x v="2"/>
    <x v="1"/>
    <x v="1"/>
    <n v="806"/>
    <x v="1"/>
    <n v="1"/>
    <x v="0"/>
    <n v="4"/>
    <s v="Life Sciences"/>
    <n v="710"/>
    <n v="2"/>
    <x v="1"/>
    <n v="76"/>
    <n v="1"/>
    <n v="1"/>
    <x v="1"/>
    <x v="0"/>
    <x v="2"/>
    <x v="143"/>
    <n v="18959"/>
    <n v="1"/>
    <x v="1"/>
    <n v="18"/>
    <n v="3"/>
    <n v="4"/>
    <x v="1"/>
    <n v="10"/>
    <x v="0"/>
    <n v="5"/>
    <n v="3"/>
    <x v="0"/>
    <n v="7"/>
    <n v="2"/>
    <n v="8"/>
  </r>
  <r>
    <x v="1"/>
    <x v="1"/>
    <x v="0"/>
    <n v="817"/>
    <x v="0"/>
    <n v="2"/>
    <x v="0"/>
    <n v="1"/>
    <s v="Marketing"/>
    <n v="712"/>
    <n v="2"/>
    <x v="1"/>
    <n v="56"/>
    <n v="4"/>
    <n v="2"/>
    <x v="0"/>
    <x v="1"/>
    <x v="1"/>
    <x v="501"/>
    <n v="18597"/>
    <n v="3"/>
    <x v="1"/>
    <n v="12"/>
    <n v="3"/>
    <n v="4"/>
    <x v="0"/>
    <n v="12"/>
    <x v="0"/>
    <n v="3"/>
    <n v="3"/>
    <x v="1"/>
    <n v="2"/>
    <n v="2"/>
    <n v="2"/>
  </r>
  <r>
    <x v="2"/>
    <x v="1"/>
    <x v="1"/>
    <n v="1410"/>
    <x v="0"/>
    <n v="3"/>
    <x v="0"/>
    <n v="1"/>
    <s v="Medical"/>
    <n v="714"/>
    <n v="4"/>
    <x v="0"/>
    <n v="71"/>
    <n v="4"/>
    <n v="2"/>
    <x v="0"/>
    <x v="0"/>
    <x v="2"/>
    <x v="502"/>
    <n v="16673"/>
    <n v="1"/>
    <x v="0"/>
    <n v="20"/>
    <n v="4"/>
    <n v="2"/>
    <x v="3"/>
    <n v="6"/>
    <x v="0"/>
    <n v="3"/>
    <n v="3"/>
    <x v="0"/>
    <n v="5"/>
    <n v="0"/>
    <n v="4"/>
  </r>
  <r>
    <x v="0"/>
    <x v="1"/>
    <x v="0"/>
    <n v="1225"/>
    <x v="1"/>
    <n v="10"/>
    <x v="1"/>
    <n v="2"/>
    <s v="Life Sciences"/>
    <n v="715"/>
    <n v="4"/>
    <x v="1"/>
    <n v="80"/>
    <n v="4"/>
    <n v="1"/>
    <x v="1"/>
    <x v="0"/>
    <x v="0"/>
    <x v="503"/>
    <n v="15232"/>
    <n v="3"/>
    <x v="1"/>
    <n v="17"/>
    <n v="3"/>
    <n v="1"/>
    <x v="0"/>
    <n v="4"/>
    <x v="1"/>
    <n v="2"/>
    <n v="3"/>
    <x v="1"/>
    <n v="0"/>
    <n v="0"/>
    <n v="0"/>
  </r>
  <r>
    <x v="1"/>
    <x v="1"/>
    <x v="0"/>
    <n v="1207"/>
    <x v="1"/>
    <n v="28"/>
    <x v="2"/>
    <n v="1"/>
    <s v="Medical"/>
    <n v="716"/>
    <n v="4"/>
    <x v="1"/>
    <n v="74"/>
    <n v="4"/>
    <n v="1"/>
    <x v="2"/>
    <x v="2"/>
    <x v="1"/>
    <x v="504"/>
    <n v="3297"/>
    <n v="1"/>
    <x v="0"/>
    <n v="11"/>
    <n v="3"/>
    <n v="3"/>
    <x v="2"/>
    <n v="20"/>
    <x v="2"/>
    <n v="3"/>
    <n v="3"/>
    <x v="3"/>
    <n v="8"/>
    <n v="3"/>
    <n v="8"/>
  </r>
  <r>
    <x v="2"/>
    <x v="1"/>
    <x v="0"/>
    <n v="1442"/>
    <x v="1"/>
    <n v="9"/>
    <x v="1"/>
    <n v="3"/>
    <s v="Medical"/>
    <n v="717"/>
    <n v="4"/>
    <x v="0"/>
    <n v="46"/>
    <n v="2"/>
    <n v="3"/>
    <x v="4"/>
    <x v="1"/>
    <x v="0"/>
    <x v="505"/>
    <n v="17654"/>
    <n v="1"/>
    <x v="1"/>
    <n v="14"/>
    <n v="3"/>
    <n v="2"/>
    <x v="0"/>
    <n v="9"/>
    <x v="0"/>
    <n v="3"/>
    <n v="4"/>
    <x v="0"/>
    <n v="7"/>
    <n v="7"/>
    <n v="7"/>
  </r>
  <r>
    <x v="3"/>
    <x v="0"/>
    <x v="0"/>
    <n v="693"/>
    <x v="0"/>
    <n v="3"/>
    <x v="0"/>
    <n v="2"/>
    <s v="Life Sciences"/>
    <n v="720"/>
    <n v="1"/>
    <x v="0"/>
    <n v="65"/>
    <n v="3"/>
    <n v="2"/>
    <x v="0"/>
    <x v="2"/>
    <x v="0"/>
    <x v="506"/>
    <n v="24785"/>
    <n v="9"/>
    <x v="1"/>
    <n v="14"/>
    <n v="3"/>
    <n v="1"/>
    <x v="0"/>
    <n v="4"/>
    <x v="1"/>
    <n v="3"/>
    <n v="3"/>
    <x v="1"/>
    <n v="2"/>
    <n v="2"/>
    <n v="0"/>
  </r>
  <r>
    <x v="0"/>
    <x v="1"/>
    <x v="0"/>
    <n v="408"/>
    <x v="1"/>
    <n v="2"/>
    <x v="0"/>
    <n v="4"/>
    <s v="Technical Degree"/>
    <n v="721"/>
    <n v="4"/>
    <x v="0"/>
    <n v="80"/>
    <n v="2"/>
    <n v="2"/>
    <x v="4"/>
    <x v="2"/>
    <x v="0"/>
    <x v="507"/>
    <n v="20978"/>
    <n v="1"/>
    <x v="1"/>
    <n v="11"/>
    <n v="3"/>
    <n v="1"/>
    <x v="0"/>
    <n v="20"/>
    <x v="2"/>
    <n v="4"/>
    <n v="3"/>
    <x v="3"/>
    <n v="7"/>
    <n v="11"/>
    <n v="10"/>
  </r>
  <r>
    <x v="2"/>
    <x v="1"/>
    <x v="0"/>
    <n v="929"/>
    <x v="0"/>
    <n v="10"/>
    <x v="1"/>
    <n v="3"/>
    <s v="Marketing"/>
    <n v="722"/>
    <n v="4"/>
    <x v="1"/>
    <n v="55"/>
    <n v="3"/>
    <n v="2"/>
    <x v="0"/>
    <x v="0"/>
    <x v="0"/>
    <x v="508"/>
    <n v="21703"/>
    <n v="1"/>
    <x v="1"/>
    <n v="12"/>
    <n v="3"/>
    <n v="4"/>
    <x v="0"/>
    <n v="10"/>
    <x v="0"/>
    <n v="2"/>
    <n v="2"/>
    <x v="0"/>
    <n v="7"/>
    <n v="0"/>
    <n v="8"/>
  </r>
  <r>
    <x v="1"/>
    <x v="0"/>
    <x v="1"/>
    <n v="562"/>
    <x v="0"/>
    <n v="8"/>
    <x v="1"/>
    <n v="2"/>
    <s v="Technical Degree"/>
    <n v="723"/>
    <n v="2"/>
    <x v="1"/>
    <n v="50"/>
    <n v="3"/>
    <n v="2"/>
    <x v="0"/>
    <x v="2"/>
    <x v="1"/>
    <x v="509"/>
    <n v="23452"/>
    <n v="3"/>
    <x v="0"/>
    <n v="14"/>
    <n v="3"/>
    <n v="1"/>
    <x v="1"/>
    <n v="18"/>
    <x v="2"/>
    <n v="4"/>
    <n v="3"/>
    <x v="2"/>
    <n v="3"/>
    <n v="1"/>
    <n v="3"/>
  </r>
  <r>
    <x v="0"/>
    <x v="1"/>
    <x v="0"/>
    <n v="827"/>
    <x v="1"/>
    <n v="1"/>
    <x v="0"/>
    <n v="4"/>
    <s v="Life Sciences"/>
    <n v="724"/>
    <n v="2"/>
    <x v="0"/>
    <n v="33"/>
    <n v="4"/>
    <n v="2"/>
    <x v="4"/>
    <x v="0"/>
    <x v="0"/>
    <x v="510"/>
    <n v="19383"/>
    <n v="0"/>
    <x v="1"/>
    <n v="13"/>
    <n v="3"/>
    <n v="3"/>
    <x v="0"/>
    <n v="10"/>
    <x v="0"/>
    <n v="4"/>
    <n v="2"/>
    <x v="0"/>
    <n v="7"/>
    <n v="1"/>
    <n v="8"/>
  </r>
  <r>
    <x v="2"/>
    <x v="1"/>
    <x v="0"/>
    <n v="608"/>
    <x v="1"/>
    <n v="1"/>
    <x v="0"/>
    <n v="2"/>
    <s v="Life Sciences"/>
    <n v="725"/>
    <n v="3"/>
    <x v="0"/>
    <n v="68"/>
    <n v="3"/>
    <n v="3"/>
    <x v="3"/>
    <x v="3"/>
    <x v="1"/>
    <x v="511"/>
    <n v="6009"/>
    <n v="1"/>
    <x v="1"/>
    <n v="11"/>
    <n v="3"/>
    <n v="4"/>
    <x v="0"/>
    <n v="9"/>
    <x v="0"/>
    <n v="3"/>
    <n v="3"/>
    <x v="0"/>
    <n v="7"/>
    <n v="0"/>
    <n v="7"/>
  </r>
  <r>
    <x v="2"/>
    <x v="1"/>
    <x v="0"/>
    <n v="1018"/>
    <x v="1"/>
    <n v="3"/>
    <x v="0"/>
    <n v="2"/>
    <s v="Life Sciences"/>
    <n v="727"/>
    <n v="3"/>
    <x v="0"/>
    <n v="39"/>
    <n v="3"/>
    <n v="3"/>
    <x v="7"/>
    <x v="0"/>
    <x v="0"/>
    <x v="512"/>
    <n v="19373"/>
    <n v="3"/>
    <x v="1"/>
    <n v="15"/>
    <n v="3"/>
    <n v="4"/>
    <x v="0"/>
    <n v="10"/>
    <x v="0"/>
    <n v="6"/>
    <n v="3"/>
    <x v="0"/>
    <n v="7"/>
    <n v="7"/>
    <n v="7"/>
  </r>
  <r>
    <x v="1"/>
    <x v="1"/>
    <x v="0"/>
    <n v="703"/>
    <x v="0"/>
    <n v="14"/>
    <x v="1"/>
    <n v="4"/>
    <s v="Marketing"/>
    <n v="728"/>
    <n v="4"/>
    <x v="1"/>
    <n v="42"/>
    <n v="3"/>
    <n v="2"/>
    <x v="0"/>
    <x v="3"/>
    <x v="0"/>
    <x v="513"/>
    <n v="11825"/>
    <n v="2"/>
    <x v="1"/>
    <n v="12"/>
    <n v="3"/>
    <n v="4"/>
    <x v="0"/>
    <n v="20"/>
    <x v="2"/>
    <n v="2"/>
    <n v="3"/>
    <x v="0"/>
    <n v="7"/>
    <n v="1"/>
    <n v="7"/>
  </r>
  <r>
    <x v="0"/>
    <x v="1"/>
    <x v="1"/>
    <n v="580"/>
    <x v="0"/>
    <n v="5"/>
    <x v="0"/>
    <n v="4"/>
    <s v="Life Sciences"/>
    <n v="729"/>
    <n v="4"/>
    <x v="1"/>
    <n v="48"/>
    <n v="2"/>
    <n v="3"/>
    <x v="0"/>
    <x v="3"/>
    <x v="1"/>
    <x v="514"/>
    <n v="23772"/>
    <n v="5"/>
    <x v="0"/>
    <n v="21"/>
    <n v="4"/>
    <n v="3"/>
    <x v="1"/>
    <n v="20"/>
    <x v="2"/>
    <n v="2"/>
    <n v="3"/>
    <x v="3"/>
    <n v="13"/>
    <n v="1"/>
    <n v="12"/>
  </r>
  <r>
    <x v="1"/>
    <x v="1"/>
    <x v="0"/>
    <n v="970"/>
    <x v="1"/>
    <n v="7"/>
    <x v="1"/>
    <n v="3"/>
    <s v="Life Sciences"/>
    <n v="730"/>
    <n v="3"/>
    <x v="1"/>
    <n v="59"/>
    <n v="4"/>
    <n v="4"/>
    <x v="7"/>
    <x v="2"/>
    <x v="1"/>
    <x v="515"/>
    <n v="13514"/>
    <n v="3"/>
    <x v="1"/>
    <n v="19"/>
    <n v="3"/>
    <n v="3"/>
    <x v="0"/>
    <n v="32"/>
    <x v="2"/>
    <n v="3"/>
    <n v="3"/>
    <x v="2"/>
    <n v="1"/>
    <n v="1"/>
    <n v="3"/>
  </r>
  <r>
    <x v="0"/>
    <x v="1"/>
    <x v="0"/>
    <n v="427"/>
    <x v="2"/>
    <n v="10"/>
    <x v="1"/>
    <n v="4"/>
    <s v="Human Resources"/>
    <n v="731"/>
    <n v="2"/>
    <x v="1"/>
    <n v="73"/>
    <n v="2"/>
    <n v="5"/>
    <x v="5"/>
    <x v="0"/>
    <x v="2"/>
    <x v="516"/>
    <n v="8861"/>
    <n v="3"/>
    <x v="1"/>
    <n v="15"/>
    <n v="3"/>
    <n v="2"/>
    <x v="2"/>
    <n v="23"/>
    <x v="2"/>
    <n v="2"/>
    <n v="2"/>
    <x v="3"/>
    <n v="6"/>
    <n v="12"/>
    <n v="6"/>
  </r>
  <r>
    <x v="1"/>
    <x v="1"/>
    <x v="0"/>
    <n v="1179"/>
    <x v="0"/>
    <n v="16"/>
    <x v="2"/>
    <n v="4"/>
    <s v="Marketing"/>
    <n v="732"/>
    <n v="1"/>
    <x v="1"/>
    <n v="84"/>
    <n v="3"/>
    <n v="2"/>
    <x v="0"/>
    <x v="3"/>
    <x v="0"/>
    <x v="517"/>
    <n v="11924"/>
    <n v="8"/>
    <x v="1"/>
    <n v="14"/>
    <n v="3"/>
    <n v="4"/>
    <x v="0"/>
    <n v="10"/>
    <x v="0"/>
    <n v="1"/>
    <n v="3"/>
    <x v="1"/>
    <n v="2"/>
    <n v="2"/>
    <n v="2"/>
  </r>
  <r>
    <x v="2"/>
    <x v="1"/>
    <x v="1"/>
    <n v="294"/>
    <x v="1"/>
    <n v="10"/>
    <x v="1"/>
    <n v="2"/>
    <s v="Life Sciences"/>
    <n v="733"/>
    <n v="4"/>
    <x v="1"/>
    <n v="32"/>
    <n v="3"/>
    <n v="3"/>
    <x v="3"/>
    <x v="3"/>
    <x v="2"/>
    <x v="518"/>
    <n v="4809"/>
    <n v="1"/>
    <x v="1"/>
    <n v="21"/>
    <n v="4"/>
    <n v="3"/>
    <x v="3"/>
    <n v="9"/>
    <x v="0"/>
    <n v="4"/>
    <n v="2"/>
    <x v="0"/>
    <n v="7"/>
    <n v="1"/>
    <n v="7"/>
  </r>
  <r>
    <x v="0"/>
    <x v="1"/>
    <x v="0"/>
    <n v="314"/>
    <x v="2"/>
    <n v="1"/>
    <x v="0"/>
    <n v="3"/>
    <s v="Human Resources"/>
    <n v="734"/>
    <n v="4"/>
    <x v="1"/>
    <n v="59"/>
    <n v="2"/>
    <n v="5"/>
    <x v="5"/>
    <x v="2"/>
    <x v="1"/>
    <x v="519"/>
    <n v="19562"/>
    <n v="1"/>
    <x v="1"/>
    <n v="12"/>
    <n v="3"/>
    <n v="2"/>
    <x v="1"/>
    <n v="22"/>
    <x v="2"/>
    <n v="3"/>
    <n v="3"/>
    <x v="3"/>
    <n v="7"/>
    <n v="2"/>
    <n v="10"/>
  </r>
  <r>
    <x v="1"/>
    <x v="1"/>
    <x v="0"/>
    <n v="316"/>
    <x v="0"/>
    <n v="8"/>
    <x v="1"/>
    <n v="4"/>
    <s v="Marketing"/>
    <n v="738"/>
    <n v="4"/>
    <x v="1"/>
    <n v="54"/>
    <n v="3"/>
    <n v="1"/>
    <x v="6"/>
    <x v="1"/>
    <x v="1"/>
    <x v="520"/>
    <n v="9983"/>
    <n v="7"/>
    <x v="1"/>
    <n v="15"/>
    <n v="3"/>
    <n v="4"/>
    <x v="1"/>
    <n v="4"/>
    <x v="1"/>
    <n v="2"/>
    <n v="3"/>
    <x v="1"/>
    <n v="2"/>
    <n v="2"/>
    <n v="2"/>
  </r>
  <r>
    <x v="2"/>
    <x v="0"/>
    <x v="0"/>
    <n v="654"/>
    <x v="1"/>
    <n v="1"/>
    <x v="0"/>
    <n v="2"/>
    <s v="Life Sciences"/>
    <n v="741"/>
    <n v="1"/>
    <x v="0"/>
    <n v="67"/>
    <n v="1"/>
    <n v="1"/>
    <x v="1"/>
    <x v="1"/>
    <x v="0"/>
    <x v="521"/>
    <n v="3872"/>
    <n v="7"/>
    <x v="0"/>
    <n v="13"/>
    <n v="3"/>
    <n v="4"/>
    <x v="0"/>
    <n v="10"/>
    <x v="0"/>
    <n v="4"/>
    <n v="3"/>
    <x v="0"/>
    <n v="7"/>
    <n v="3"/>
    <n v="7"/>
  </r>
  <r>
    <x v="0"/>
    <x v="1"/>
    <x v="2"/>
    <n v="427"/>
    <x v="1"/>
    <n v="8"/>
    <x v="1"/>
    <n v="3"/>
    <s v="Life Sciences"/>
    <n v="742"/>
    <n v="1"/>
    <x v="0"/>
    <n v="63"/>
    <n v="4"/>
    <n v="3"/>
    <x v="7"/>
    <x v="3"/>
    <x v="1"/>
    <x v="522"/>
    <n v="20335"/>
    <n v="9"/>
    <x v="1"/>
    <n v="14"/>
    <n v="3"/>
    <n v="1"/>
    <x v="1"/>
    <n v="10"/>
    <x v="0"/>
    <n v="2"/>
    <n v="3"/>
    <x v="0"/>
    <n v="7"/>
    <n v="0"/>
    <n v="5"/>
  </r>
  <r>
    <x v="0"/>
    <x v="1"/>
    <x v="0"/>
    <n v="168"/>
    <x v="1"/>
    <n v="1"/>
    <x v="0"/>
    <n v="3"/>
    <s v="Life Sciences"/>
    <n v="743"/>
    <n v="3"/>
    <x v="0"/>
    <n v="81"/>
    <n v="3"/>
    <n v="3"/>
    <x v="3"/>
    <x v="2"/>
    <x v="0"/>
    <x v="523"/>
    <n v="15397"/>
    <n v="4"/>
    <x v="0"/>
    <n v="14"/>
    <n v="3"/>
    <n v="4"/>
    <x v="0"/>
    <n v="10"/>
    <x v="0"/>
    <n v="4"/>
    <n v="4"/>
    <x v="1"/>
    <n v="0"/>
    <n v="0"/>
    <n v="0"/>
  </r>
  <r>
    <x v="0"/>
    <x v="1"/>
    <x v="2"/>
    <n v="381"/>
    <x v="1"/>
    <n v="24"/>
    <x v="2"/>
    <n v="3"/>
    <s v="Medical"/>
    <n v="744"/>
    <n v="1"/>
    <x v="1"/>
    <n v="49"/>
    <n v="1"/>
    <n v="1"/>
    <x v="2"/>
    <x v="2"/>
    <x v="0"/>
    <x v="524"/>
    <n v="2104"/>
    <n v="2"/>
    <x v="1"/>
    <n v="14"/>
    <n v="3"/>
    <n v="3"/>
    <x v="0"/>
    <n v="9"/>
    <x v="0"/>
    <n v="5"/>
    <n v="3"/>
    <x v="2"/>
    <n v="2"/>
    <n v="1"/>
    <n v="4"/>
  </r>
  <r>
    <x v="1"/>
    <x v="1"/>
    <x v="1"/>
    <n v="217"/>
    <x v="0"/>
    <n v="3"/>
    <x v="0"/>
    <n v="3"/>
    <s v="Medical"/>
    <n v="746"/>
    <n v="4"/>
    <x v="0"/>
    <n v="49"/>
    <n v="3"/>
    <n v="4"/>
    <x v="0"/>
    <x v="2"/>
    <x v="2"/>
    <x v="525"/>
    <n v="10225"/>
    <n v="9"/>
    <x v="0"/>
    <n v="12"/>
    <n v="3"/>
    <n v="4"/>
    <x v="3"/>
    <n v="28"/>
    <x v="2"/>
    <n v="2"/>
    <n v="2"/>
    <x v="3"/>
    <n v="2"/>
    <n v="11"/>
    <n v="13"/>
  </r>
  <r>
    <x v="2"/>
    <x v="1"/>
    <x v="0"/>
    <n v="501"/>
    <x v="0"/>
    <n v="27"/>
    <x v="2"/>
    <n v="5"/>
    <s v="Marketing"/>
    <n v="747"/>
    <n v="3"/>
    <x v="1"/>
    <n v="99"/>
    <n v="3"/>
    <n v="2"/>
    <x v="0"/>
    <x v="0"/>
    <x v="2"/>
    <x v="367"/>
    <n v="25275"/>
    <n v="7"/>
    <x v="1"/>
    <n v="23"/>
    <n v="4"/>
    <n v="4"/>
    <x v="1"/>
    <n v="10"/>
    <x v="0"/>
    <n v="2"/>
    <n v="2"/>
    <x v="0"/>
    <n v="7"/>
    <n v="7"/>
    <n v="7"/>
  </r>
  <r>
    <x v="2"/>
    <x v="1"/>
    <x v="0"/>
    <n v="1396"/>
    <x v="0"/>
    <n v="10"/>
    <x v="1"/>
    <n v="3"/>
    <s v="Life Sciences"/>
    <n v="749"/>
    <n v="3"/>
    <x v="1"/>
    <n v="99"/>
    <n v="3"/>
    <n v="1"/>
    <x v="6"/>
    <x v="2"/>
    <x v="0"/>
    <x v="526"/>
    <n v="2755"/>
    <n v="1"/>
    <x v="1"/>
    <n v="11"/>
    <n v="3"/>
    <n v="3"/>
    <x v="0"/>
    <n v="1"/>
    <x v="1"/>
    <n v="6"/>
    <n v="3"/>
    <x v="1"/>
    <n v="0"/>
    <n v="0"/>
    <n v="0"/>
  </r>
  <r>
    <x v="0"/>
    <x v="0"/>
    <x v="1"/>
    <n v="933"/>
    <x v="1"/>
    <n v="19"/>
    <x v="2"/>
    <n v="3"/>
    <s v="Medical"/>
    <n v="752"/>
    <n v="3"/>
    <x v="1"/>
    <n v="57"/>
    <n v="4"/>
    <n v="1"/>
    <x v="1"/>
    <x v="2"/>
    <x v="2"/>
    <x v="527"/>
    <n v="20366"/>
    <n v="6"/>
    <x v="0"/>
    <n v="12"/>
    <n v="3"/>
    <n v="4"/>
    <x v="0"/>
    <n v="7"/>
    <x v="0"/>
    <n v="2"/>
    <n v="3"/>
    <x v="1"/>
    <n v="2"/>
    <n v="2"/>
    <n v="2"/>
  </r>
  <r>
    <x v="0"/>
    <x v="1"/>
    <x v="1"/>
    <n v="775"/>
    <x v="0"/>
    <n v="15"/>
    <x v="1"/>
    <n v="3"/>
    <s v="Life Sciences"/>
    <n v="754"/>
    <n v="4"/>
    <x v="1"/>
    <n v="47"/>
    <n v="2"/>
    <n v="2"/>
    <x v="0"/>
    <x v="0"/>
    <x v="1"/>
    <x v="197"/>
    <n v="23683"/>
    <n v="3"/>
    <x v="1"/>
    <n v="18"/>
    <n v="3"/>
    <n v="3"/>
    <x v="1"/>
    <n v="7"/>
    <x v="0"/>
    <n v="5"/>
    <n v="3"/>
    <x v="1"/>
    <n v="2"/>
    <n v="2"/>
    <n v="2"/>
  </r>
  <r>
    <x v="2"/>
    <x v="1"/>
    <x v="0"/>
    <n v="970"/>
    <x v="1"/>
    <n v="8"/>
    <x v="1"/>
    <n v="2"/>
    <s v="Medical"/>
    <n v="757"/>
    <n v="2"/>
    <x v="0"/>
    <n v="96"/>
    <n v="3"/>
    <n v="2"/>
    <x v="4"/>
    <x v="2"/>
    <x v="0"/>
    <x v="528"/>
    <n v="7360"/>
    <n v="3"/>
    <x v="1"/>
    <n v="11"/>
    <n v="3"/>
    <n v="4"/>
    <x v="0"/>
    <n v="10"/>
    <x v="0"/>
    <n v="2"/>
    <n v="3"/>
    <x v="2"/>
    <n v="1"/>
    <n v="4"/>
    <n v="3"/>
  </r>
  <r>
    <x v="3"/>
    <x v="1"/>
    <x v="0"/>
    <n v="650"/>
    <x v="1"/>
    <n v="9"/>
    <x v="1"/>
    <n v="1"/>
    <s v="Medical"/>
    <n v="758"/>
    <n v="2"/>
    <x v="1"/>
    <n v="37"/>
    <n v="3"/>
    <n v="1"/>
    <x v="2"/>
    <x v="3"/>
    <x v="1"/>
    <x v="172"/>
    <n v="4344"/>
    <n v="1"/>
    <x v="1"/>
    <n v="14"/>
    <n v="3"/>
    <n v="4"/>
    <x v="1"/>
    <n v="5"/>
    <x v="1"/>
    <n v="2"/>
    <n v="4"/>
    <x v="2"/>
    <n v="3"/>
    <n v="0"/>
    <n v="2"/>
  </r>
  <r>
    <x v="0"/>
    <x v="1"/>
    <x v="0"/>
    <n v="141"/>
    <x v="2"/>
    <n v="3"/>
    <x v="0"/>
    <n v="3"/>
    <s v="Human Resources"/>
    <n v="760"/>
    <n v="3"/>
    <x v="0"/>
    <n v="44"/>
    <n v="4"/>
    <n v="2"/>
    <x v="8"/>
    <x v="1"/>
    <x v="1"/>
    <x v="529"/>
    <n v="18767"/>
    <n v="9"/>
    <x v="1"/>
    <n v="15"/>
    <n v="3"/>
    <n v="3"/>
    <x v="1"/>
    <n v="12"/>
    <x v="0"/>
    <n v="3"/>
    <n v="1"/>
    <x v="0"/>
    <n v="3"/>
    <n v="3"/>
    <n v="6"/>
  </r>
  <r>
    <x v="1"/>
    <x v="1"/>
    <x v="0"/>
    <n v="832"/>
    <x v="1"/>
    <n v="9"/>
    <x v="1"/>
    <n v="3"/>
    <s v="Medical"/>
    <n v="762"/>
    <n v="3"/>
    <x v="1"/>
    <n v="81"/>
    <n v="3"/>
    <n v="4"/>
    <x v="4"/>
    <x v="0"/>
    <x v="1"/>
    <x v="530"/>
    <n v="20420"/>
    <n v="7"/>
    <x v="1"/>
    <n v="11"/>
    <n v="3"/>
    <n v="3"/>
    <x v="0"/>
    <n v="30"/>
    <x v="2"/>
    <n v="1"/>
    <n v="2"/>
    <x v="0"/>
    <n v="7"/>
    <n v="1"/>
    <n v="1"/>
  </r>
  <r>
    <x v="0"/>
    <x v="1"/>
    <x v="0"/>
    <n v="804"/>
    <x v="1"/>
    <n v="2"/>
    <x v="0"/>
    <n v="1"/>
    <s v="Medical"/>
    <n v="763"/>
    <n v="4"/>
    <x v="0"/>
    <n v="86"/>
    <n v="2"/>
    <n v="1"/>
    <x v="1"/>
    <x v="0"/>
    <x v="0"/>
    <x v="531"/>
    <n v="22929"/>
    <n v="0"/>
    <x v="0"/>
    <n v="20"/>
    <n v="4"/>
    <n v="4"/>
    <x v="0"/>
    <n v="5"/>
    <x v="1"/>
    <n v="2"/>
    <n v="2"/>
    <x v="2"/>
    <n v="2"/>
    <n v="2"/>
    <n v="3"/>
  </r>
  <r>
    <x v="2"/>
    <x v="1"/>
    <x v="0"/>
    <n v="975"/>
    <x v="1"/>
    <n v="7"/>
    <x v="1"/>
    <n v="3"/>
    <s v="Medical"/>
    <n v="764"/>
    <n v="4"/>
    <x v="0"/>
    <n v="55"/>
    <n v="2"/>
    <n v="2"/>
    <x v="4"/>
    <x v="3"/>
    <x v="0"/>
    <x v="445"/>
    <n v="23398"/>
    <n v="8"/>
    <x v="1"/>
    <n v="19"/>
    <n v="3"/>
    <n v="1"/>
    <x v="0"/>
    <n v="9"/>
    <x v="0"/>
    <n v="2"/>
    <n v="1"/>
    <x v="0"/>
    <n v="6"/>
    <n v="0"/>
    <n v="7"/>
  </r>
  <r>
    <x v="2"/>
    <x v="1"/>
    <x v="0"/>
    <n v="1090"/>
    <x v="0"/>
    <n v="10"/>
    <x v="1"/>
    <n v="3"/>
    <s v="Marketing"/>
    <n v="766"/>
    <n v="4"/>
    <x v="1"/>
    <n v="83"/>
    <n v="3"/>
    <n v="1"/>
    <x v="6"/>
    <x v="1"/>
    <x v="2"/>
    <x v="532"/>
    <n v="17967"/>
    <n v="1"/>
    <x v="1"/>
    <n v="14"/>
    <n v="3"/>
    <n v="4"/>
    <x v="3"/>
    <n v="2"/>
    <x v="1"/>
    <n v="2"/>
    <n v="3"/>
    <x v="1"/>
    <n v="2"/>
    <n v="2"/>
    <n v="2"/>
  </r>
  <r>
    <x v="1"/>
    <x v="1"/>
    <x v="0"/>
    <n v="346"/>
    <x v="1"/>
    <n v="6"/>
    <x v="1"/>
    <n v="3"/>
    <s v="Life Sciences"/>
    <n v="769"/>
    <n v="4"/>
    <x v="1"/>
    <n v="86"/>
    <n v="3"/>
    <n v="2"/>
    <x v="2"/>
    <x v="0"/>
    <x v="0"/>
    <x v="533"/>
    <n v="10919"/>
    <n v="2"/>
    <x v="1"/>
    <n v="17"/>
    <n v="3"/>
    <n v="4"/>
    <x v="0"/>
    <n v="19"/>
    <x v="2"/>
    <n v="4"/>
    <n v="3"/>
    <x v="1"/>
    <n v="2"/>
    <n v="2"/>
    <n v="2"/>
  </r>
  <r>
    <x v="2"/>
    <x v="1"/>
    <x v="2"/>
    <n v="1225"/>
    <x v="1"/>
    <n v="2"/>
    <x v="0"/>
    <n v="4"/>
    <s v="Life Sciences"/>
    <n v="771"/>
    <n v="4"/>
    <x v="0"/>
    <n v="61"/>
    <n v="3"/>
    <n v="2"/>
    <x v="4"/>
    <x v="3"/>
    <x v="2"/>
    <x v="534"/>
    <n v="4761"/>
    <n v="2"/>
    <x v="1"/>
    <n v="11"/>
    <n v="3"/>
    <n v="1"/>
    <x v="1"/>
    <n v="16"/>
    <x v="2"/>
    <n v="2"/>
    <n v="4"/>
    <x v="1"/>
    <n v="0"/>
    <n v="0"/>
    <n v="0"/>
  </r>
  <r>
    <x v="2"/>
    <x v="1"/>
    <x v="1"/>
    <n v="430"/>
    <x v="1"/>
    <n v="24"/>
    <x v="2"/>
    <n v="4"/>
    <s v="Life Sciences"/>
    <n v="772"/>
    <n v="1"/>
    <x v="1"/>
    <n v="80"/>
    <n v="3"/>
    <n v="2"/>
    <x v="2"/>
    <x v="0"/>
    <x v="1"/>
    <x v="535"/>
    <n v="21146"/>
    <n v="1"/>
    <x v="1"/>
    <n v="15"/>
    <n v="3"/>
    <n v="4"/>
    <x v="3"/>
    <n v="10"/>
    <x v="0"/>
    <n v="2"/>
    <n v="3"/>
    <x v="0"/>
    <n v="8"/>
    <n v="4"/>
    <n v="7"/>
  </r>
  <r>
    <x v="0"/>
    <x v="1"/>
    <x v="0"/>
    <n v="268"/>
    <x v="1"/>
    <n v="2"/>
    <x v="0"/>
    <n v="5"/>
    <s v="Medical"/>
    <n v="773"/>
    <n v="4"/>
    <x v="1"/>
    <n v="92"/>
    <n v="3"/>
    <n v="1"/>
    <x v="1"/>
    <x v="2"/>
    <x v="1"/>
    <x v="536"/>
    <n v="20471"/>
    <n v="6"/>
    <x v="0"/>
    <n v="13"/>
    <n v="3"/>
    <n v="2"/>
    <x v="1"/>
    <n v="6"/>
    <x v="0"/>
    <n v="0"/>
    <n v="1"/>
    <x v="1"/>
    <n v="0"/>
    <n v="0"/>
    <n v="1"/>
  </r>
  <r>
    <x v="2"/>
    <x v="1"/>
    <x v="0"/>
    <n v="167"/>
    <x v="1"/>
    <n v="8"/>
    <x v="1"/>
    <n v="5"/>
    <s v="Life Sciences"/>
    <n v="775"/>
    <n v="2"/>
    <x v="0"/>
    <n v="32"/>
    <n v="3"/>
    <n v="2"/>
    <x v="3"/>
    <x v="3"/>
    <x v="2"/>
    <x v="537"/>
    <n v="4187"/>
    <n v="3"/>
    <x v="1"/>
    <n v="14"/>
    <n v="3"/>
    <n v="3"/>
    <x v="1"/>
    <n v="7"/>
    <x v="0"/>
    <n v="3"/>
    <n v="3"/>
    <x v="1"/>
    <n v="0"/>
    <n v="0"/>
    <n v="0"/>
  </r>
  <r>
    <x v="1"/>
    <x v="1"/>
    <x v="0"/>
    <n v="621"/>
    <x v="0"/>
    <n v="3"/>
    <x v="0"/>
    <n v="4"/>
    <s v="Marketing"/>
    <n v="776"/>
    <n v="3"/>
    <x v="1"/>
    <n v="31"/>
    <n v="2"/>
    <n v="4"/>
    <x v="5"/>
    <x v="3"/>
    <x v="1"/>
    <x v="538"/>
    <n v="10084"/>
    <n v="1"/>
    <x v="1"/>
    <n v="11"/>
    <n v="3"/>
    <n v="1"/>
    <x v="0"/>
    <n v="34"/>
    <x v="2"/>
    <n v="3"/>
    <n v="4"/>
    <x v="3"/>
    <n v="6"/>
    <n v="1"/>
    <n v="16"/>
  </r>
  <r>
    <x v="2"/>
    <x v="0"/>
    <x v="0"/>
    <n v="527"/>
    <x v="1"/>
    <n v="1"/>
    <x v="0"/>
    <n v="4"/>
    <s v="Other"/>
    <n v="780"/>
    <n v="4"/>
    <x v="1"/>
    <n v="63"/>
    <n v="3"/>
    <n v="1"/>
    <x v="1"/>
    <x v="0"/>
    <x v="0"/>
    <x v="539"/>
    <n v="5207"/>
    <n v="1"/>
    <x v="0"/>
    <n v="13"/>
    <n v="3"/>
    <n v="3"/>
    <x v="0"/>
    <n v="10"/>
    <x v="0"/>
    <n v="2"/>
    <n v="2"/>
    <x v="0"/>
    <n v="9"/>
    <n v="7"/>
    <n v="8"/>
  </r>
  <r>
    <x v="3"/>
    <x v="1"/>
    <x v="0"/>
    <n v="883"/>
    <x v="0"/>
    <n v="26"/>
    <x v="2"/>
    <n v="1"/>
    <s v="Medical"/>
    <n v="781"/>
    <n v="3"/>
    <x v="0"/>
    <n v="32"/>
    <n v="3"/>
    <n v="2"/>
    <x v="0"/>
    <x v="0"/>
    <x v="0"/>
    <x v="540"/>
    <n v="22807"/>
    <n v="1"/>
    <x v="1"/>
    <n v="23"/>
    <n v="4"/>
    <n v="2"/>
    <x v="0"/>
    <n v="6"/>
    <x v="0"/>
    <n v="5"/>
    <n v="2"/>
    <x v="0"/>
    <n v="5"/>
    <n v="1"/>
    <n v="4"/>
  </r>
  <r>
    <x v="0"/>
    <x v="1"/>
    <x v="0"/>
    <n v="954"/>
    <x v="0"/>
    <n v="2"/>
    <x v="0"/>
    <n v="2"/>
    <s v="Technical Degree"/>
    <n v="783"/>
    <n v="2"/>
    <x v="1"/>
    <n v="46"/>
    <n v="1"/>
    <n v="2"/>
    <x v="6"/>
    <x v="2"/>
    <x v="0"/>
    <x v="541"/>
    <n v="12388"/>
    <n v="0"/>
    <x v="1"/>
    <n v="13"/>
    <n v="3"/>
    <n v="1"/>
    <x v="0"/>
    <n v="9"/>
    <x v="0"/>
    <n v="3"/>
    <n v="3"/>
    <x v="0"/>
    <n v="7"/>
    <n v="3"/>
    <n v="1"/>
  </r>
  <r>
    <x v="3"/>
    <x v="1"/>
    <x v="0"/>
    <n v="310"/>
    <x v="1"/>
    <n v="10"/>
    <x v="1"/>
    <n v="1"/>
    <s v="Medical"/>
    <n v="784"/>
    <n v="1"/>
    <x v="1"/>
    <n v="79"/>
    <n v="4"/>
    <n v="1"/>
    <x v="1"/>
    <x v="2"/>
    <x v="0"/>
    <x v="542"/>
    <n v="19630"/>
    <n v="1"/>
    <x v="1"/>
    <n v="18"/>
    <n v="3"/>
    <n v="4"/>
    <x v="0"/>
    <n v="2"/>
    <x v="1"/>
    <n v="3"/>
    <n v="3"/>
    <x v="1"/>
    <n v="2"/>
    <n v="0"/>
    <n v="2"/>
  </r>
  <r>
    <x v="1"/>
    <x v="0"/>
    <x v="1"/>
    <n v="719"/>
    <x v="0"/>
    <n v="27"/>
    <x v="2"/>
    <n v="2"/>
    <s v="Life Sciences"/>
    <n v="785"/>
    <n v="2"/>
    <x v="0"/>
    <n v="77"/>
    <n v="4"/>
    <n v="2"/>
    <x v="0"/>
    <x v="2"/>
    <x v="0"/>
    <x v="271"/>
    <n v="10339"/>
    <n v="4"/>
    <x v="0"/>
    <n v="12"/>
    <n v="3"/>
    <n v="4"/>
    <x v="0"/>
    <n v="8"/>
    <x v="0"/>
    <n v="2"/>
    <n v="3"/>
    <x v="2"/>
    <n v="4"/>
    <n v="1"/>
    <n v="3"/>
  </r>
  <r>
    <x v="2"/>
    <x v="1"/>
    <x v="0"/>
    <n v="304"/>
    <x v="0"/>
    <n v="2"/>
    <x v="0"/>
    <n v="3"/>
    <s v="Other"/>
    <n v="786"/>
    <n v="4"/>
    <x v="1"/>
    <n v="60"/>
    <n v="3"/>
    <n v="2"/>
    <x v="0"/>
    <x v="0"/>
    <x v="0"/>
    <x v="543"/>
    <n v="18686"/>
    <n v="1"/>
    <x v="1"/>
    <n v="22"/>
    <n v="4"/>
    <n v="3"/>
    <x v="0"/>
    <n v="6"/>
    <x v="0"/>
    <n v="5"/>
    <n v="3"/>
    <x v="0"/>
    <n v="5"/>
    <n v="1"/>
    <n v="4"/>
  </r>
  <r>
    <x v="1"/>
    <x v="0"/>
    <x v="0"/>
    <n v="725"/>
    <x v="1"/>
    <n v="2"/>
    <x v="0"/>
    <n v="3"/>
    <s v="Medical"/>
    <n v="787"/>
    <n v="4"/>
    <x v="1"/>
    <n v="78"/>
    <n v="3"/>
    <n v="5"/>
    <x v="5"/>
    <x v="3"/>
    <x v="1"/>
    <x v="544"/>
    <n v="21199"/>
    <n v="5"/>
    <x v="0"/>
    <n v="13"/>
    <n v="3"/>
    <n v="4"/>
    <x v="1"/>
    <n v="24"/>
    <x v="2"/>
    <n v="2"/>
    <n v="3"/>
    <x v="2"/>
    <n v="2"/>
    <n v="1"/>
    <n v="4"/>
  </r>
  <r>
    <x v="0"/>
    <x v="1"/>
    <x v="2"/>
    <n v="1434"/>
    <x v="0"/>
    <n v="8"/>
    <x v="1"/>
    <n v="4"/>
    <s v="Life Sciences"/>
    <n v="789"/>
    <n v="1"/>
    <x v="1"/>
    <n v="76"/>
    <n v="2"/>
    <n v="3"/>
    <x v="0"/>
    <x v="3"/>
    <x v="0"/>
    <x v="545"/>
    <n v="14229"/>
    <n v="1"/>
    <x v="1"/>
    <n v="15"/>
    <n v="3"/>
    <n v="2"/>
    <x v="0"/>
    <n v="10"/>
    <x v="0"/>
    <n v="1"/>
    <n v="3"/>
    <x v="0"/>
    <n v="7"/>
    <n v="0"/>
    <n v="9"/>
  </r>
  <r>
    <x v="1"/>
    <x v="1"/>
    <x v="2"/>
    <n v="715"/>
    <x v="1"/>
    <n v="19"/>
    <x v="2"/>
    <n v="4"/>
    <s v="Medical"/>
    <n v="791"/>
    <n v="4"/>
    <x v="1"/>
    <n v="41"/>
    <n v="3"/>
    <n v="1"/>
    <x v="1"/>
    <x v="0"/>
    <x v="1"/>
    <x v="546"/>
    <n v="26589"/>
    <n v="0"/>
    <x v="1"/>
    <n v="18"/>
    <n v="3"/>
    <n v="1"/>
    <x v="1"/>
    <n v="5"/>
    <x v="1"/>
    <n v="3"/>
    <n v="3"/>
    <x v="2"/>
    <n v="3"/>
    <n v="1"/>
    <n v="2"/>
  </r>
  <r>
    <x v="2"/>
    <x v="1"/>
    <x v="1"/>
    <n v="575"/>
    <x v="1"/>
    <n v="1"/>
    <x v="0"/>
    <n v="2"/>
    <s v="Life Sciences"/>
    <n v="792"/>
    <n v="1"/>
    <x v="0"/>
    <n v="71"/>
    <n v="1"/>
    <n v="1"/>
    <x v="2"/>
    <x v="0"/>
    <x v="2"/>
    <x v="547"/>
    <n v="5288"/>
    <n v="3"/>
    <x v="1"/>
    <n v="14"/>
    <n v="3"/>
    <n v="1"/>
    <x v="1"/>
    <n v="5"/>
    <x v="1"/>
    <n v="2"/>
    <n v="3"/>
    <x v="1"/>
    <n v="2"/>
    <n v="2"/>
    <n v="0"/>
  </r>
  <r>
    <x v="2"/>
    <x v="1"/>
    <x v="0"/>
    <n v="657"/>
    <x v="1"/>
    <n v="27"/>
    <x v="2"/>
    <n v="3"/>
    <s v="Medical"/>
    <n v="793"/>
    <n v="2"/>
    <x v="0"/>
    <n v="66"/>
    <n v="3"/>
    <n v="2"/>
    <x v="4"/>
    <x v="2"/>
    <x v="1"/>
    <x v="548"/>
    <n v="25549"/>
    <n v="4"/>
    <x v="1"/>
    <n v="12"/>
    <n v="3"/>
    <n v="1"/>
    <x v="1"/>
    <n v="11"/>
    <x v="0"/>
    <n v="3"/>
    <n v="2"/>
    <x v="0"/>
    <n v="7"/>
    <n v="1"/>
    <n v="1"/>
  </r>
  <r>
    <x v="2"/>
    <x v="0"/>
    <x v="0"/>
    <n v="1146"/>
    <x v="0"/>
    <n v="8"/>
    <x v="1"/>
    <n v="3"/>
    <s v="Technical Degree"/>
    <n v="796"/>
    <n v="4"/>
    <x v="1"/>
    <n v="38"/>
    <n v="2"/>
    <n v="2"/>
    <x v="0"/>
    <x v="3"/>
    <x v="0"/>
    <x v="549"/>
    <n v="3064"/>
    <n v="6"/>
    <x v="1"/>
    <n v="17"/>
    <n v="3"/>
    <n v="3"/>
    <x v="0"/>
    <n v="6"/>
    <x v="0"/>
    <n v="2"/>
    <n v="2"/>
    <x v="2"/>
    <n v="3"/>
    <n v="1"/>
    <n v="2"/>
  </r>
  <r>
    <x v="2"/>
    <x v="1"/>
    <x v="0"/>
    <n v="182"/>
    <x v="1"/>
    <n v="1"/>
    <x v="0"/>
    <n v="4"/>
    <s v="Life Sciences"/>
    <n v="797"/>
    <n v="2"/>
    <x v="0"/>
    <n v="72"/>
    <n v="4"/>
    <n v="1"/>
    <x v="1"/>
    <x v="0"/>
    <x v="0"/>
    <x v="550"/>
    <n v="13551"/>
    <n v="2"/>
    <x v="1"/>
    <n v="16"/>
    <n v="3"/>
    <n v="3"/>
    <x v="0"/>
    <n v="10"/>
    <x v="0"/>
    <n v="2"/>
    <n v="3"/>
    <x v="2"/>
    <n v="2"/>
    <n v="1"/>
    <n v="3"/>
  </r>
  <r>
    <x v="1"/>
    <x v="1"/>
    <x v="0"/>
    <n v="376"/>
    <x v="1"/>
    <n v="19"/>
    <x v="2"/>
    <n v="4"/>
    <s v="Medical"/>
    <n v="799"/>
    <n v="4"/>
    <x v="0"/>
    <n v="95"/>
    <n v="3"/>
    <n v="2"/>
    <x v="3"/>
    <x v="3"/>
    <x v="2"/>
    <x v="551"/>
    <n v="22670"/>
    <n v="9"/>
    <x v="0"/>
    <n v="11"/>
    <n v="3"/>
    <n v="2"/>
    <x v="3"/>
    <n v="9"/>
    <x v="0"/>
    <n v="4"/>
    <n v="3"/>
    <x v="2"/>
    <n v="3"/>
    <n v="1"/>
    <n v="4"/>
  </r>
  <r>
    <x v="2"/>
    <x v="1"/>
    <x v="1"/>
    <n v="829"/>
    <x v="0"/>
    <n v="8"/>
    <x v="1"/>
    <n v="1"/>
    <s v="Marketing"/>
    <n v="800"/>
    <n v="3"/>
    <x v="1"/>
    <n v="84"/>
    <n v="3"/>
    <n v="2"/>
    <x v="0"/>
    <x v="0"/>
    <x v="1"/>
    <x v="552"/>
    <n v="24008"/>
    <n v="0"/>
    <x v="1"/>
    <n v="19"/>
    <n v="3"/>
    <n v="2"/>
    <x v="1"/>
    <n v="5"/>
    <x v="1"/>
    <n v="3"/>
    <n v="3"/>
    <x v="2"/>
    <n v="2"/>
    <n v="1"/>
    <n v="1"/>
  </r>
  <r>
    <x v="0"/>
    <x v="1"/>
    <x v="0"/>
    <n v="571"/>
    <x v="1"/>
    <n v="10"/>
    <x v="1"/>
    <n v="1"/>
    <s v="Life Sciences"/>
    <n v="802"/>
    <n v="4"/>
    <x v="0"/>
    <n v="82"/>
    <n v="3"/>
    <n v="1"/>
    <x v="1"/>
    <x v="3"/>
    <x v="2"/>
    <x v="553"/>
    <n v="19905"/>
    <n v="0"/>
    <x v="0"/>
    <n v="13"/>
    <n v="3"/>
    <n v="2"/>
    <x v="3"/>
    <n v="6"/>
    <x v="0"/>
    <n v="3"/>
    <n v="2"/>
    <x v="2"/>
    <n v="3"/>
    <n v="4"/>
    <n v="3"/>
  </r>
  <r>
    <x v="0"/>
    <x v="1"/>
    <x v="1"/>
    <n v="240"/>
    <x v="1"/>
    <n v="2"/>
    <x v="0"/>
    <n v="4"/>
    <s v="Life Sciences"/>
    <n v="803"/>
    <n v="1"/>
    <x v="0"/>
    <n v="75"/>
    <n v="4"/>
    <n v="2"/>
    <x v="3"/>
    <x v="3"/>
    <x v="0"/>
    <x v="554"/>
    <n v="26085"/>
    <n v="6"/>
    <x v="0"/>
    <n v="12"/>
    <n v="3"/>
    <n v="4"/>
    <x v="0"/>
    <n v="17"/>
    <x v="2"/>
    <n v="2"/>
    <n v="3"/>
    <x v="3"/>
    <n v="7"/>
    <n v="4"/>
    <n v="12"/>
  </r>
  <r>
    <x v="2"/>
    <x v="1"/>
    <x v="0"/>
    <n v="121"/>
    <x v="1"/>
    <n v="2"/>
    <x v="0"/>
    <n v="4"/>
    <s v="Medical"/>
    <n v="804"/>
    <n v="3"/>
    <x v="0"/>
    <n v="86"/>
    <n v="2"/>
    <n v="1"/>
    <x v="1"/>
    <x v="3"/>
    <x v="0"/>
    <x v="555"/>
    <n v="7530"/>
    <n v="1"/>
    <x v="1"/>
    <n v="11"/>
    <n v="3"/>
    <n v="3"/>
    <x v="0"/>
    <n v="6"/>
    <x v="0"/>
    <n v="3"/>
    <n v="3"/>
    <x v="0"/>
    <n v="5"/>
    <n v="1"/>
    <n v="3"/>
  </r>
  <r>
    <x v="2"/>
    <x v="1"/>
    <x v="0"/>
    <n v="384"/>
    <x v="0"/>
    <n v="8"/>
    <x v="1"/>
    <n v="4"/>
    <s v="Life Sciences"/>
    <n v="805"/>
    <n v="1"/>
    <x v="0"/>
    <n v="72"/>
    <n v="3"/>
    <n v="1"/>
    <x v="6"/>
    <x v="0"/>
    <x v="1"/>
    <x v="556"/>
    <n v="20317"/>
    <n v="1"/>
    <x v="1"/>
    <n v="16"/>
    <n v="3"/>
    <n v="2"/>
    <x v="1"/>
    <n v="3"/>
    <x v="1"/>
    <n v="1"/>
    <n v="2"/>
    <x v="2"/>
    <n v="2"/>
    <n v="0"/>
    <n v="2"/>
  </r>
  <r>
    <x v="2"/>
    <x v="1"/>
    <x v="0"/>
    <n v="921"/>
    <x v="1"/>
    <n v="1"/>
    <x v="0"/>
    <n v="3"/>
    <s v="Life Sciences"/>
    <n v="806"/>
    <n v="4"/>
    <x v="1"/>
    <n v="38"/>
    <n v="1"/>
    <n v="1"/>
    <x v="2"/>
    <x v="2"/>
    <x v="1"/>
    <x v="557"/>
    <n v="24375"/>
    <n v="3"/>
    <x v="1"/>
    <n v="21"/>
    <n v="4"/>
    <n v="3"/>
    <x v="3"/>
    <n v="7"/>
    <x v="0"/>
    <n v="2"/>
    <n v="3"/>
    <x v="1"/>
    <n v="2"/>
    <n v="0"/>
    <n v="2"/>
  </r>
  <r>
    <x v="0"/>
    <x v="1"/>
    <x v="1"/>
    <n v="791"/>
    <x v="1"/>
    <n v="2"/>
    <x v="0"/>
    <n v="2"/>
    <s v="Medical"/>
    <n v="807"/>
    <n v="3"/>
    <x v="0"/>
    <n v="38"/>
    <n v="4"/>
    <n v="2"/>
    <x v="4"/>
    <x v="1"/>
    <x v="1"/>
    <x v="558"/>
    <n v="9931"/>
    <n v="1"/>
    <x v="1"/>
    <n v="24"/>
    <n v="4"/>
    <n v="4"/>
    <x v="1"/>
    <n v="8"/>
    <x v="0"/>
    <n v="2"/>
    <n v="3"/>
    <x v="0"/>
    <n v="7"/>
    <n v="3"/>
    <n v="7"/>
  </r>
  <r>
    <x v="2"/>
    <x v="1"/>
    <x v="0"/>
    <n v="1111"/>
    <x v="0"/>
    <n v="8"/>
    <x v="1"/>
    <n v="2"/>
    <s v="Life Sciences"/>
    <n v="808"/>
    <n v="3"/>
    <x v="0"/>
    <n v="93"/>
    <n v="3"/>
    <n v="2"/>
    <x v="0"/>
    <x v="3"/>
    <x v="1"/>
    <x v="559"/>
    <n v="13305"/>
    <n v="5"/>
    <x v="1"/>
    <n v="17"/>
    <n v="3"/>
    <n v="2"/>
    <x v="1"/>
    <n v="6"/>
    <x v="0"/>
    <n v="1"/>
    <n v="3"/>
    <x v="2"/>
    <n v="2"/>
    <n v="1"/>
    <n v="2"/>
  </r>
  <r>
    <x v="0"/>
    <x v="1"/>
    <x v="1"/>
    <n v="570"/>
    <x v="1"/>
    <n v="8"/>
    <x v="1"/>
    <n v="3"/>
    <s v="Life Sciences"/>
    <n v="809"/>
    <n v="2"/>
    <x v="1"/>
    <n v="66"/>
    <n v="3"/>
    <n v="5"/>
    <x v="5"/>
    <x v="0"/>
    <x v="2"/>
    <x v="560"/>
    <n v="16225"/>
    <n v="1"/>
    <x v="1"/>
    <n v="13"/>
    <n v="3"/>
    <n v="2"/>
    <x v="1"/>
    <n v="24"/>
    <x v="2"/>
    <n v="4"/>
    <n v="2"/>
    <x v="3"/>
    <n v="7"/>
    <n v="14"/>
    <n v="9"/>
  </r>
  <r>
    <x v="3"/>
    <x v="0"/>
    <x v="0"/>
    <n v="1243"/>
    <x v="1"/>
    <n v="6"/>
    <x v="1"/>
    <n v="3"/>
    <s v="Life Sciences"/>
    <n v="811"/>
    <n v="3"/>
    <x v="1"/>
    <n v="63"/>
    <n v="4"/>
    <n v="1"/>
    <x v="2"/>
    <x v="3"/>
    <x v="1"/>
    <x v="561"/>
    <n v="3445"/>
    <n v="1"/>
    <x v="0"/>
    <n v="21"/>
    <n v="4"/>
    <n v="3"/>
    <x v="3"/>
    <n v="1"/>
    <x v="1"/>
    <n v="2"/>
    <n v="3"/>
    <x v="1"/>
    <n v="0"/>
    <n v="0"/>
    <n v="0"/>
  </r>
  <r>
    <x v="3"/>
    <x v="1"/>
    <x v="2"/>
    <n v="1092"/>
    <x v="1"/>
    <n v="9"/>
    <x v="1"/>
    <n v="3"/>
    <s v="Life Sciences"/>
    <n v="812"/>
    <n v="3"/>
    <x v="1"/>
    <n v="60"/>
    <n v="2"/>
    <n v="1"/>
    <x v="2"/>
    <x v="1"/>
    <x v="2"/>
    <x v="562"/>
    <n v="26551"/>
    <n v="1"/>
    <x v="1"/>
    <n v="11"/>
    <n v="3"/>
    <n v="3"/>
    <x v="2"/>
    <n v="1"/>
    <x v="1"/>
    <n v="4"/>
    <n v="3"/>
    <x v="1"/>
    <n v="0"/>
    <n v="0"/>
    <n v="0"/>
  </r>
  <r>
    <x v="1"/>
    <x v="1"/>
    <x v="0"/>
    <n v="1325"/>
    <x v="1"/>
    <n v="11"/>
    <x v="1"/>
    <n v="4"/>
    <s v="Life Sciences"/>
    <n v="813"/>
    <n v="4"/>
    <x v="0"/>
    <n v="82"/>
    <n v="3"/>
    <n v="2"/>
    <x v="2"/>
    <x v="2"/>
    <x v="1"/>
    <x v="563"/>
    <n v="21821"/>
    <n v="8"/>
    <x v="1"/>
    <n v="20"/>
    <n v="4"/>
    <n v="2"/>
    <x v="1"/>
    <n v="9"/>
    <x v="0"/>
    <n v="3"/>
    <n v="3"/>
    <x v="2"/>
    <n v="2"/>
    <n v="1"/>
    <n v="4"/>
  </r>
  <r>
    <x v="1"/>
    <x v="1"/>
    <x v="0"/>
    <n v="691"/>
    <x v="1"/>
    <n v="2"/>
    <x v="0"/>
    <n v="3"/>
    <s v="Medical"/>
    <n v="815"/>
    <n v="3"/>
    <x v="1"/>
    <n v="64"/>
    <n v="3"/>
    <n v="4"/>
    <x v="7"/>
    <x v="2"/>
    <x v="1"/>
    <x v="564"/>
    <n v="6881"/>
    <n v="5"/>
    <x v="1"/>
    <n v="16"/>
    <n v="3"/>
    <n v="4"/>
    <x v="0"/>
    <n v="30"/>
    <x v="2"/>
    <n v="3"/>
    <n v="3"/>
    <x v="2"/>
    <n v="3"/>
    <n v="0"/>
    <n v="3"/>
  </r>
  <r>
    <x v="2"/>
    <x v="0"/>
    <x v="0"/>
    <n v="805"/>
    <x v="1"/>
    <n v="1"/>
    <x v="0"/>
    <n v="2"/>
    <s v="Life Sciences"/>
    <n v="816"/>
    <n v="2"/>
    <x v="0"/>
    <n v="36"/>
    <n v="2"/>
    <n v="1"/>
    <x v="2"/>
    <x v="3"/>
    <x v="1"/>
    <x v="565"/>
    <n v="6689"/>
    <n v="1"/>
    <x v="0"/>
    <n v="11"/>
    <n v="3"/>
    <n v="4"/>
    <x v="1"/>
    <n v="1"/>
    <x v="1"/>
    <n v="1"/>
    <n v="3"/>
    <x v="1"/>
    <n v="0"/>
    <n v="0"/>
    <n v="0"/>
  </r>
  <r>
    <x v="2"/>
    <x v="1"/>
    <x v="0"/>
    <n v="213"/>
    <x v="1"/>
    <n v="7"/>
    <x v="1"/>
    <n v="3"/>
    <s v="Medical"/>
    <n v="817"/>
    <n v="3"/>
    <x v="1"/>
    <n v="49"/>
    <n v="3"/>
    <n v="3"/>
    <x v="7"/>
    <x v="2"/>
    <x v="1"/>
    <x v="566"/>
    <n v="25995"/>
    <n v="0"/>
    <x v="1"/>
    <n v="11"/>
    <n v="3"/>
    <n v="4"/>
    <x v="0"/>
    <n v="14"/>
    <x v="0"/>
    <n v="3"/>
    <n v="4"/>
    <x v="3"/>
    <n v="9"/>
    <n v="3"/>
    <n v="7"/>
  </r>
  <r>
    <x v="2"/>
    <x v="0"/>
    <x v="0"/>
    <n v="118"/>
    <x v="0"/>
    <n v="16"/>
    <x v="2"/>
    <n v="3"/>
    <s v="Marketing"/>
    <n v="819"/>
    <n v="1"/>
    <x v="0"/>
    <n v="69"/>
    <n v="3"/>
    <n v="2"/>
    <x v="0"/>
    <x v="3"/>
    <x v="0"/>
    <x v="567"/>
    <n v="26507"/>
    <n v="5"/>
    <x v="1"/>
    <n v="15"/>
    <n v="3"/>
    <n v="3"/>
    <x v="0"/>
    <n v="6"/>
    <x v="0"/>
    <n v="3"/>
    <n v="3"/>
    <x v="2"/>
    <n v="2"/>
    <n v="0"/>
    <n v="2"/>
  </r>
  <r>
    <x v="1"/>
    <x v="1"/>
    <x v="0"/>
    <n v="202"/>
    <x v="1"/>
    <n v="2"/>
    <x v="0"/>
    <n v="2"/>
    <s v="Other"/>
    <n v="820"/>
    <n v="3"/>
    <x v="0"/>
    <n v="33"/>
    <n v="3"/>
    <n v="4"/>
    <x v="5"/>
    <x v="0"/>
    <x v="1"/>
    <x v="568"/>
    <n v="12982"/>
    <n v="1"/>
    <x v="0"/>
    <n v="11"/>
    <n v="3"/>
    <n v="3"/>
    <x v="1"/>
    <n v="26"/>
    <x v="2"/>
    <n v="3"/>
    <n v="2"/>
    <x v="3"/>
    <n v="14"/>
    <n v="3"/>
    <n v="0"/>
  </r>
  <r>
    <x v="0"/>
    <x v="1"/>
    <x v="0"/>
    <n v="676"/>
    <x v="1"/>
    <n v="1"/>
    <x v="0"/>
    <n v="3"/>
    <s v="Other"/>
    <n v="823"/>
    <n v="3"/>
    <x v="0"/>
    <n v="35"/>
    <n v="3"/>
    <n v="2"/>
    <x v="3"/>
    <x v="1"/>
    <x v="1"/>
    <x v="311"/>
    <n v="23361"/>
    <n v="0"/>
    <x v="1"/>
    <n v="15"/>
    <n v="3"/>
    <n v="1"/>
    <x v="1"/>
    <n v="10"/>
    <x v="0"/>
    <n v="2"/>
    <n v="3"/>
    <x v="0"/>
    <n v="7"/>
    <n v="0"/>
    <n v="5"/>
  </r>
  <r>
    <x v="2"/>
    <x v="1"/>
    <x v="0"/>
    <n v="1252"/>
    <x v="1"/>
    <n v="23"/>
    <x v="2"/>
    <n v="2"/>
    <s v="Life Sciences"/>
    <n v="824"/>
    <n v="3"/>
    <x v="1"/>
    <n v="81"/>
    <n v="4"/>
    <n v="1"/>
    <x v="1"/>
    <x v="2"/>
    <x v="1"/>
    <x v="569"/>
    <n v="23779"/>
    <n v="1"/>
    <x v="1"/>
    <n v="24"/>
    <n v="4"/>
    <n v="3"/>
    <x v="1"/>
    <n v="10"/>
    <x v="0"/>
    <n v="3"/>
    <n v="3"/>
    <x v="0"/>
    <n v="7"/>
    <n v="0"/>
    <n v="7"/>
  </r>
  <r>
    <x v="1"/>
    <x v="0"/>
    <x v="0"/>
    <n v="286"/>
    <x v="1"/>
    <n v="2"/>
    <x v="0"/>
    <n v="4"/>
    <s v="Life Sciences"/>
    <n v="825"/>
    <n v="4"/>
    <x v="1"/>
    <n v="31"/>
    <n v="3"/>
    <n v="5"/>
    <x v="7"/>
    <x v="1"/>
    <x v="0"/>
    <x v="570"/>
    <n v="25761"/>
    <n v="7"/>
    <x v="0"/>
    <n v="12"/>
    <n v="3"/>
    <n v="4"/>
    <x v="0"/>
    <n v="40"/>
    <x v="2"/>
    <n v="2"/>
    <n v="3"/>
    <x v="3"/>
    <n v="15"/>
    <n v="13"/>
    <n v="8"/>
  </r>
  <r>
    <x v="2"/>
    <x v="1"/>
    <x v="0"/>
    <n v="1258"/>
    <x v="1"/>
    <n v="1"/>
    <x v="0"/>
    <n v="4"/>
    <s v="Life Sciences"/>
    <n v="826"/>
    <n v="4"/>
    <x v="0"/>
    <n v="40"/>
    <n v="4"/>
    <n v="1"/>
    <x v="1"/>
    <x v="2"/>
    <x v="0"/>
    <x v="571"/>
    <n v="13301"/>
    <n v="3"/>
    <x v="1"/>
    <n v="13"/>
    <n v="3"/>
    <n v="3"/>
    <x v="0"/>
    <n v="7"/>
    <x v="0"/>
    <n v="0"/>
    <n v="3"/>
    <x v="1"/>
    <n v="2"/>
    <n v="2"/>
    <n v="2"/>
  </r>
  <r>
    <x v="0"/>
    <x v="1"/>
    <x v="0"/>
    <n v="932"/>
    <x v="1"/>
    <n v="1"/>
    <x v="0"/>
    <n v="2"/>
    <s v="Life Sciences"/>
    <n v="827"/>
    <n v="4"/>
    <x v="0"/>
    <n v="43"/>
    <n v="2"/>
    <n v="2"/>
    <x v="3"/>
    <x v="0"/>
    <x v="1"/>
    <x v="572"/>
    <n v="4051"/>
    <n v="9"/>
    <x v="0"/>
    <n v="13"/>
    <n v="3"/>
    <n v="4"/>
    <x v="1"/>
    <n v="8"/>
    <x v="0"/>
    <n v="4"/>
    <n v="3"/>
    <x v="2"/>
    <n v="3"/>
    <n v="0"/>
    <n v="2"/>
  </r>
  <r>
    <x v="2"/>
    <x v="0"/>
    <x v="0"/>
    <n v="890"/>
    <x v="1"/>
    <n v="2"/>
    <x v="0"/>
    <n v="4"/>
    <s v="Medical"/>
    <n v="828"/>
    <n v="3"/>
    <x v="1"/>
    <n v="46"/>
    <n v="3"/>
    <n v="1"/>
    <x v="1"/>
    <x v="2"/>
    <x v="0"/>
    <x v="573"/>
    <n v="16374"/>
    <n v="6"/>
    <x v="1"/>
    <n v="17"/>
    <n v="3"/>
    <n v="4"/>
    <x v="0"/>
    <n v="5"/>
    <x v="1"/>
    <n v="3"/>
    <n v="2"/>
    <x v="1"/>
    <n v="2"/>
    <n v="2"/>
    <n v="1"/>
  </r>
  <r>
    <x v="0"/>
    <x v="1"/>
    <x v="0"/>
    <n v="1041"/>
    <x v="2"/>
    <n v="13"/>
    <x v="1"/>
    <n v="3"/>
    <s v="Human Resources"/>
    <n v="829"/>
    <n v="3"/>
    <x v="1"/>
    <n v="36"/>
    <n v="3"/>
    <n v="1"/>
    <x v="8"/>
    <x v="1"/>
    <x v="1"/>
    <x v="574"/>
    <n v="25527"/>
    <n v="4"/>
    <x v="1"/>
    <n v="13"/>
    <n v="3"/>
    <n v="2"/>
    <x v="1"/>
    <n v="8"/>
    <x v="0"/>
    <n v="2"/>
    <n v="3"/>
    <x v="2"/>
    <n v="2"/>
    <n v="0"/>
    <n v="4"/>
  </r>
  <r>
    <x v="2"/>
    <x v="1"/>
    <x v="0"/>
    <n v="859"/>
    <x v="1"/>
    <n v="4"/>
    <x v="0"/>
    <n v="3"/>
    <s v="Life Sciences"/>
    <n v="830"/>
    <n v="3"/>
    <x v="0"/>
    <n v="98"/>
    <n v="2"/>
    <n v="2"/>
    <x v="3"/>
    <x v="2"/>
    <x v="1"/>
    <x v="57"/>
    <n v="19124"/>
    <n v="1"/>
    <x v="1"/>
    <n v="12"/>
    <n v="3"/>
    <n v="3"/>
    <x v="1"/>
    <n v="14"/>
    <x v="0"/>
    <n v="3"/>
    <n v="3"/>
    <x v="3"/>
    <n v="13"/>
    <n v="6"/>
    <n v="8"/>
  </r>
  <r>
    <x v="0"/>
    <x v="1"/>
    <x v="1"/>
    <n v="720"/>
    <x v="1"/>
    <n v="16"/>
    <x v="2"/>
    <n v="4"/>
    <s v="Medical"/>
    <n v="832"/>
    <n v="1"/>
    <x v="1"/>
    <n v="51"/>
    <n v="2"/>
    <n v="2"/>
    <x v="2"/>
    <x v="2"/>
    <x v="0"/>
    <x v="575"/>
    <n v="11983"/>
    <n v="6"/>
    <x v="1"/>
    <n v="14"/>
    <n v="3"/>
    <n v="4"/>
    <x v="0"/>
    <n v="10"/>
    <x v="0"/>
    <n v="6"/>
    <n v="3"/>
    <x v="1"/>
    <n v="0"/>
    <n v="0"/>
    <n v="0"/>
  </r>
  <r>
    <x v="2"/>
    <x v="1"/>
    <x v="0"/>
    <n v="946"/>
    <x v="1"/>
    <n v="2"/>
    <x v="0"/>
    <n v="3"/>
    <s v="Medical"/>
    <n v="833"/>
    <n v="3"/>
    <x v="0"/>
    <n v="52"/>
    <n v="2"/>
    <n v="2"/>
    <x v="3"/>
    <x v="0"/>
    <x v="0"/>
    <x v="576"/>
    <n v="20234"/>
    <n v="5"/>
    <x v="0"/>
    <n v="24"/>
    <n v="4"/>
    <n v="2"/>
    <x v="0"/>
    <n v="12"/>
    <x v="0"/>
    <n v="4"/>
    <n v="2"/>
    <x v="1"/>
    <n v="0"/>
    <n v="0"/>
    <n v="0"/>
  </r>
  <r>
    <x v="0"/>
    <x v="1"/>
    <x v="0"/>
    <n v="252"/>
    <x v="1"/>
    <n v="2"/>
    <x v="0"/>
    <n v="3"/>
    <s v="Life Sciences"/>
    <n v="834"/>
    <n v="2"/>
    <x v="0"/>
    <n v="95"/>
    <n v="2"/>
    <n v="1"/>
    <x v="1"/>
    <x v="2"/>
    <x v="0"/>
    <x v="577"/>
    <n v="6153"/>
    <n v="1"/>
    <x v="1"/>
    <n v="14"/>
    <n v="3"/>
    <n v="4"/>
    <x v="0"/>
    <n v="1"/>
    <x v="1"/>
    <n v="3"/>
    <n v="3"/>
    <x v="1"/>
    <n v="0"/>
    <n v="0"/>
    <n v="0"/>
  </r>
  <r>
    <x v="0"/>
    <x v="1"/>
    <x v="0"/>
    <n v="933"/>
    <x v="1"/>
    <n v="29"/>
    <x v="2"/>
    <n v="3"/>
    <s v="Life Sciences"/>
    <n v="836"/>
    <n v="2"/>
    <x v="1"/>
    <n v="98"/>
    <n v="3"/>
    <n v="2"/>
    <x v="3"/>
    <x v="1"/>
    <x v="1"/>
    <x v="578"/>
    <n v="11806"/>
    <n v="1"/>
    <x v="1"/>
    <n v="13"/>
    <n v="3"/>
    <n v="4"/>
    <x v="1"/>
    <n v="10"/>
    <x v="0"/>
    <n v="3"/>
    <n v="2"/>
    <x v="0"/>
    <n v="8"/>
    <n v="7"/>
    <n v="8"/>
  </r>
  <r>
    <x v="0"/>
    <x v="1"/>
    <x v="1"/>
    <n v="471"/>
    <x v="1"/>
    <n v="12"/>
    <x v="1"/>
    <n v="3"/>
    <s v="Life Sciences"/>
    <n v="837"/>
    <n v="1"/>
    <x v="1"/>
    <n v="45"/>
    <n v="2"/>
    <n v="2"/>
    <x v="4"/>
    <x v="3"/>
    <x v="2"/>
    <x v="579"/>
    <n v="4284"/>
    <n v="2"/>
    <x v="1"/>
    <n v="15"/>
    <n v="3"/>
    <n v="3"/>
    <x v="1"/>
    <n v="13"/>
    <x v="0"/>
    <n v="3"/>
    <n v="2"/>
    <x v="2"/>
    <n v="3"/>
    <n v="1"/>
    <n v="2"/>
  </r>
  <r>
    <x v="2"/>
    <x v="1"/>
    <x v="1"/>
    <n v="702"/>
    <x v="1"/>
    <n v="16"/>
    <x v="2"/>
    <n v="4"/>
    <s v="Life Sciences"/>
    <n v="838"/>
    <n v="3"/>
    <x v="0"/>
    <n v="100"/>
    <n v="2"/>
    <n v="1"/>
    <x v="1"/>
    <x v="0"/>
    <x v="0"/>
    <x v="580"/>
    <n v="8306"/>
    <n v="1"/>
    <x v="1"/>
    <n v="16"/>
    <n v="3"/>
    <n v="3"/>
    <x v="0"/>
    <n v="6"/>
    <x v="0"/>
    <n v="3"/>
    <n v="3"/>
    <x v="2"/>
    <n v="2"/>
    <n v="1"/>
    <n v="3"/>
  </r>
  <r>
    <x v="1"/>
    <x v="0"/>
    <x v="0"/>
    <n v="1184"/>
    <x v="0"/>
    <n v="11"/>
    <x v="1"/>
    <n v="3"/>
    <s v="Marketing"/>
    <n v="840"/>
    <n v="3"/>
    <x v="0"/>
    <n v="43"/>
    <n v="3"/>
    <n v="3"/>
    <x v="0"/>
    <x v="0"/>
    <x v="1"/>
    <x v="581"/>
    <n v="5860"/>
    <n v="1"/>
    <x v="1"/>
    <n v="18"/>
    <n v="3"/>
    <n v="1"/>
    <x v="3"/>
    <n v="9"/>
    <x v="0"/>
    <n v="3"/>
    <n v="4"/>
    <x v="0"/>
    <n v="8"/>
    <n v="7"/>
    <n v="7"/>
  </r>
  <r>
    <x v="1"/>
    <x v="0"/>
    <x v="0"/>
    <n v="436"/>
    <x v="0"/>
    <n v="2"/>
    <x v="0"/>
    <n v="1"/>
    <s v="Medical"/>
    <n v="842"/>
    <n v="3"/>
    <x v="1"/>
    <n v="37"/>
    <n v="3"/>
    <n v="2"/>
    <x v="0"/>
    <x v="0"/>
    <x v="0"/>
    <x v="582"/>
    <n v="21519"/>
    <n v="4"/>
    <x v="1"/>
    <n v="16"/>
    <n v="3"/>
    <n v="3"/>
    <x v="0"/>
    <n v="12"/>
    <x v="0"/>
    <n v="3"/>
    <n v="2"/>
    <x v="0"/>
    <n v="7"/>
    <n v="7"/>
    <n v="3"/>
  </r>
  <r>
    <x v="0"/>
    <x v="1"/>
    <x v="0"/>
    <n v="589"/>
    <x v="1"/>
    <n v="14"/>
    <x v="1"/>
    <n v="2"/>
    <s v="Life Sciences"/>
    <n v="843"/>
    <n v="2"/>
    <x v="1"/>
    <n v="94"/>
    <n v="3"/>
    <n v="4"/>
    <x v="7"/>
    <x v="3"/>
    <x v="1"/>
    <x v="583"/>
    <n v="5200"/>
    <n v="6"/>
    <x v="1"/>
    <n v="24"/>
    <n v="4"/>
    <n v="3"/>
    <x v="1"/>
    <n v="22"/>
    <x v="2"/>
    <n v="3"/>
    <n v="3"/>
    <x v="2"/>
    <n v="1"/>
    <n v="1"/>
    <n v="0"/>
  </r>
  <r>
    <x v="2"/>
    <x v="1"/>
    <x v="0"/>
    <n v="269"/>
    <x v="1"/>
    <n v="5"/>
    <x v="0"/>
    <n v="1"/>
    <s v="Technical Degree"/>
    <n v="844"/>
    <n v="3"/>
    <x v="1"/>
    <n v="42"/>
    <n v="2"/>
    <n v="3"/>
    <x v="7"/>
    <x v="0"/>
    <x v="2"/>
    <x v="584"/>
    <n v="8842"/>
    <n v="1"/>
    <x v="0"/>
    <n v="16"/>
    <n v="3"/>
    <n v="2"/>
    <x v="1"/>
    <n v="9"/>
    <x v="0"/>
    <n v="3"/>
    <n v="3"/>
    <x v="0"/>
    <n v="8"/>
    <n v="0"/>
    <n v="8"/>
  </r>
  <r>
    <x v="2"/>
    <x v="1"/>
    <x v="0"/>
    <n v="950"/>
    <x v="1"/>
    <n v="7"/>
    <x v="1"/>
    <n v="3"/>
    <s v="Other"/>
    <n v="845"/>
    <n v="3"/>
    <x v="1"/>
    <n v="59"/>
    <n v="3"/>
    <n v="3"/>
    <x v="3"/>
    <x v="2"/>
    <x v="0"/>
    <x v="585"/>
    <n v="18869"/>
    <n v="3"/>
    <x v="1"/>
    <n v="21"/>
    <n v="4"/>
    <n v="2"/>
    <x v="0"/>
    <n v="17"/>
    <x v="2"/>
    <n v="3"/>
    <n v="4"/>
    <x v="0"/>
    <n v="5"/>
    <n v="1"/>
    <n v="6"/>
  </r>
  <r>
    <x v="2"/>
    <x v="1"/>
    <x v="0"/>
    <n v="760"/>
    <x v="0"/>
    <n v="2"/>
    <x v="0"/>
    <n v="4"/>
    <s v="Marketing"/>
    <n v="846"/>
    <n v="2"/>
    <x v="0"/>
    <n v="81"/>
    <n v="3"/>
    <n v="2"/>
    <x v="0"/>
    <x v="1"/>
    <x v="1"/>
    <x v="586"/>
    <n v="3698"/>
    <n v="1"/>
    <x v="0"/>
    <n v="20"/>
    <n v="4"/>
    <n v="1"/>
    <x v="0"/>
    <n v="8"/>
    <x v="0"/>
    <n v="2"/>
    <n v="3"/>
    <x v="0"/>
    <n v="7"/>
    <n v="7"/>
    <n v="5"/>
  </r>
  <r>
    <x v="2"/>
    <x v="1"/>
    <x v="0"/>
    <n v="829"/>
    <x v="2"/>
    <n v="3"/>
    <x v="0"/>
    <n v="2"/>
    <s v="Human Resources"/>
    <n v="847"/>
    <n v="3"/>
    <x v="1"/>
    <n v="88"/>
    <n v="3"/>
    <n v="1"/>
    <x v="8"/>
    <x v="0"/>
    <x v="1"/>
    <x v="587"/>
    <n v="2243"/>
    <n v="0"/>
    <x v="1"/>
    <n v="19"/>
    <n v="3"/>
    <n v="3"/>
    <x v="1"/>
    <n v="4"/>
    <x v="1"/>
    <n v="1"/>
    <n v="1"/>
    <x v="2"/>
    <n v="2"/>
    <n v="0"/>
    <n v="2"/>
  </r>
  <r>
    <x v="2"/>
    <x v="0"/>
    <x v="1"/>
    <n v="887"/>
    <x v="1"/>
    <n v="5"/>
    <x v="0"/>
    <n v="2"/>
    <s v="Medical"/>
    <n v="848"/>
    <n v="3"/>
    <x v="0"/>
    <n v="88"/>
    <n v="2"/>
    <n v="1"/>
    <x v="1"/>
    <x v="2"/>
    <x v="1"/>
    <x v="588"/>
    <n v="20898"/>
    <n v="1"/>
    <x v="0"/>
    <n v="14"/>
    <n v="3"/>
    <n v="1"/>
    <x v="1"/>
    <n v="8"/>
    <x v="0"/>
    <n v="2"/>
    <n v="3"/>
    <x v="0"/>
    <n v="7"/>
    <n v="1"/>
    <n v="7"/>
  </r>
  <r>
    <x v="2"/>
    <x v="1"/>
    <x v="2"/>
    <n v="443"/>
    <x v="1"/>
    <n v="3"/>
    <x v="0"/>
    <n v="3"/>
    <s v="Medical"/>
    <n v="850"/>
    <n v="4"/>
    <x v="1"/>
    <n v="50"/>
    <n v="3"/>
    <n v="1"/>
    <x v="1"/>
    <x v="0"/>
    <x v="1"/>
    <x v="589"/>
    <n v="16571"/>
    <n v="1"/>
    <x v="1"/>
    <n v="11"/>
    <n v="3"/>
    <n v="3"/>
    <x v="2"/>
    <n v="0"/>
    <x v="1"/>
    <n v="6"/>
    <n v="2"/>
    <x v="1"/>
    <n v="0"/>
    <n v="0"/>
    <n v="0"/>
  </r>
  <r>
    <x v="1"/>
    <x v="1"/>
    <x v="0"/>
    <n v="1318"/>
    <x v="0"/>
    <n v="26"/>
    <x v="2"/>
    <n v="4"/>
    <s v="Marketing"/>
    <n v="851"/>
    <n v="1"/>
    <x v="0"/>
    <n v="66"/>
    <n v="3"/>
    <n v="4"/>
    <x v="5"/>
    <x v="2"/>
    <x v="1"/>
    <x v="590"/>
    <n v="5594"/>
    <n v="2"/>
    <x v="1"/>
    <n v="14"/>
    <n v="3"/>
    <n v="3"/>
    <x v="1"/>
    <n v="29"/>
    <x v="2"/>
    <n v="2"/>
    <n v="2"/>
    <x v="3"/>
    <n v="6"/>
    <n v="4"/>
    <n v="17"/>
  </r>
  <r>
    <x v="0"/>
    <x v="1"/>
    <x v="0"/>
    <n v="625"/>
    <x v="1"/>
    <n v="4"/>
    <x v="0"/>
    <n v="3"/>
    <s v="Medical"/>
    <n v="852"/>
    <n v="4"/>
    <x v="1"/>
    <n v="50"/>
    <n v="3"/>
    <n v="2"/>
    <x v="4"/>
    <x v="1"/>
    <x v="0"/>
    <x v="591"/>
    <n v="5197"/>
    <n v="9"/>
    <x v="1"/>
    <n v="12"/>
    <n v="3"/>
    <n v="4"/>
    <x v="0"/>
    <n v="10"/>
    <x v="0"/>
    <n v="2"/>
    <n v="2"/>
    <x v="2"/>
    <n v="2"/>
    <n v="2"/>
    <n v="3"/>
  </r>
  <r>
    <x v="3"/>
    <x v="1"/>
    <x v="0"/>
    <n v="180"/>
    <x v="1"/>
    <n v="2"/>
    <x v="0"/>
    <n v="1"/>
    <s v="Medical"/>
    <n v="854"/>
    <n v="1"/>
    <x v="1"/>
    <n v="65"/>
    <n v="4"/>
    <n v="1"/>
    <x v="1"/>
    <x v="3"/>
    <x v="0"/>
    <x v="592"/>
    <n v="21632"/>
    <n v="7"/>
    <x v="1"/>
    <n v="13"/>
    <n v="3"/>
    <n v="3"/>
    <x v="0"/>
    <n v="6"/>
    <x v="0"/>
    <n v="3"/>
    <n v="2"/>
    <x v="2"/>
    <n v="3"/>
    <n v="0"/>
    <n v="1"/>
  </r>
  <r>
    <x v="2"/>
    <x v="1"/>
    <x v="0"/>
    <n v="586"/>
    <x v="0"/>
    <n v="1"/>
    <x v="0"/>
    <n v="3"/>
    <s v="Medical"/>
    <n v="855"/>
    <n v="1"/>
    <x v="1"/>
    <n v="48"/>
    <n v="4"/>
    <n v="2"/>
    <x v="0"/>
    <x v="3"/>
    <x v="2"/>
    <x v="593"/>
    <n v="21816"/>
    <n v="1"/>
    <x v="1"/>
    <n v="22"/>
    <n v="4"/>
    <n v="1"/>
    <x v="1"/>
    <n v="9"/>
    <x v="0"/>
    <n v="5"/>
    <n v="3"/>
    <x v="0"/>
    <n v="8"/>
    <n v="0"/>
    <n v="8"/>
  </r>
  <r>
    <x v="2"/>
    <x v="1"/>
    <x v="0"/>
    <n v="1343"/>
    <x v="1"/>
    <n v="27"/>
    <x v="2"/>
    <n v="1"/>
    <s v="Medical"/>
    <n v="856"/>
    <n v="3"/>
    <x v="0"/>
    <n v="53"/>
    <n v="2"/>
    <n v="1"/>
    <x v="1"/>
    <x v="3"/>
    <x v="0"/>
    <x v="594"/>
    <n v="17852"/>
    <n v="1"/>
    <x v="1"/>
    <n v="11"/>
    <n v="3"/>
    <n v="4"/>
    <x v="0"/>
    <n v="6"/>
    <x v="0"/>
    <n v="3"/>
    <n v="2"/>
    <x v="0"/>
    <n v="5"/>
    <n v="1"/>
    <n v="1"/>
  </r>
  <r>
    <x v="0"/>
    <x v="1"/>
    <x v="0"/>
    <n v="928"/>
    <x v="0"/>
    <n v="1"/>
    <x v="0"/>
    <n v="2"/>
    <s v="Life Sciences"/>
    <n v="857"/>
    <n v="2"/>
    <x v="1"/>
    <n v="56"/>
    <n v="3"/>
    <n v="2"/>
    <x v="0"/>
    <x v="0"/>
    <x v="1"/>
    <x v="595"/>
    <n v="2823"/>
    <n v="1"/>
    <x v="0"/>
    <n v="14"/>
    <n v="3"/>
    <n v="4"/>
    <x v="1"/>
    <n v="18"/>
    <x v="2"/>
    <n v="1"/>
    <n v="2"/>
    <x v="3"/>
    <n v="14"/>
    <n v="4"/>
    <n v="11"/>
  </r>
  <r>
    <x v="2"/>
    <x v="1"/>
    <x v="0"/>
    <n v="117"/>
    <x v="0"/>
    <n v="13"/>
    <x v="1"/>
    <n v="4"/>
    <s v="Life Sciences"/>
    <n v="859"/>
    <n v="2"/>
    <x v="1"/>
    <n v="73"/>
    <n v="3"/>
    <n v="2"/>
    <x v="0"/>
    <x v="0"/>
    <x v="2"/>
    <x v="596"/>
    <n v="9250"/>
    <n v="2"/>
    <x v="1"/>
    <n v="11"/>
    <n v="3"/>
    <n v="3"/>
    <x v="1"/>
    <n v="8"/>
    <x v="0"/>
    <n v="3"/>
    <n v="2"/>
    <x v="2"/>
    <n v="2"/>
    <n v="0"/>
    <n v="3"/>
  </r>
  <r>
    <x v="2"/>
    <x v="1"/>
    <x v="1"/>
    <n v="1012"/>
    <x v="1"/>
    <n v="5"/>
    <x v="0"/>
    <n v="4"/>
    <s v="Life Sciences"/>
    <n v="861"/>
    <n v="2"/>
    <x v="1"/>
    <n v="75"/>
    <n v="2"/>
    <n v="1"/>
    <x v="1"/>
    <x v="0"/>
    <x v="2"/>
    <x v="597"/>
    <n v="2373"/>
    <n v="9"/>
    <x v="1"/>
    <n v="12"/>
    <n v="3"/>
    <n v="2"/>
    <x v="1"/>
    <n v="10"/>
    <x v="0"/>
    <n v="3"/>
    <n v="2"/>
    <x v="2"/>
    <n v="4"/>
    <n v="0"/>
    <n v="3"/>
  </r>
  <r>
    <x v="1"/>
    <x v="1"/>
    <x v="0"/>
    <n v="661"/>
    <x v="0"/>
    <n v="7"/>
    <x v="1"/>
    <n v="2"/>
    <s v="Marketing"/>
    <n v="862"/>
    <n v="1"/>
    <x v="0"/>
    <n v="78"/>
    <n v="2"/>
    <n v="3"/>
    <x v="0"/>
    <x v="0"/>
    <x v="1"/>
    <x v="598"/>
    <n v="20715"/>
    <n v="7"/>
    <x v="0"/>
    <n v="18"/>
    <n v="3"/>
    <n v="4"/>
    <x v="1"/>
    <n v="35"/>
    <x v="2"/>
    <n v="3"/>
    <n v="3"/>
    <x v="2"/>
    <n v="2"/>
    <n v="0"/>
    <n v="4"/>
  </r>
  <r>
    <x v="0"/>
    <x v="1"/>
    <x v="0"/>
    <n v="930"/>
    <x v="0"/>
    <n v="9"/>
    <x v="1"/>
    <n v="3"/>
    <s v="Marketing"/>
    <n v="864"/>
    <n v="4"/>
    <x v="1"/>
    <n v="74"/>
    <n v="3"/>
    <n v="3"/>
    <x v="0"/>
    <x v="3"/>
    <x v="2"/>
    <x v="599"/>
    <n v="19239"/>
    <n v="4"/>
    <x v="0"/>
    <n v="12"/>
    <n v="3"/>
    <n v="3"/>
    <x v="1"/>
    <n v="18"/>
    <x v="2"/>
    <n v="2"/>
    <n v="3"/>
    <x v="2"/>
    <n v="4"/>
    <n v="0"/>
    <n v="2"/>
  </r>
  <r>
    <x v="2"/>
    <x v="1"/>
    <x v="0"/>
    <n v="638"/>
    <x v="1"/>
    <n v="8"/>
    <x v="1"/>
    <n v="2"/>
    <s v="Medical"/>
    <n v="865"/>
    <n v="3"/>
    <x v="0"/>
    <n v="91"/>
    <n v="4"/>
    <n v="2"/>
    <x v="1"/>
    <x v="2"/>
    <x v="1"/>
    <x v="600"/>
    <n v="22162"/>
    <n v="5"/>
    <x v="1"/>
    <n v="12"/>
    <n v="3"/>
    <n v="3"/>
    <x v="1"/>
    <n v="9"/>
    <x v="0"/>
    <n v="3"/>
    <n v="2"/>
    <x v="2"/>
    <n v="3"/>
    <n v="1"/>
    <n v="3"/>
  </r>
  <r>
    <x v="1"/>
    <x v="1"/>
    <x v="1"/>
    <n v="890"/>
    <x v="1"/>
    <n v="25"/>
    <x v="2"/>
    <n v="4"/>
    <s v="Medical"/>
    <n v="867"/>
    <n v="3"/>
    <x v="0"/>
    <n v="81"/>
    <n v="2"/>
    <n v="4"/>
    <x v="3"/>
    <x v="0"/>
    <x v="1"/>
    <x v="601"/>
    <n v="19028"/>
    <n v="3"/>
    <x v="1"/>
    <n v="22"/>
    <n v="4"/>
    <n v="3"/>
    <x v="0"/>
    <n v="31"/>
    <x v="2"/>
    <n v="3"/>
    <n v="3"/>
    <x v="0"/>
    <n v="8"/>
    <n v="0"/>
    <n v="0"/>
  </r>
  <r>
    <x v="0"/>
    <x v="1"/>
    <x v="0"/>
    <n v="342"/>
    <x v="0"/>
    <n v="16"/>
    <x v="2"/>
    <n v="4"/>
    <s v="Marketing"/>
    <n v="868"/>
    <n v="4"/>
    <x v="1"/>
    <n v="66"/>
    <n v="2"/>
    <n v="2"/>
    <x v="0"/>
    <x v="2"/>
    <x v="2"/>
    <x v="602"/>
    <n v="24558"/>
    <n v="4"/>
    <x v="1"/>
    <n v="19"/>
    <n v="3"/>
    <n v="4"/>
    <x v="3"/>
    <n v="9"/>
    <x v="0"/>
    <n v="2"/>
    <n v="3"/>
    <x v="1"/>
    <n v="0"/>
    <n v="0"/>
    <n v="0"/>
  </r>
  <r>
    <x v="2"/>
    <x v="1"/>
    <x v="0"/>
    <n v="1169"/>
    <x v="2"/>
    <n v="8"/>
    <x v="1"/>
    <n v="2"/>
    <s v="Medical"/>
    <n v="869"/>
    <n v="2"/>
    <x v="1"/>
    <n v="63"/>
    <n v="2"/>
    <n v="1"/>
    <x v="8"/>
    <x v="0"/>
    <x v="2"/>
    <x v="365"/>
    <n v="23965"/>
    <n v="1"/>
    <x v="1"/>
    <n v="13"/>
    <n v="3"/>
    <n v="4"/>
    <x v="1"/>
    <n v="6"/>
    <x v="0"/>
    <n v="6"/>
    <n v="3"/>
    <x v="2"/>
    <n v="1"/>
    <n v="0"/>
    <n v="4"/>
  </r>
  <r>
    <x v="3"/>
    <x v="1"/>
    <x v="0"/>
    <n v="1230"/>
    <x v="1"/>
    <n v="1"/>
    <x v="0"/>
    <n v="2"/>
    <s v="Life Sciences"/>
    <n v="872"/>
    <n v="4"/>
    <x v="1"/>
    <n v="33"/>
    <n v="2"/>
    <n v="2"/>
    <x v="3"/>
    <x v="0"/>
    <x v="1"/>
    <x v="603"/>
    <n v="19146"/>
    <n v="6"/>
    <x v="1"/>
    <n v="22"/>
    <n v="4"/>
    <n v="1"/>
    <x v="3"/>
    <n v="4"/>
    <x v="1"/>
    <n v="2"/>
    <n v="1"/>
    <x v="1"/>
    <n v="2"/>
    <n v="2"/>
    <n v="2"/>
  </r>
  <r>
    <x v="0"/>
    <x v="1"/>
    <x v="0"/>
    <n v="986"/>
    <x v="1"/>
    <n v="8"/>
    <x v="1"/>
    <n v="4"/>
    <s v="Life Sciences"/>
    <n v="874"/>
    <n v="1"/>
    <x v="1"/>
    <n v="62"/>
    <n v="4"/>
    <n v="1"/>
    <x v="2"/>
    <x v="0"/>
    <x v="1"/>
    <x v="604"/>
    <n v="5044"/>
    <n v="2"/>
    <x v="0"/>
    <n v="24"/>
    <n v="4"/>
    <n v="3"/>
    <x v="1"/>
    <n v="10"/>
    <x v="0"/>
    <n v="2"/>
    <n v="2"/>
    <x v="2"/>
    <n v="2"/>
    <n v="0"/>
    <n v="2"/>
  </r>
  <r>
    <x v="0"/>
    <x v="1"/>
    <x v="1"/>
    <n v="1271"/>
    <x v="1"/>
    <n v="2"/>
    <x v="0"/>
    <n v="1"/>
    <s v="Medical"/>
    <n v="875"/>
    <n v="2"/>
    <x v="1"/>
    <n v="35"/>
    <n v="3"/>
    <n v="1"/>
    <x v="1"/>
    <x v="0"/>
    <x v="0"/>
    <x v="605"/>
    <n v="9068"/>
    <n v="5"/>
    <x v="0"/>
    <n v="14"/>
    <n v="3"/>
    <n v="4"/>
    <x v="0"/>
    <n v="8"/>
    <x v="0"/>
    <n v="2"/>
    <n v="3"/>
    <x v="1"/>
    <n v="1"/>
    <n v="2"/>
    <n v="2"/>
  </r>
  <r>
    <x v="0"/>
    <x v="1"/>
    <x v="0"/>
    <n v="1278"/>
    <x v="2"/>
    <n v="8"/>
    <x v="1"/>
    <n v="3"/>
    <s v="Life Sciences"/>
    <n v="878"/>
    <n v="1"/>
    <x v="1"/>
    <n v="77"/>
    <n v="2"/>
    <n v="1"/>
    <x v="8"/>
    <x v="3"/>
    <x v="1"/>
    <x v="531"/>
    <n v="8635"/>
    <n v="0"/>
    <x v="1"/>
    <n v="21"/>
    <n v="4"/>
    <n v="3"/>
    <x v="0"/>
    <n v="6"/>
    <x v="0"/>
    <n v="3"/>
    <n v="3"/>
    <x v="2"/>
    <n v="4"/>
    <n v="0"/>
    <n v="3"/>
  </r>
  <r>
    <x v="3"/>
    <x v="1"/>
    <x v="0"/>
    <n v="141"/>
    <x v="0"/>
    <n v="3"/>
    <x v="0"/>
    <n v="1"/>
    <s v="Other"/>
    <n v="879"/>
    <n v="3"/>
    <x v="1"/>
    <n v="98"/>
    <n v="3"/>
    <n v="2"/>
    <x v="0"/>
    <x v="3"/>
    <x v="1"/>
    <x v="606"/>
    <n v="14363"/>
    <n v="1"/>
    <x v="0"/>
    <n v="18"/>
    <n v="3"/>
    <n v="4"/>
    <x v="0"/>
    <n v="5"/>
    <x v="1"/>
    <n v="3"/>
    <n v="3"/>
    <x v="2"/>
    <n v="3"/>
    <n v="0"/>
    <n v="3"/>
  </r>
  <r>
    <x v="2"/>
    <x v="1"/>
    <x v="0"/>
    <n v="607"/>
    <x v="1"/>
    <n v="9"/>
    <x v="1"/>
    <n v="3"/>
    <s v="Life Sciences"/>
    <n v="880"/>
    <n v="4"/>
    <x v="0"/>
    <n v="66"/>
    <n v="2"/>
    <n v="3"/>
    <x v="3"/>
    <x v="2"/>
    <x v="1"/>
    <x v="607"/>
    <n v="23457"/>
    <n v="1"/>
    <x v="0"/>
    <n v="20"/>
    <n v="4"/>
    <n v="2"/>
    <x v="1"/>
    <n v="17"/>
    <x v="2"/>
    <n v="2"/>
    <n v="3"/>
    <x v="3"/>
    <n v="14"/>
    <n v="5"/>
    <n v="15"/>
  </r>
  <r>
    <x v="2"/>
    <x v="0"/>
    <x v="1"/>
    <n v="130"/>
    <x v="1"/>
    <n v="25"/>
    <x v="2"/>
    <n v="4"/>
    <s v="Life Sciences"/>
    <n v="881"/>
    <n v="4"/>
    <x v="0"/>
    <n v="96"/>
    <n v="3"/>
    <n v="1"/>
    <x v="1"/>
    <x v="1"/>
    <x v="2"/>
    <x v="608"/>
    <n v="16612"/>
    <n v="1"/>
    <x v="0"/>
    <n v="19"/>
    <n v="3"/>
    <n v="1"/>
    <x v="1"/>
    <n v="10"/>
    <x v="0"/>
    <n v="3"/>
    <n v="2"/>
    <x v="0"/>
    <n v="2"/>
    <n v="7"/>
    <n v="8"/>
  </r>
  <r>
    <x v="2"/>
    <x v="1"/>
    <x v="2"/>
    <n v="300"/>
    <x v="1"/>
    <n v="1"/>
    <x v="0"/>
    <n v="3"/>
    <s v="Life Sciences"/>
    <n v="882"/>
    <n v="4"/>
    <x v="1"/>
    <n v="61"/>
    <n v="3"/>
    <n v="1"/>
    <x v="2"/>
    <x v="0"/>
    <x v="2"/>
    <x v="609"/>
    <n v="9148"/>
    <n v="0"/>
    <x v="1"/>
    <n v="12"/>
    <n v="3"/>
    <n v="2"/>
    <x v="1"/>
    <n v="4"/>
    <x v="1"/>
    <n v="2"/>
    <n v="3"/>
    <x v="2"/>
    <n v="0"/>
    <n v="0"/>
    <n v="2"/>
  </r>
  <r>
    <x v="3"/>
    <x v="1"/>
    <x v="0"/>
    <n v="583"/>
    <x v="0"/>
    <n v="4"/>
    <x v="0"/>
    <n v="1"/>
    <s v="Marketing"/>
    <n v="885"/>
    <n v="3"/>
    <x v="1"/>
    <n v="87"/>
    <n v="2"/>
    <n v="2"/>
    <x v="0"/>
    <x v="3"/>
    <x v="1"/>
    <x v="610"/>
    <n v="18154"/>
    <n v="1"/>
    <x v="1"/>
    <n v="12"/>
    <n v="3"/>
    <n v="1"/>
    <x v="0"/>
    <n v="5"/>
    <x v="1"/>
    <n v="1"/>
    <n v="4"/>
    <x v="2"/>
    <n v="2"/>
    <n v="0"/>
    <n v="3"/>
  </r>
  <r>
    <x v="1"/>
    <x v="1"/>
    <x v="0"/>
    <n v="1418"/>
    <x v="1"/>
    <n v="1"/>
    <x v="0"/>
    <n v="3"/>
    <s v="Technical Degree"/>
    <n v="887"/>
    <n v="3"/>
    <x v="0"/>
    <n v="36"/>
    <n v="3"/>
    <n v="1"/>
    <x v="1"/>
    <x v="3"/>
    <x v="1"/>
    <x v="611"/>
    <n v="10554"/>
    <n v="2"/>
    <x v="1"/>
    <n v="16"/>
    <n v="3"/>
    <n v="2"/>
    <x v="1"/>
    <n v="7"/>
    <x v="0"/>
    <n v="2"/>
    <n v="3"/>
    <x v="2"/>
    <n v="2"/>
    <n v="0"/>
    <n v="2"/>
  </r>
  <r>
    <x v="3"/>
    <x v="1"/>
    <x v="2"/>
    <n v="1269"/>
    <x v="1"/>
    <n v="4"/>
    <x v="0"/>
    <n v="1"/>
    <s v="Life Sciences"/>
    <n v="888"/>
    <n v="1"/>
    <x v="1"/>
    <n v="46"/>
    <n v="2"/>
    <n v="1"/>
    <x v="2"/>
    <x v="0"/>
    <x v="1"/>
    <x v="612"/>
    <n v="10778"/>
    <n v="0"/>
    <x v="1"/>
    <n v="17"/>
    <n v="3"/>
    <n v="4"/>
    <x v="0"/>
    <n v="6"/>
    <x v="0"/>
    <n v="2"/>
    <n v="2"/>
    <x v="2"/>
    <n v="2"/>
    <n v="3"/>
    <n v="4"/>
  </r>
  <r>
    <x v="2"/>
    <x v="1"/>
    <x v="1"/>
    <n v="379"/>
    <x v="0"/>
    <n v="5"/>
    <x v="0"/>
    <n v="2"/>
    <s v="Life Sciences"/>
    <n v="889"/>
    <n v="2"/>
    <x v="1"/>
    <n v="48"/>
    <n v="3"/>
    <n v="2"/>
    <x v="0"/>
    <x v="1"/>
    <x v="1"/>
    <x v="613"/>
    <n v="8891"/>
    <n v="1"/>
    <x v="1"/>
    <n v="14"/>
    <n v="3"/>
    <n v="4"/>
    <x v="1"/>
    <n v="10"/>
    <x v="0"/>
    <n v="3"/>
    <n v="3"/>
    <x v="0"/>
    <n v="8"/>
    <n v="5"/>
    <n v="3"/>
  </r>
  <r>
    <x v="0"/>
    <x v="1"/>
    <x v="0"/>
    <n v="395"/>
    <x v="0"/>
    <n v="9"/>
    <x v="1"/>
    <n v="3"/>
    <s v="Marketing"/>
    <n v="893"/>
    <n v="2"/>
    <x v="1"/>
    <n v="98"/>
    <n v="2"/>
    <n v="1"/>
    <x v="6"/>
    <x v="1"/>
    <x v="1"/>
    <x v="614"/>
    <n v="12102"/>
    <n v="0"/>
    <x v="1"/>
    <n v="19"/>
    <n v="3"/>
    <n v="4"/>
    <x v="1"/>
    <n v="3"/>
    <x v="1"/>
    <n v="3"/>
    <n v="3"/>
    <x v="1"/>
    <n v="2"/>
    <n v="1"/>
    <n v="2"/>
  </r>
  <r>
    <x v="0"/>
    <x v="1"/>
    <x v="0"/>
    <n v="1265"/>
    <x v="1"/>
    <n v="3"/>
    <x v="0"/>
    <n v="3"/>
    <s v="Life Sciences"/>
    <n v="894"/>
    <n v="3"/>
    <x v="0"/>
    <n v="95"/>
    <n v="4"/>
    <n v="2"/>
    <x v="2"/>
    <x v="0"/>
    <x v="1"/>
    <x v="615"/>
    <n v="23726"/>
    <n v="2"/>
    <x v="0"/>
    <n v="13"/>
    <n v="3"/>
    <n v="2"/>
    <x v="1"/>
    <n v="17"/>
    <x v="2"/>
    <n v="1"/>
    <n v="2"/>
    <x v="2"/>
    <n v="3"/>
    <n v="1"/>
    <n v="3"/>
  </r>
  <r>
    <x v="2"/>
    <x v="1"/>
    <x v="0"/>
    <n v="1222"/>
    <x v="1"/>
    <n v="11"/>
    <x v="1"/>
    <n v="4"/>
    <s v="Life Sciences"/>
    <n v="895"/>
    <n v="4"/>
    <x v="1"/>
    <n v="48"/>
    <n v="3"/>
    <n v="1"/>
    <x v="1"/>
    <x v="0"/>
    <x v="1"/>
    <x v="616"/>
    <n v="14871"/>
    <n v="3"/>
    <x v="0"/>
    <n v="19"/>
    <n v="3"/>
    <n v="2"/>
    <x v="1"/>
    <n v="8"/>
    <x v="0"/>
    <n v="2"/>
    <n v="3"/>
    <x v="0"/>
    <n v="4"/>
    <n v="0"/>
    <n v="2"/>
  </r>
  <r>
    <x v="2"/>
    <x v="0"/>
    <x v="0"/>
    <n v="341"/>
    <x v="0"/>
    <n v="1"/>
    <x v="0"/>
    <n v="3"/>
    <s v="Medical"/>
    <n v="896"/>
    <n v="2"/>
    <x v="0"/>
    <n v="48"/>
    <n v="2"/>
    <n v="1"/>
    <x v="6"/>
    <x v="2"/>
    <x v="2"/>
    <x v="617"/>
    <n v="23522"/>
    <n v="6"/>
    <x v="0"/>
    <n v="19"/>
    <n v="3"/>
    <n v="3"/>
    <x v="2"/>
    <n v="5"/>
    <x v="1"/>
    <n v="3"/>
    <n v="3"/>
    <x v="2"/>
    <n v="2"/>
    <n v="0"/>
    <n v="2"/>
  </r>
  <r>
    <x v="1"/>
    <x v="1"/>
    <x v="0"/>
    <n v="868"/>
    <x v="0"/>
    <n v="8"/>
    <x v="1"/>
    <n v="3"/>
    <s v="Marketing"/>
    <n v="897"/>
    <n v="1"/>
    <x v="1"/>
    <n v="73"/>
    <n v="3"/>
    <n v="4"/>
    <x v="0"/>
    <x v="0"/>
    <x v="1"/>
    <x v="618"/>
    <n v="22789"/>
    <n v="5"/>
    <x v="1"/>
    <n v="14"/>
    <n v="3"/>
    <n v="3"/>
    <x v="1"/>
    <n v="28"/>
    <x v="2"/>
    <n v="3"/>
    <n v="3"/>
    <x v="1"/>
    <n v="0"/>
    <n v="2"/>
    <n v="2"/>
  </r>
  <r>
    <x v="2"/>
    <x v="1"/>
    <x v="0"/>
    <n v="672"/>
    <x v="1"/>
    <n v="25"/>
    <x v="2"/>
    <n v="3"/>
    <s v="Technical Degree"/>
    <n v="899"/>
    <n v="4"/>
    <x v="1"/>
    <n v="78"/>
    <n v="2"/>
    <n v="3"/>
    <x v="3"/>
    <x v="1"/>
    <x v="1"/>
    <x v="619"/>
    <n v="9129"/>
    <n v="3"/>
    <x v="1"/>
    <n v="16"/>
    <n v="3"/>
    <n v="1"/>
    <x v="0"/>
    <n v="16"/>
    <x v="2"/>
    <n v="2"/>
    <n v="3"/>
    <x v="3"/>
    <n v="10"/>
    <n v="4"/>
    <n v="8"/>
  </r>
  <r>
    <x v="0"/>
    <x v="1"/>
    <x v="1"/>
    <n v="1231"/>
    <x v="0"/>
    <n v="21"/>
    <x v="2"/>
    <n v="2"/>
    <s v="Medical"/>
    <n v="900"/>
    <n v="3"/>
    <x v="0"/>
    <n v="54"/>
    <n v="3"/>
    <n v="1"/>
    <x v="6"/>
    <x v="0"/>
    <x v="1"/>
    <x v="620"/>
    <n v="21222"/>
    <n v="5"/>
    <x v="1"/>
    <n v="15"/>
    <n v="3"/>
    <n v="2"/>
    <x v="1"/>
    <n v="10"/>
    <x v="0"/>
    <n v="3"/>
    <n v="3"/>
    <x v="2"/>
    <n v="4"/>
    <n v="0"/>
    <n v="0"/>
  </r>
  <r>
    <x v="1"/>
    <x v="1"/>
    <x v="0"/>
    <n v="102"/>
    <x v="1"/>
    <n v="23"/>
    <x v="2"/>
    <n v="4"/>
    <s v="Life Sciences"/>
    <n v="901"/>
    <n v="4"/>
    <x v="0"/>
    <n v="72"/>
    <n v="3"/>
    <n v="4"/>
    <x v="7"/>
    <x v="0"/>
    <x v="0"/>
    <x v="621"/>
    <n v="20206"/>
    <n v="6"/>
    <x v="1"/>
    <n v="18"/>
    <n v="3"/>
    <n v="3"/>
    <x v="0"/>
    <n v="33"/>
    <x v="2"/>
    <n v="0"/>
    <n v="3"/>
    <x v="3"/>
    <n v="9"/>
    <n v="3"/>
    <n v="8"/>
  </r>
  <r>
    <x v="0"/>
    <x v="1"/>
    <x v="1"/>
    <n v="422"/>
    <x v="1"/>
    <n v="1"/>
    <x v="0"/>
    <n v="3"/>
    <s v="Life Sciences"/>
    <n v="902"/>
    <n v="4"/>
    <x v="0"/>
    <n v="33"/>
    <n v="3"/>
    <n v="2"/>
    <x v="4"/>
    <x v="0"/>
    <x v="1"/>
    <x v="622"/>
    <n v="21782"/>
    <n v="4"/>
    <x v="1"/>
    <n v="13"/>
    <n v="3"/>
    <n v="2"/>
    <x v="1"/>
    <n v="12"/>
    <x v="0"/>
    <n v="2"/>
    <n v="2"/>
    <x v="2"/>
    <n v="2"/>
    <n v="2"/>
    <n v="2"/>
  </r>
  <r>
    <x v="1"/>
    <x v="1"/>
    <x v="0"/>
    <n v="249"/>
    <x v="0"/>
    <n v="2"/>
    <x v="0"/>
    <n v="2"/>
    <s v="Marketing"/>
    <n v="903"/>
    <n v="3"/>
    <x v="0"/>
    <n v="35"/>
    <n v="3"/>
    <n v="2"/>
    <x v="0"/>
    <x v="0"/>
    <x v="1"/>
    <x v="623"/>
    <n v="17783"/>
    <n v="0"/>
    <x v="0"/>
    <n v="22"/>
    <n v="4"/>
    <n v="1"/>
    <x v="1"/>
    <n v="8"/>
    <x v="0"/>
    <n v="2"/>
    <n v="3"/>
    <x v="0"/>
    <n v="6"/>
    <n v="7"/>
    <n v="7"/>
  </r>
  <r>
    <x v="0"/>
    <x v="1"/>
    <x v="2"/>
    <n v="1252"/>
    <x v="0"/>
    <n v="19"/>
    <x v="2"/>
    <n v="2"/>
    <s v="Medical"/>
    <n v="904"/>
    <n v="1"/>
    <x v="1"/>
    <n v="32"/>
    <n v="3"/>
    <n v="3"/>
    <x v="0"/>
    <x v="1"/>
    <x v="0"/>
    <x v="624"/>
    <n v="4814"/>
    <n v="1"/>
    <x v="0"/>
    <n v="13"/>
    <n v="3"/>
    <n v="4"/>
    <x v="0"/>
    <n v="10"/>
    <x v="0"/>
    <n v="2"/>
    <n v="3"/>
    <x v="0"/>
    <n v="0"/>
    <n v="0"/>
    <n v="9"/>
  </r>
  <r>
    <x v="1"/>
    <x v="1"/>
    <x v="2"/>
    <n v="881"/>
    <x v="1"/>
    <n v="2"/>
    <x v="0"/>
    <n v="4"/>
    <s v="Life Sciences"/>
    <n v="905"/>
    <n v="1"/>
    <x v="1"/>
    <n v="98"/>
    <n v="3"/>
    <n v="4"/>
    <x v="5"/>
    <x v="3"/>
    <x v="2"/>
    <x v="625"/>
    <n v="4544"/>
    <n v="1"/>
    <x v="1"/>
    <n v="11"/>
    <n v="3"/>
    <n v="4"/>
    <x v="1"/>
    <n v="31"/>
    <x v="2"/>
    <n v="3"/>
    <n v="3"/>
    <x v="3"/>
    <n v="6"/>
    <n v="14"/>
    <n v="7"/>
  </r>
  <r>
    <x v="0"/>
    <x v="1"/>
    <x v="0"/>
    <n v="1383"/>
    <x v="2"/>
    <n v="2"/>
    <x v="0"/>
    <n v="3"/>
    <s v="Life Sciences"/>
    <n v="909"/>
    <n v="4"/>
    <x v="0"/>
    <n v="42"/>
    <n v="2"/>
    <n v="2"/>
    <x v="8"/>
    <x v="0"/>
    <x v="1"/>
    <x v="626"/>
    <n v="7790"/>
    <n v="8"/>
    <x v="1"/>
    <n v="11"/>
    <n v="3"/>
    <n v="3"/>
    <x v="3"/>
    <n v="13"/>
    <x v="0"/>
    <n v="2"/>
    <n v="3"/>
    <x v="2"/>
    <n v="4"/>
    <n v="0"/>
    <n v="4"/>
  </r>
  <r>
    <x v="2"/>
    <x v="1"/>
    <x v="0"/>
    <n v="1075"/>
    <x v="2"/>
    <n v="3"/>
    <x v="0"/>
    <n v="2"/>
    <s v="Human Resources"/>
    <n v="910"/>
    <n v="4"/>
    <x v="1"/>
    <n v="57"/>
    <n v="3"/>
    <n v="1"/>
    <x v="8"/>
    <x v="1"/>
    <x v="2"/>
    <x v="627"/>
    <n v="22650"/>
    <n v="3"/>
    <x v="0"/>
    <n v="11"/>
    <n v="3"/>
    <n v="3"/>
    <x v="1"/>
    <n v="7"/>
    <x v="0"/>
    <n v="4"/>
    <n v="4"/>
    <x v="2"/>
    <n v="3"/>
    <n v="0"/>
    <n v="3"/>
  </r>
  <r>
    <x v="2"/>
    <x v="0"/>
    <x v="0"/>
    <n v="374"/>
    <x v="1"/>
    <n v="25"/>
    <x v="2"/>
    <n v="4"/>
    <s v="Life Sciences"/>
    <n v="911"/>
    <n v="1"/>
    <x v="1"/>
    <n v="87"/>
    <n v="3"/>
    <n v="1"/>
    <x v="2"/>
    <x v="0"/>
    <x v="0"/>
    <x v="628"/>
    <n v="18016"/>
    <n v="1"/>
    <x v="0"/>
    <n v="24"/>
    <n v="4"/>
    <n v="3"/>
    <x v="0"/>
    <n v="1"/>
    <x v="1"/>
    <n v="2"/>
    <n v="1"/>
    <x v="1"/>
    <n v="0"/>
    <n v="0"/>
    <n v="1"/>
  </r>
  <r>
    <x v="2"/>
    <x v="1"/>
    <x v="0"/>
    <n v="1086"/>
    <x v="1"/>
    <n v="7"/>
    <x v="1"/>
    <n v="1"/>
    <s v="Medical"/>
    <n v="912"/>
    <n v="1"/>
    <x v="0"/>
    <n v="62"/>
    <n v="2"/>
    <n v="1"/>
    <x v="2"/>
    <x v="0"/>
    <x v="2"/>
    <x v="629"/>
    <n v="6054"/>
    <n v="6"/>
    <x v="1"/>
    <n v="14"/>
    <n v="3"/>
    <n v="3"/>
    <x v="2"/>
    <n v="8"/>
    <x v="0"/>
    <n v="5"/>
    <n v="3"/>
    <x v="2"/>
    <n v="3"/>
    <n v="0"/>
    <n v="3"/>
  </r>
  <r>
    <x v="0"/>
    <x v="1"/>
    <x v="0"/>
    <n v="661"/>
    <x v="1"/>
    <n v="9"/>
    <x v="1"/>
    <n v="2"/>
    <s v="Life Sciences"/>
    <n v="913"/>
    <n v="2"/>
    <x v="1"/>
    <n v="61"/>
    <n v="3"/>
    <n v="1"/>
    <x v="1"/>
    <x v="3"/>
    <x v="1"/>
    <x v="594"/>
    <n v="7508"/>
    <n v="1"/>
    <x v="0"/>
    <n v="13"/>
    <n v="3"/>
    <n v="4"/>
    <x v="0"/>
    <n v="8"/>
    <x v="0"/>
    <n v="0"/>
    <n v="3"/>
    <x v="0"/>
    <n v="7"/>
    <n v="7"/>
    <n v="1"/>
  </r>
  <r>
    <x v="2"/>
    <x v="1"/>
    <x v="0"/>
    <n v="821"/>
    <x v="0"/>
    <n v="5"/>
    <x v="0"/>
    <n v="4"/>
    <s v="Medical"/>
    <n v="916"/>
    <n v="1"/>
    <x v="1"/>
    <n v="98"/>
    <n v="3"/>
    <n v="2"/>
    <x v="0"/>
    <x v="0"/>
    <x v="0"/>
    <x v="630"/>
    <n v="24252"/>
    <n v="1"/>
    <x v="1"/>
    <n v="14"/>
    <n v="3"/>
    <n v="2"/>
    <x v="0"/>
    <n v="4"/>
    <x v="1"/>
    <n v="3"/>
    <n v="3"/>
    <x v="2"/>
    <n v="2"/>
    <n v="0"/>
    <n v="2"/>
  </r>
  <r>
    <x v="1"/>
    <x v="0"/>
    <x v="1"/>
    <n v="781"/>
    <x v="1"/>
    <n v="2"/>
    <x v="0"/>
    <n v="1"/>
    <s v="Life Sciences"/>
    <n v="918"/>
    <n v="4"/>
    <x v="1"/>
    <n v="57"/>
    <n v="2"/>
    <n v="1"/>
    <x v="2"/>
    <x v="0"/>
    <x v="2"/>
    <x v="631"/>
    <n v="13384"/>
    <n v="9"/>
    <x v="0"/>
    <n v="14"/>
    <n v="3"/>
    <n v="4"/>
    <x v="1"/>
    <n v="3"/>
    <x v="1"/>
    <n v="3"/>
    <n v="2"/>
    <x v="1"/>
    <n v="0"/>
    <n v="0"/>
    <n v="0"/>
  </r>
  <r>
    <x v="0"/>
    <x v="1"/>
    <x v="0"/>
    <n v="177"/>
    <x v="1"/>
    <n v="8"/>
    <x v="1"/>
    <n v="3"/>
    <s v="Life Sciences"/>
    <n v="920"/>
    <n v="1"/>
    <x v="0"/>
    <n v="55"/>
    <n v="3"/>
    <n v="2"/>
    <x v="3"/>
    <x v="1"/>
    <x v="2"/>
    <x v="632"/>
    <n v="23814"/>
    <n v="4"/>
    <x v="1"/>
    <n v="21"/>
    <n v="4"/>
    <n v="3"/>
    <x v="1"/>
    <n v="4"/>
    <x v="1"/>
    <n v="2"/>
    <n v="4"/>
    <x v="1"/>
    <n v="0"/>
    <n v="0"/>
    <n v="0"/>
  </r>
  <r>
    <x v="3"/>
    <x v="0"/>
    <x v="0"/>
    <n v="500"/>
    <x v="0"/>
    <n v="2"/>
    <x v="0"/>
    <n v="3"/>
    <s v="Medical"/>
    <n v="922"/>
    <n v="3"/>
    <x v="0"/>
    <n v="49"/>
    <n v="2"/>
    <n v="1"/>
    <x v="6"/>
    <x v="2"/>
    <x v="0"/>
    <x v="633"/>
    <n v="22052"/>
    <n v="1"/>
    <x v="1"/>
    <n v="13"/>
    <n v="3"/>
    <n v="4"/>
    <x v="0"/>
    <n v="2"/>
    <x v="1"/>
    <n v="3"/>
    <n v="2"/>
    <x v="1"/>
    <n v="2"/>
    <n v="0"/>
    <n v="2"/>
  </r>
  <r>
    <x v="3"/>
    <x v="0"/>
    <x v="0"/>
    <n v="1427"/>
    <x v="1"/>
    <n v="18"/>
    <x v="2"/>
    <n v="1"/>
    <s v="Other"/>
    <n v="923"/>
    <n v="4"/>
    <x v="0"/>
    <n v="65"/>
    <n v="3"/>
    <n v="1"/>
    <x v="1"/>
    <x v="0"/>
    <x v="0"/>
    <x v="7"/>
    <n v="8870"/>
    <n v="1"/>
    <x v="1"/>
    <n v="19"/>
    <n v="3"/>
    <n v="1"/>
    <x v="0"/>
    <n v="1"/>
    <x v="1"/>
    <n v="3"/>
    <n v="2"/>
    <x v="1"/>
    <n v="0"/>
    <n v="0"/>
    <n v="0"/>
  </r>
  <r>
    <x v="0"/>
    <x v="1"/>
    <x v="0"/>
    <n v="1425"/>
    <x v="1"/>
    <n v="14"/>
    <x v="1"/>
    <n v="1"/>
    <s v="Life Sciences"/>
    <n v="924"/>
    <n v="3"/>
    <x v="1"/>
    <n v="68"/>
    <n v="3"/>
    <n v="2"/>
    <x v="4"/>
    <x v="0"/>
    <x v="1"/>
    <x v="634"/>
    <n v="4821"/>
    <n v="0"/>
    <x v="0"/>
    <n v="17"/>
    <n v="3"/>
    <n v="1"/>
    <x v="1"/>
    <n v="17"/>
    <x v="2"/>
    <n v="2"/>
    <n v="2"/>
    <x v="3"/>
    <n v="8"/>
    <n v="4"/>
    <n v="11"/>
  </r>
  <r>
    <x v="1"/>
    <x v="1"/>
    <x v="0"/>
    <n v="1454"/>
    <x v="0"/>
    <n v="2"/>
    <x v="0"/>
    <n v="4"/>
    <s v="Life Sciences"/>
    <n v="925"/>
    <n v="4"/>
    <x v="0"/>
    <n v="65"/>
    <n v="2"/>
    <n v="1"/>
    <x v="6"/>
    <x v="0"/>
    <x v="0"/>
    <x v="635"/>
    <n v="13137"/>
    <n v="1"/>
    <x v="0"/>
    <n v="18"/>
    <n v="3"/>
    <n v="1"/>
    <x v="0"/>
    <n v="3"/>
    <x v="1"/>
    <n v="3"/>
    <n v="2"/>
    <x v="2"/>
    <n v="2"/>
    <n v="1"/>
    <n v="2"/>
  </r>
  <r>
    <x v="3"/>
    <x v="0"/>
    <x v="0"/>
    <n v="617"/>
    <x v="1"/>
    <n v="3"/>
    <x v="0"/>
    <n v="1"/>
    <s v="Life Sciences"/>
    <n v="926"/>
    <n v="2"/>
    <x v="0"/>
    <n v="34"/>
    <n v="3"/>
    <n v="2"/>
    <x v="3"/>
    <x v="2"/>
    <x v="1"/>
    <x v="636"/>
    <n v="10022"/>
    <n v="0"/>
    <x v="0"/>
    <n v="19"/>
    <n v="3"/>
    <n v="1"/>
    <x v="1"/>
    <n v="4"/>
    <x v="1"/>
    <n v="3"/>
    <n v="4"/>
    <x v="2"/>
    <n v="2"/>
    <n v="0"/>
    <n v="2"/>
  </r>
  <r>
    <x v="0"/>
    <x v="0"/>
    <x v="0"/>
    <n v="1085"/>
    <x v="1"/>
    <n v="2"/>
    <x v="0"/>
    <n v="4"/>
    <s v="Life Sciences"/>
    <n v="927"/>
    <n v="2"/>
    <x v="0"/>
    <n v="57"/>
    <n v="1"/>
    <n v="1"/>
    <x v="2"/>
    <x v="0"/>
    <x v="2"/>
    <x v="637"/>
    <n v="17725"/>
    <n v="4"/>
    <x v="0"/>
    <n v="13"/>
    <n v="3"/>
    <n v="3"/>
    <x v="1"/>
    <n v="10"/>
    <x v="0"/>
    <n v="1"/>
    <n v="2"/>
    <x v="0"/>
    <n v="7"/>
    <n v="1"/>
    <n v="0"/>
  </r>
  <r>
    <x v="2"/>
    <x v="1"/>
    <x v="0"/>
    <n v="995"/>
    <x v="1"/>
    <n v="9"/>
    <x v="1"/>
    <n v="3"/>
    <s v="Medical"/>
    <n v="930"/>
    <n v="3"/>
    <x v="0"/>
    <n v="77"/>
    <n v="3"/>
    <n v="1"/>
    <x v="1"/>
    <x v="2"/>
    <x v="2"/>
    <x v="638"/>
    <n v="9834"/>
    <n v="5"/>
    <x v="1"/>
    <n v="18"/>
    <n v="3"/>
    <n v="2"/>
    <x v="1"/>
    <n v="6"/>
    <x v="0"/>
    <n v="2"/>
    <n v="3"/>
    <x v="1"/>
    <n v="2"/>
    <n v="2"/>
    <n v="2"/>
  </r>
  <r>
    <x v="0"/>
    <x v="0"/>
    <x v="0"/>
    <n v="1122"/>
    <x v="1"/>
    <n v="6"/>
    <x v="1"/>
    <n v="3"/>
    <s v="Medical"/>
    <n v="932"/>
    <n v="4"/>
    <x v="1"/>
    <n v="70"/>
    <n v="3"/>
    <n v="1"/>
    <x v="2"/>
    <x v="3"/>
    <x v="1"/>
    <x v="639"/>
    <n v="4303"/>
    <n v="7"/>
    <x v="0"/>
    <n v="21"/>
    <n v="4"/>
    <n v="4"/>
    <x v="0"/>
    <n v="8"/>
    <x v="0"/>
    <n v="2"/>
    <n v="1"/>
    <x v="1"/>
    <n v="2"/>
    <n v="2"/>
    <n v="2"/>
  </r>
  <r>
    <x v="2"/>
    <x v="1"/>
    <x v="0"/>
    <n v="618"/>
    <x v="1"/>
    <n v="4"/>
    <x v="0"/>
    <n v="3"/>
    <s v="Life Sciences"/>
    <n v="933"/>
    <n v="2"/>
    <x v="0"/>
    <n v="76"/>
    <n v="3"/>
    <n v="1"/>
    <x v="1"/>
    <x v="2"/>
    <x v="0"/>
    <x v="640"/>
    <n v="17808"/>
    <n v="1"/>
    <x v="1"/>
    <n v="19"/>
    <n v="3"/>
    <n v="3"/>
    <x v="0"/>
    <n v="1"/>
    <x v="1"/>
    <n v="2"/>
    <n v="3"/>
    <x v="1"/>
    <n v="1"/>
    <n v="0"/>
    <n v="0"/>
  </r>
  <r>
    <x v="2"/>
    <x v="1"/>
    <x v="0"/>
    <n v="546"/>
    <x v="1"/>
    <n v="10"/>
    <x v="1"/>
    <n v="3"/>
    <s v="Life Sciences"/>
    <n v="934"/>
    <n v="2"/>
    <x v="1"/>
    <n v="83"/>
    <n v="3"/>
    <n v="1"/>
    <x v="2"/>
    <x v="1"/>
    <x v="2"/>
    <x v="641"/>
    <n v="6896"/>
    <n v="1"/>
    <x v="1"/>
    <n v="14"/>
    <n v="3"/>
    <n v="2"/>
    <x v="3"/>
    <n v="1"/>
    <x v="1"/>
    <n v="3"/>
    <n v="3"/>
    <x v="1"/>
    <n v="0"/>
    <n v="1"/>
    <n v="0"/>
  </r>
  <r>
    <x v="0"/>
    <x v="1"/>
    <x v="0"/>
    <n v="462"/>
    <x v="0"/>
    <n v="14"/>
    <x v="1"/>
    <n v="2"/>
    <s v="Medical"/>
    <n v="936"/>
    <n v="3"/>
    <x v="0"/>
    <n v="68"/>
    <n v="2"/>
    <n v="2"/>
    <x v="0"/>
    <x v="2"/>
    <x v="0"/>
    <x v="642"/>
    <n v="7824"/>
    <n v="7"/>
    <x v="1"/>
    <n v="17"/>
    <n v="3"/>
    <n v="1"/>
    <x v="0"/>
    <n v="10"/>
    <x v="0"/>
    <n v="6"/>
    <n v="3"/>
    <x v="2"/>
    <n v="4"/>
    <n v="0"/>
    <n v="3"/>
  </r>
  <r>
    <x v="2"/>
    <x v="1"/>
    <x v="0"/>
    <n v="1198"/>
    <x v="1"/>
    <n v="1"/>
    <x v="0"/>
    <n v="4"/>
    <s v="Other"/>
    <n v="939"/>
    <n v="3"/>
    <x v="1"/>
    <n v="100"/>
    <n v="2"/>
    <n v="1"/>
    <x v="1"/>
    <x v="3"/>
    <x v="0"/>
    <x v="643"/>
    <n v="3339"/>
    <n v="3"/>
    <x v="0"/>
    <n v="11"/>
    <n v="3"/>
    <n v="2"/>
    <x v="0"/>
    <n v="6"/>
    <x v="0"/>
    <n v="1"/>
    <n v="3"/>
    <x v="2"/>
    <n v="2"/>
    <n v="0"/>
    <n v="2"/>
  </r>
  <r>
    <x v="1"/>
    <x v="1"/>
    <x v="0"/>
    <n v="1272"/>
    <x v="1"/>
    <n v="5"/>
    <x v="0"/>
    <n v="3"/>
    <s v="Technical Degree"/>
    <n v="940"/>
    <n v="3"/>
    <x v="0"/>
    <n v="37"/>
    <n v="2"/>
    <n v="3"/>
    <x v="4"/>
    <x v="1"/>
    <x v="2"/>
    <x v="644"/>
    <n v="9255"/>
    <n v="2"/>
    <x v="0"/>
    <n v="13"/>
    <n v="3"/>
    <n v="4"/>
    <x v="1"/>
    <n v="24"/>
    <x v="2"/>
    <n v="3"/>
    <n v="3"/>
    <x v="0"/>
    <n v="0"/>
    <n v="0"/>
    <n v="4"/>
  </r>
  <r>
    <x v="2"/>
    <x v="1"/>
    <x v="0"/>
    <n v="154"/>
    <x v="0"/>
    <n v="7"/>
    <x v="1"/>
    <n v="4"/>
    <s v="Life Sciences"/>
    <n v="941"/>
    <n v="2"/>
    <x v="1"/>
    <n v="41"/>
    <n v="2"/>
    <n v="1"/>
    <x v="6"/>
    <x v="2"/>
    <x v="1"/>
    <x v="645"/>
    <n v="11737"/>
    <n v="3"/>
    <x v="1"/>
    <n v="15"/>
    <n v="3"/>
    <n v="2"/>
    <x v="0"/>
    <n v="13"/>
    <x v="0"/>
    <n v="2"/>
    <n v="4"/>
    <x v="0"/>
    <n v="7"/>
    <n v="5"/>
    <n v="2"/>
  </r>
  <r>
    <x v="2"/>
    <x v="1"/>
    <x v="0"/>
    <n v="1137"/>
    <x v="1"/>
    <n v="21"/>
    <x v="2"/>
    <n v="1"/>
    <s v="Life Sciences"/>
    <n v="942"/>
    <n v="4"/>
    <x v="0"/>
    <n v="51"/>
    <n v="3"/>
    <n v="2"/>
    <x v="4"/>
    <x v="0"/>
    <x v="1"/>
    <x v="55"/>
    <n v="19170"/>
    <n v="1"/>
    <x v="0"/>
    <n v="25"/>
    <n v="4"/>
    <n v="4"/>
    <x v="1"/>
    <n v="10"/>
    <x v="0"/>
    <n v="2"/>
    <n v="1"/>
    <x v="0"/>
    <n v="6"/>
    <n v="0"/>
    <n v="7"/>
  </r>
  <r>
    <x v="1"/>
    <x v="1"/>
    <x v="0"/>
    <n v="527"/>
    <x v="1"/>
    <n v="8"/>
    <x v="1"/>
    <n v="2"/>
    <s v="Other"/>
    <n v="944"/>
    <n v="1"/>
    <x v="0"/>
    <n v="51"/>
    <n v="3"/>
    <n v="3"/>
    <x v="2"/>
    <x v="1"/>
    <x v="1"/>
    <x v="646"/>
    <n v="22477"/>
    <n v="4"/>
    <x v="1"/>
    <n v="11"/>
    <n v="3"/>
    <n v="3"/>
    <x v="1"/>
    <n v="29"/>
    <x v="2"/>
    <n v="3"/>
    <n v="2"/>
    <x v="3"/>
    <n v="9"/>
    <n v="1"/>
    <n v="7"/>
  </r>
  <r>
    <x v="1"/>
    <x v="1"/>
    <x v="0"/>
    <n v="1469"/>
    <x v="1"/>
    <n v="20"/>
    <x v="2"/>
    <n v="4"/>
    <s v="Medical"/>
    <n v="945"/>
    <n v="4"/>
    <x v="1"/>
    <n v="51"/>
    <n v="3"/>
    <n v="1"/>
    <x v="1"/>
    <x v="2"/>
    <x v="1"/>
    <x v="647"/>
    <n v="5543"/>
    <n v="4"/>
    <x v="1"/>
    <n v="17"/>
    <n v="3"/>
    <n v="1"/>
    <x v="3"/>
    <n v="13"/>
    <x v="0"/>
    <n v="2"/>
    <n v="2"/>
    <x v="1"/>
    <n v="0"/>
    <n v="0"/>
    <n v="0"/>
  </r>
  <r>
    <x v="2"/>
    <x v="1"/>
    <x v="2"/>
    <n v="1188"/>
    <x v="0"/>
    <n v="20"/>
    <x v="2"/>
    <n v="2"/>
    <s v="Marketing"/>
    <n v="947"/>
    <n v="4"/>
    <x v="0"/>
    <n v="45"/>
    <n v="3"/>
    <n v="2"/>
    <x v="0"/>
    <x v="2"/>
    <x v="1"/>
    <x v="648"/>
    <n v="24406"/>
    <n v="1"/>
    <x v="1"/>
    <n v="13"/>
    <n v="3"/>
    <n v="4"/>
    <x v="1"/>
    <n v="9"/>
    <x v="0"/>
    <n v="2"/>
    <n v="2"/>
    <x v="0"/>
    <n v="8"/>
    <n v="0"/>
    <n v="0"/>
  </r>
  <r>
    <x v="0"/>
    <x v="1"/>
    <x v="0"/>
    <n v="188"/>
    <x v="1"/>
    <n v="7"/>
    <x v="1"/>
    <n v="4"/>
    <s v="Other"/>
    <n v="949"/>
    <n v="2"/>
    <x v="1"/>
    <n v="65"/>
    <n v="3"/>
    <n v="1"/>
    <x v="1"/>
    <x v="0"/>
    <x v="0"/>
    <x v="649"/>
    <n v="23293"/>
    <n v="2"/>
    <x v="1"/>
    <n v="18"/>
    <n v="3"/>
    <n v="3"/>
    <x v="0"/>
    <n v="8"/>
    <x v="0"/>
    <n v="6"/>
    <n v="3"/>
    <x v="0"/>
    <n v="2"/>
    <n v="0"/>
    <n v="1"/>
  </r>
  <r>
    <x v="0"/>
    <x v="1"/>
    <x v="0"/>
    <n v="1333"/>
    <x v="1"/>
    <n v="1"/>
    <x v="0"/>
    <n v="3"/>
    <s v="Technical Degree"/>
    <n v="950"/>
    <n v="4"/>
    <x v="0"/>
    <n v="80"/>
    <n v="3"/>
    <n v="3"/>
    <x v="7"/>
    <x v="3"/>
    <x v="1"/>
    <x v="650"/>
    <n v="16292"/>
    <n v="1"/>
    <x v="1"/>
    <n v="13"/>
    <n v="3"/>
    <n v="2"/>
    <x v="1"/>
    <n v="15"/>
    <x v="0"/>
    <n v="3"/>
    <n v="3"/>
    <x v="3"/>
    <n v="12"/>
    <n v="5"/>
    <n v="11"/>
  </r>
  <r>
    <x v="2"/>
    <x v="1"/>
    <x v="2"/>
    <n v="1184"/>
    <x v="1"/>
    <n v="1"/>
    <x v="0"/>
    <n v="3"/>
    <s v="Life Sciences"/>
    <n v="951"/>
    <n v="3"/>
    <x v="0"/>
    <n v="70"/>
    <n v="2"/>
    <n v="1"/>
    <x v="2"/>
    <x v="1"/>
    <x v="1"/>
    <x v="651"/>
    <n v="3974"/>
    <n v="6"/>
    <x v="1"/>
    <n v="20"/>
    <n v="4"/>
    <n v="3"/>
    <x v="0"/>
    <n v="5"/>
    <x v="1"/>
    <n v="3"/>
    <n v="3"/>
    <x v="2"/>
    <n v="0"/>
    <n v="0"/>
    <n v="2"/>
  </r>
  <r>
    <x v="3"/>
    <x v="0"/>
    <x v="0"/>
    <n v="867"/>
    <x v="0"/>
    <n v="19"/>
    <x v="2"/>
    <n v="2"/>
    <s v="Marketing"/>
    <n v="952"/>
    <n v="3"/>
    <x v="1"/>
    <n v="36"/>
    <n v="2"/>
    <n v="1"/>
    <x v="6"/>
    <x v="1"/>
    <x v="1"/>
    <x v="652"/>
    <n v="18798"/>
    <n v="1"/>
    <x v="0"/>
    <n v="18"/>
    <n v="3"/>
    <n v="3"/>
    <x v="2"/>
    <n v="1"/>
    <x v="1"/>
    <n v="2"/>
    <n v="3"/>
    <x v="1"/>
    <n v="0"/>
    <n v="0"/>
    <n v="0"/>
  </r>
  <r>
    <x v="0"/>
    <x v="1"/>
    <x v="0"/>
    <n v="658"/>
    <x v="0"/>
    <n v="10"/>
    <x v="1"/>
    <n v="4"/>
    <s v="Marketing"/>
    <n v="954"/>
    <n v="1"/>
    <x v="1"/>
    <n v="67"/>
    <n v="2"/>
    <n v="3"/>
    <x v="0"/>
    <x v="1"/>
    <x v="2"/>
    <x v="653"/>
    <n v="20652"/>
    <n v="2"/>
    <x v="1"/>
    <n v="12"/>
    <n v="3"/>
    <n v="2"/>
    <x v="1"/>
    <n v="11"/>
    <x v="0"/>
    <n v="2"/>
    <n v="2"/>
    <x v="1"/>
    <n v="0"/>
    <n v="0"/>
    <n v="0"/>
  </r>
  <r>
    <x v="2"/>
    <x v="1"/>
    <x v="1"/>
    <n v="1283"/>
    <x v="0"/>
    <n v="1"/>
    <x v="0"/>
    <n v="3"/>
    <s v="Medical"/>
    <n v="956"/>
    <n v="3"/>
    <x v="1"/>
    <n v="52"/>
    <n v="2"/>
    <n v="2"/>
    <x v="0"/>
    <x v="3"/>
    <x v="0"/>
    <x v="654"/>
    <n v="11148"/>
    <n v="1"/>
    <x v="1"/>
    <n v="12"/>
    <n v="3"/>
    <n v="2"/>
    <x v="0"/>
    <n v="7"/>
    <x v="0"/>
    <n v="2"/>
    <n v="3"/>
    <x v="0"/>
    <n v="7"/>
    <n v="0"/>
    <n v="7"/>
  </r>
  <r>
    <x v="0"/>
    <x v="1"/>
    <x v="0"/>
    <n v="263"/>
    <x v="1"/>
    <n v="6"/>
    <x v="1"/>
    <n v="3"/>
    <s v="Medical"/>
    <n v="957"/>
    <n v="4"/>
    <x v="1"/>
    <n v="59"/>
    <n v="3"/>
    <n v="1"/>
    <x v="2"/>
    <x v="3"/>
    <x v="0"/>
    <x v="655"/>
    <n v="3119"/>
    <n v="2"/>
    <x v="0"/>
    <n v="13"/>
    <n v="3"/>
    <n v="3"/>
    <x v="0"/>
    <n v="20"/>
    <x v="2"/>
    <n v="3"/>
    <n v="3"/>
    <x v="3"/>
    <n v="13"/>
    <n v="2"/>
    <n v="17"/>
  </r>
  <r>
    <x v="0"/>
    <x v="1"/>
    <x v="0"/>
    <n v="938"/>
    <x v="1"/>
    <n v="2"/>
    <x v="0"/>
    <n v="4"/>
    <s v="Medical"/>
    <n v="958"/>
    <n v="3"/>
    <x v="1"/>
    <n v="79"/>
    <n v="3"/>
    <n v="1"/>
    <x v="2"/>
    <x v="2"/>
    <x v="0"/>
    <x v="656"/>
    <n v="12287"/>
    <n v="4"/>
    <x v="1"/>
    <n v="21"/>
    <n v="4"/>
    <n v="3"/>
    <x v="0"/>
    <n v="16"/>
    <x v="2"/>
    <n v="6"/>
    <n v="3"/>
    <x v="3"/>
    <n v="8"/>
    <n v="3"/>
    <n v="9"/>
  </r>
  <r>
    <x v="3"/>
    <x v="0"/>
    <x v="0"/>
    <n v="419"/>
    <x v="0"/>
    <n v="21"/>
    <x v="2"/>
    <n v="3"/>
    <s v="Other"/>
    <n v="959"/>
    <n v="4"/>
    <x v="1"/>
    <n v="37"/>
    <n v="2"/>
    <n v="1"/>
    <x v="6"/>
    <x v="1"/>
    <x v="0"/>
    <x v="657"/>
    <n v="9947"/>
    <n v="1"/>
    <x v="0"/>
    <n v="13"/>
    <n v="3"/>
    <n v="2"/>
    <x v="0"/>
    <n v="1"/>
    <x v="1"/>
    <n v="3"/>
    <n v="4"/>
    <x v="1"/>
    <n v="0"/>
    <n v="0"/>
    <n v="0"/>
  </r>
  <r>
    <x v="3"/>
    <x v="0"/>
    <x v="0"/>
    <n v="129"/>
    <x v="1"/>
    <n v="4"/>
    <x v="0"/>
    <n v="3"/>
    <s v="Technical Degree"/>
    <n v="960"/>
    <n v="1"/>
    <x v="1"/>
    <n v="84"/>
    <n v="3"/>
    <n v="1"/>
    <x v="2"/>
    <x v="3"/>
    <x v="0"/>
    <x v="620"/>
    <n v="13008"/>
    <n v="1"/>
    <x v="1"/>
    <n v="19"/>
    <n v="3"/>
    <n v="2"/>
    <x v="0"/>
    <n v="1"/>
    <x v="1"/>
    <n v="2"/>
    <n v="3"/>
    <x v="1"/>
    <n v="0"/>
    <n v="0"/>
    <n v="0"/>
  </r>
  <r>
    <x v="2"/>
    <x v="1"/>
    <x v="0"/>
    <n v="616"/>
    <x v="1"/>
    <n v="12"/>
    <x v="1"/>
    <n v="3"/>
    <s v="Medical"/>
    <n v="961"/>
    <n v="4"/>
    <x v="0"/>
    <n v="41"/>
    <n v="3"/>
    <n v="2"/>
    <x v="4"/>
    <x v="0"/>
    <x v="1"/>
    <x v="658"/>
    <n v="17369"/>
    <n v="0"/>
    <x v="0"/>
    <n v="11"/>
    <n v="3"/>
    <n v="3"/>
    <x v="3"/>
    <n v="10"/>
    <x v="0"/>
    <n v="2"/>
    <n v="1"/>
    <x v="0"/>
    <n v="7"/>
    <n v="8"/>
    <n v="5"/>
  </r>
  <r>
    <x v="0"/>
    <x v="1"/>
    <x v="1"/>
    <n v="1469"/>
    <x v="1"/>
    <n v="9"/>
    <x v="1"/>
    <n v="4"/>
    <s v="Medical"/>
    <n v="964"/>
    <n v="4"/>
    <x v="1"/>
    <n v="35"/>
    <n v="3"/>
    <n v="1"/>
    <x v="1"/>
    <x v="1"/>
    <x v="2"/>
    <x v="659"/>
    <n v="25063"/>
    <n v="8"/>
    <x v="0"/>
    <n v="14"/>
    <n v="3"/>
    <n v="4"/>
    <x v="1"/>
    <n v="3"/>
    <x v="1"/>
    <n v="2"/>
    <n v="3"/>
    <x v="1"/>
    <n v="1"/>
    <n v="0"/>
    <n v="0"/>
  </r>
  <r>
    <x v="2"/>
    <x v="1"/>
    <x v="0"/>
    <n v="498"/>
    <x v="1"/>
    <n v="3"/>
    <x v="0"/>
    <n v="4"/>
    <s v="Medical"/>
    <n v="966"/>
    <n v="3"/>
    <x v="0"/>
    <n v="93"/>
    <n v="3"/>
    <n v="2"/>
    <x v="3"/>
    <x v="3"/>
    <x v="1"/>
    <x v="660"/>
    <n v="13554"/>
    <n v="1"/>
    <x v="1"/>
    <n v="12"/>
    <n v="3"/>
    <n v="3"/>
    <x v="1"/>
    <n v="8"/>
    <x v="0"/>
    <n v="2"/>
    <n v="4"/>
    <x v="0"/>
    <n v="7"/>
    <n v="6"/>
    <n v="3"/>
  </r>
  <r>
    <x v="0"/>
    <x v="0"/>
    <x v="0"/>
    <n v="530"/>
    <x v="0"/>
    <n v="3"/>
    <x v="0"/>
    <n v="1"/>
    <s v="Life Sciences"/>
    <n v="967"/>
    <n v="3"/>
    <x v="1"/>
    <n v="51"/>
    <n v="2"/>
    <n v="3"/>
    <x v="0"/>
    <x v="0"/>
    <x v="1"/>
    <x v="661"/>
    <n v="5518"/>
    <n v="1"/>
    <x v="0"/>
    <n v="11"/>
    <n v="3"/>
    <n v="1"/>
    <x v="1"/>
    <n v="16"/>
    <x v="2"/>
    <n v="6"/>
    <n v="3"/>
    <x v="3"/>
    <n v="7"/>
    <n v="3"/>
    <n v="7"/>
  </r>
  <r>
    <x v="2"/>
    <x v="1"/>
    <x v="0"/>
    <n v="1069"/>
    <x v="1"/>
    <n v="1"/>
    <x v="0"/>
    <n v="3"/>
    <s v="Life Sciences"/>
    <n v="969"/>
    <n v="2"/>
    <x v="0"/>
    <n v="42"/>
    <n v="2"/>
    <n v="2"/>
    <x v="4"/>
    <x v="0"/>
    <x v="0"/>
    <x v="662"/>
    <n v="12291"/>
    <n v="0"/>
    <x v="1"/>
    <n v="14"/>
    <n v="3"/>
    <n v="1"/>
    <x v="0"/>
    <n v="6"/>
    <x v="0"/>
    <n v="3"/>
    <n v="3"/>
    <x v="2"/>
    <n v="0"/>
    <n v="1"/>
    <n v="4"/>
  </r>
  <r>
    <x v="0"/>
    <x v="0"/>
    <x v="0"/>
    <n v="625"/>
    <x v="0"/>
    <n v="1"/>
    <x v="0"/>
    <n v="4"/>
    <s v="Life Sciences"/>
    <n v="970"/>
    <n v="1"/>
    <x v="1"/>
    <n v="46"/>
    <n v="2"/>
    <n v="3"/>
    <x v="0"/>
    <x v="2"/>
    <x v="1"/>
    <x v="219"/>
    <n v="14922"/>
    <n v="5"/>
    <x v="1"/>
    <n v="11"/>
    <n v="3"/>
    <n v="3"/>
    <x v="0"/>
    <n v="17"/>
    <x v="2"/>
    <n v="2"/>
    <n v="1"/>
    <x v="3"/>
    <n v="1"/>
    <n v="11"/>
    <n v="7"/>
  </r>
  <r>
    <x v="0"/>
    <x v="1"/>
    <x v="2"/>
    <n v="805"/>
    <x v="1"/>
    <n v="4"/>
    <x v="0"/>
    <n v="2"/>
    <s v="Life Sciences"/>
    <n v="972"/>
    <n v="3"/>
    <x v="1"/>
    <n v="57"/>
    <n v="3"/>
    <n v="2"/>
    <x v="2"/>
    <x v="1"/>
    <x v="1"/>
    <x v="663"/>
    <n v="23163"/>
    <n v="1"/>
    <x v="1"/>
    <n v="12"/>
    <n v="3"/>
    <n v="2"/>
    <x v="0"/>
    <n v="9"/>
    <x v="0"/>
    <n v="5"/>
    <n v="2"/>
    <x v="0"/>
    <n v="7"/>
    <n v="0"/>
    <n v="8"/>
  </r>
  <r>
    <x v="2"/>
    <x v="1"/>
    <x v="1"/>
    <n v="1404"/>
    <x v="0"/>
    <n v="20"/>
    <x v="2"/>
    <n v="3"/>
    <s v="Technical Degree"/>
    <n v="974"/>
    <n v="3"/>
    <x v="0"/>
    <n v="84"/>
    <n v="3"/>
    <n v="1"/>
    <x v="6"/>
    <x v="0"/>
    <x v="1"/>
    <x v="664"/>
    <n v="18203"/>
    <n v="1"/>
    <x v="1"/>
    <n v="15"/>
    <n v="3"/>
    <n v="2"/>
    <x v="1"/>
    <n v="3"/>
    <x v="1"/>
    <n v="5"/>
    <n v="3"/>
    <x v="2"/>
    <n v="1"/>
    <n v="0"/>
    <n v="2"/>
  </r>
  <r>
    <x v="2"/>
    <x v="1"/>
    <x v="0"/>
    <n v="1219"/>
    <x v="0"/>
    <n v="18"/>
    <x v="2"/>
    <n v="3"/>
    <s v="Medical"/>
    <n v="975"/>
    <n v="3"/>
    <x v="0"/>
    <n v="86"/>
    <n v="3"/>
    <n v="2"/>
    <x v="0"/>
    <x v="2"/>
    <x v="1"/>
    <x v="665"/>
    <n v="6179"/>
    <n v="1"/>
    <x v="1"/>
    <n v="16"/>
    <n v="3"/>
    <n v="2"/>
    <x v="0"/>
    <n v="5"/>
    <x v="1"/>
    <n v="3"/>
    <n v="3"/>
    <x v="2"/>
    <n v="2"/>
    <n v="1"/>
    <n v="0"/>
  </r>
  <r>
    <x v="1"/>
    <x v="1"/>
    <x v="0"/>
    <n v="1053"/>
    <x v="1"/>
    <n v="1"/>
    <x v="0"/>
    <n v="2"/>
    <s v="Life Sciences"/>
    <n v="976"/>
    <n v="4"/>
    <x v="1"/>
    <n v="70"/>
    <n v="3"/>
    <n v="4"/>
    <x v="5"/>
    <x v="0"/>
    <x v="1"/>
    <x v="666"/>
    <n v="13829"/>
    <n v="2"/>
    <x v="1"/>
    <n v="15"/>
    <n v="3"/>
    <n v="2"/>
    <x v="1"/>
    <n v="26"/>
    <x v="2"/>
    <n v="2"/>
    <n v="2"/>
    <x v="0"/>
    <n v="8"/>
    <n v="7"/>
    <n v="8"/>
  </r>
  <r>
    <x v="1"/>
    <x v="0"/>
    <x v="0"/>
    <n v="289"/>
    <x v="1"/>
    <n v="2"/>
    <x v="0"/>
    <n v="3"/>
    <s v="Technical Degree"/>
    <n v="977"/>
    <n v="4"/>
    <x v="1"/>
    <n v="51"/>
    <n v="3"/>
    <n v="1"/>
    <x v="1"/>
    <x v="2"/>
    <x v="0"/>
    <x v="667"/>
    <n v="26227"/>
    <n v="4"/>
    <x v="1"/>
    <n v="24"/>
    <n v="4"/>
    <n v="1"/>
    <x v="0"/>
    <n v="7"/>
    <x v="0"/>
    <n v="4"/>
    <n v="3"/>
    <x v="1"/>
    <n v="0"/>
    <n v="0"/>
    <n v="0"/>
  </r>
  <r>
    <x v="1"/>
    <x v="1"/>
    <x v="0"/>
    <n v="1376"/>
    <x v="0"/>
    <n v="2"/>
    <x v="0"/>
    <n v="2"/>
    <s v="Medical"/>
    <n v="981"/>
    <n v="3"/>
    <x v="1"/>
    <n v="45"/>
    <n v="3"/>
    <n v="4"/>
    <x v="5"/>
    <x v="2"/>
    <x v="2"/>
    <x v="668"/>
    <n v="13938"/>
    <n v="6"/>
    <x v="1"/>
    <n v="13"/>
    <n v="3"/>
    <n v="3"/>
    <x v="1"/>
    <n v="22"/>
    <x v="2"/>
    <n v="3"/>
    <n v="4"/>
    <x v="3"/>
    <n v="13"/>
    <n v="15"/>
    <n v="2"/>
  </r>
  <r>
    <x v="2"/>
    <x v="1"/>
    <x v="0"/>
    <n v="231"/>
    <x v="0"/>
    <n v="8"/>
    <x v="1"/>
    <n v="2"/>
    <s v="Other"/>
    <n v="982"/>
    <n v="3"/>
    <x v="1"/>
    <n v="62"/>
    <n v="3"/>
    <n v="3"/>
    <x v="0"/>
    <x v="2"/>
    <x v="2"/>
    <x v="669"/>
    <n v="9977"/>
    <n v="5"/>
    <x v="1"/>
    <n v="11"/>
    <n v="3"/>
    <n v="1"/>
    <x v="1"/>
    <n v="10"/>
    <x v="0"/>
    <n v="2"/>
    <n v="4"/>
    <x v="0"/>
    <n v="4"/>
    <n v="7"/>
    <n v="7"/>
  </r>
  <r>
    <x v="0"/>
    <x v="1"/>
    <x v="2"/>
    <n v="152"/>
    <x v="0"/>
    <n v="10"/>
    <x v="1"/>
    <n v="3"/>
    <s v="Technical Degree"/>
    <n v="983"/>
    <n v="3"/>
    <x v="0"/>
    <n v="85"/>
    <n v="3"/>
    <n v="2"/>
    <x v="0"/>
    <x v="0"/>
    <x v="0"/>
    <x v="670"/>
    <n v="19899"/>
    <n v="1"/>
    <x v="0"/>
    <n v="13"/>
    <n v="3"/>
    <n v="2"/>
    <x v="0"/>
    <n v="6"/>
    <x v="0"/>
    <n v="1"/>
    <n v="3"/>
    <x v="2"/>
    <n v="3"/>
    <n v="1"/>
    <n v="3"/>
  </r>
  <r>
    <x v="2"/>
    <x v="1"/>
    <x v="0"/>
    <n v="882"/>
    <x v="0"/>
    <n v="3"/>
    <x v="0"/>
    <n v="4"/>
    <s v="Life Sciences"/>
    <n v="984"/>
    <n v="4"/>
    <x v="1"/>
    <n v="92"/>
    <n v="3"/>
    <n v="3"/>
    <x v="0"/>
    <x v="0"/>
    <x v="2"/>
    <x v="671"/>
    <n v="6812"/>
    <n v="6"/>
    <x v="1"/>
    <n v="13"/>
    <n v="3"/>
    <n v="2"/>
    <x v="1"/>
    <n v="12"/>
    <x v="0"/>
    <n v="2"/>
    <n v="3"/>
    <x v="0"/>
    <n v="9"/>
    <n v="0"/>
    <n v="8"/>
  </r>
  <r>
    <x v="0"/>
    <x v="1"/>
    <x v="0"/>
    <n v="903"/>
    <x v="0"/>
    <n v="2"/>
    <x v="0"/>
    <n v="5"/>
    <s v="Life Sciences"/>
    <n v="985"/>
    <n v="1"/>
    <x v="1"/>
    <n v="41"/>
    <n v="4"/>
    <n v="3"/>
    <x v="0"/>
    <x v="2"/>
    <x v="0"/>
    <x v="672"/>
    <n v="2560"/>
    <n v="0"/>
    <x v="1"/>
    <n v="18"/>
    <n v="3"/>
    <n v="4"/>
    <x v="0"/>
    <n v="9"/>
    <x v="0"/>
    <n v="3"/>
    <n v="3"/>
    <x v="0"/>
    <n v="7"/>
    <n v="0"/>
    <n v="7"/>
  </r>
  <r>
    <x v="0"/>
    <x v="0"/>
    <x v="2"/>
    <n v="1479"/>
    <x v="0"/>
    <n v="24"/>
    <x v="2"/>
    <n v="3"/>
    <s v="Life Sciences"/>
    <n v="986"/>
    <n v="2"/>
    <x v="0"/>
    <n v="100"/>
    <n v="4"/>
    <n v="4"/>
    <x v="0"/>
    <x v="1"/>
    <x v="0"/>
    <x v="673"/>
    <n v="17071"/>
    <n v="4"/>
    <x v="0"/>
    <n v="16"/>
    <n v="3"/>
    <n v="4"/>
    <x v="0"/>
    <n v="22"/>
    <x v="2"/>
    <n v="2"/>
    <n v="2"/>
    <x v="1"/>
    <n v="0"/>
    <n v="0"/>
    <n v="0"/>
  </r>
  <r>
    <x v="1"/>
    <x v="1"/>
    <x v="1"/>
    <n v="1379"/>
    <x v="1"/>
    <n v="16"/>
    <x v="2"/>
    <n v="4"/>
    <s v="Medical"/>
    <n v="987"/>
    <n v="3"/>
    <x v="1"/>
    <n v="64"/>
    <n v="4"/>
    <n v="2"/>
    <x v="3"/>
    <x v="2"/>
    <x v="2"/>
    <x v="674"/>
    <n v="6759"/>
    <n v="1"/>
    <x v="0"/>
    <n v="19"/>
    <n v="3"/>
    <n v="3"/>
    <x v="0"/>
    <n v="20"/>
    <x v="2"/>
    <n v="3"/>
    <n v="4"/>
    <x v="3"/>
    <n v="10"/>
    <n v="2"/>
    <n v="7"/>
  </r>
  <r>
    <x v="0"/>
    <x v="1"/>
    <x v="2"/>
    <n v="1229"/>
    <x v="0"/>
    <n v="8"/>
    <x v="1"/>
    <n v="4"/>
    <s v="Technical Degree"/>
    <n v="990"/>
    <n v="1"/>
    <x v="1"/>
    <n v="84"/>
    <n v="3"/>
    <n v="2"/>
    <x v="0"/>
    <x v="0"/>
    <x v="2"/>
    <x v="675"/>
    <n v="25952"/>
    <n v="4"/>
    <x v="1"/>
    <n v="13"/>
    <n v="3"/>
    <n v="4"/>
    <x v="3"/>
    <n v="12"/>
    <x v="0"/>
    <n v="3"/>
    <n v="3"/>
    <x v="0"/>
    <n v="7"/>
    <n v="0"/>
    <n v="7"/>
  </r>
  <r>
    <x v="2"/>
    <x v="0"/>
    <x v="2"/>
    <n v="335"/>
    <x v="1"/>
    <n v="9"/>
    <x v="1"/>
    <n v="2"/>
    <s v="Medical"/>
    <n v="991"/>
    <n v="3"/>
    <x v="1"/>
    <n v="46"/>
    <n v="2"/>
    <n v="1"/>
    <x v="1"/>
    <x v="3"/>
    <x v="0"/>
    <x v="676"/>
    <n v="10322"/>
    <n v="0"/>
    <x v="0"/>
    <n v="22"/>
    <n v="4"/>
    <n v="1"/>
    <x v="0"/>
    <n v="4"/>
    <x v="1"/>
    <n v="0"/>
    <n v="3"/>
    <x v="2"/>
    <n v="2"/>
    <n v="1"/>
    <n v="2"/>
  </r>
  <r>
    <x v="2"/>
    <x v="1"/>
    <x v="2"/>
    <n v="722"/>
    <x v="0"/>
    <n v="17"/>
    <x v="2"/>
    <n v="3"/>
    <s v="Life Sciences"/>
    <n v="992"/>
    <n v="4"/>
    <x v="1"/>
    <n v="38"/>
    <n v="3"/>
    <n v="4"/>
    <x v="5"/>
    <x v="2"/>
    <x v="0"/>
    <x v="677"/>
    <n v="20489"/>
    <n v="1"/>
    <x v="1"/>
    <n v="11"/>
    <n v="3"/>
    <n v="4"/>
    <x v="0"/>
    <n v="10"/>
    <x v="0"/>
    <n v="2"/>
    <n v="3"/>
    <x v="0"/>
    <n v="8"/>
    <n v="6"/>
    <n v="0"/>
  </r>
  <r>
    <x v="2"/>
    <x v="0"/>
    <x v="0"/>
    <n v="906"/>
    <x v="1"/>
    <n v="10"/>
    <x v="1"/>
    <n v="3"/>
    <s v="Life Sciences"/>
    <n v="994"/>
    <n v="4"/>
    <x v="0"/>
    <n v="92"/>
    <n v="2"/>
    <n v="1"/>
    <x v="1"/>
    <x v="3"/>
    <x v="0"/>
    <x v="639"/>
    <n v="11479"/>
    <n v="6"/>
    <x v="0"/>
    <n v="20"/>
    <n v="4"/>
    <n v="3"/>
    <x v="0"/>
    <n v="3"/>
    <x v="1"/>
    <n v="5"/>
    <n v="3"/>
    <x v="1"/>
    <n v="0"/>
    <n v="0"/>
    <n v="0"/>
  </r>
  <r>
    <x v="2"/>
    <x v="1"/>
    <x v="0"/>
    <n v="461"/>
    <x v="1"/>
    <n v="13"/>
    <x v="1"/>
    <n v="1"/>
    <s v="Life Sciences"/>
    <n v="995"/>
    <n v="2"/>
    <x v="0"/>
    <n v="53"/>
    <n v="3"/>
    <n v="1"/>
    <x v="1"/>
    <x v="0"/>
    <x v="0"/>
    <x v="138"/>
    <n v="17241"/>
    <n v="3"/>
    <x v="1"/>
    <n v="18"/>
    <n v="3"/>
    <n v="1"/>
    <x v="0"/>
    <n v="5"/>
    <x v="1"/>
    <n v="4"/>
    <n v="3"/>
    <x v="2"/>
    <n v="2"/>
    <n v="0"/>
    <n v="2"/>
  </r>
  <r>
    <x v="0"/>
    <x v="1"/>
    <x v="0"/>
    <n v="974"/>
    <x v="1"/>
    <n v="1"/>
    <x v="0"/>
    <n v="4"/>
    <s v="Medical"/>
    <n v="996"/>
    <n v="4"/>
    <x v="0"/>
    <n v="91"/>
    <n v="3"/>
    <n v="1"/>
    <x v="2"/>
    <x v="0"/>
    <x v="2"/>
    <x v="678"/>
    <n v="11005"/>
    <n v="3"/>
    <x v="1"/>
    <n v="14"/>
    <n v="3"/>
    <n v="4"/>
    <x v="3"/>
    <n v="8"/>
    <x v="0"/>
    <n v="2"/>
    <n v="3"/>
    <x v="2"/>
    <n v="3"/>
    <n v="0"/>
    <n v="2"/>
  </r>
  <r>
    <x v="1"/>
    <x v="1"/>
    <x v="0"/>
    <n v="1126"/>
    <x v="1"/>
    <n v="1"/>
    <x v="0"/>
    <n v="2"/>
    <s v="Medical"/>
    <n v="997"/>
    <n v="4"/>
    <x v="1"/>
    <n v="66"/>
    <n v="3"/>
    <n v="4"/>
    <x v="7"/>
    <x v="0"/>
    <x v="2"/>
    <x v="679"/>
    <n v="6615"/>
    <n v="9"/>
    <x v="1"/>
    <n v="22"/>
    <n v="4"/>
    <n v="3"/>
    <x v="1"/>
    <n v="32"/>
    <x v="2"/>
    <n v="1"/>
    <n v="2"/>
    <x v="2"/>
    <n v="4"/>
    <n v="1"/>
    <n v="3"/>
  </r>
  <r>
    <x v="2"/>
    <x v="1"/>
    <x v="1"/>
    <n v="827"/>
    <x v="1"/>
    <n v="1"/>
    <x v="0"/>
    <n v="4"/>
    <s v="Other"/>
    <n v="998"/>
    <n v="3"/>
    <x v="0"/>
    <n v="84"/>
    <n v="4"/>
    <n v="2"/>
    <x v="4"/>
    <x v="1"/>
    <x v="1"/>
    <x v="680"/>
    <n v="20161"/>
    <n v="1"/>
    <x v="0"/>
    <n v="13"/>
    <n v="3"/>
    <n v="1"/>
    <x v="1"/>
    <n v="6"/>
    <x v="0"/>
    <n v="2"/>
    <n v="3"/>
    <x v="0"/>
    <n v="5"/>
    <n v="1"/>
    <n v="2"/>
  </r>
  <r>
    <x v="0"/>
    <x v="1"/>
    <x v="1"/>
    <n v="840"/>
    <x v="1"/>
    <n v="9"/>
    <x v="1"/>
    <n v="3"/>
    <s v="Medical"/>
    <n v="999"/>
    <n v="1"/>
    <x v="1"/>
    <n v="64"/>
    <n v="3"/>
    <n v="5"/>
    <x v="7"/>
    <x v="2"/>
    <x v="2"/>
    <x v="681"/>
    <n v="3735"/>
    <n v="2"/>
    <x v="1"/>
    <n v="17"/>
    <n v="3"/>
    <n v="2"/>
    <x v="1"/>
    <n v="21"/>
    <x v="2"/>
    <n v="2"/>
    <n v="4"/>
    <x v="3"/>
    <n v="16"/>
    <n v="0"/>
    <n v="11"/>
  </r>
  <r>
    <x v="2"/>
    <x v="1"/>
    <x v="0"/>
    <n v="1134"/>
    <x v="1"/>
    <n v="16"/>
    <x v="2"/>
    <n v="4"/>
    <s v="Technical Degree"/>
    <n v="1001"/>
    <n v="3"/>
    <x v="0"/>
    <n v="37"/>
    <n v="3"/>
    <n v="1"/>
    <x v="2"/>
    <x v="1"/>
    <x v="1"/>
    <x v="682"/>
    <n v="12086"/>
    <n v="9"/>
    <x v="1"/>
    <n v="14"/>
    <n v="3"/>
    <n v="2"/>
    <x v="1"/>
    <n v="4"/>
    <x v="1"/>
    <n v="2"/>
    <n v="3"/>
    <x v="1"/>
    <n v="2"/>
    <n v="2"/>
    <n v="2"/>
  </r>
  <r>
    <x v="0"/>
    <x v="1"/>
    <x v="2"/>
    <n v="248"/>
    <x v="1"/>
    <n v="23"/>
    <x v="2"/>
    <n v="2"/>
    <s v="Life Sciences"/>
    <n v="1002"/>
    <n v="4"/>
    <x v="1"/>
    <n v="42"/>
    <n v="3"/>
    <n v="2"/>
    <x v="2"/>
    <x v="3"/>
    <x v="1"/>
    <x v="683"/>
    <n v="14039"/>
    <n v="1"/>
    <x v="0"/>
    <n v="15"/>
    <n v="3"/>
    <n v="3"/>
    <x v="1"/>
    <n v="9"/>
    <x v="0"/>
    <n v="2"/>
    <n v="3"/>
    <x v="0"/>
    <n v="8"/>
    <n v="0"/>
    <n v="8"/>
  </r>
  <r>
    <x v="1"/>
    <x v="1"/>
    <x v="0"/>
    <n v="955"/>
    <x v="0"/>
    <n v="4"/>
    <x v="0"/>
    <n v="2"/>
    <s v="Life Sciences"/>
    <n v="1003"/>
    <n v="4"/>
    <x v="0"/>
    <n v="83"/>
    <n v="3"/>
    <n v="2"/>
    <x v="0"/>
    <x v="0"/>
    <x v="0"/>
    <x v="684"/>
    <n v="8571"/>
    <n v="1"/>
    <x v="0"/>
    <n v="17"/>
    <n v="3"/>
    <n v="3"/>
    <x v="0"/>
    <n v="9"/>
    <x v="0"/>
    <n v="0"/>
    <n v="3"/>
    <x v="0"/>
    <n v="0"/>
    <n v="0"/>
    <n v="7"/>
  </r>
  <r>
    <x v="2"/>
    <x v="0"/>
    <x v="0"/>
    <n v="138"/>
    <x v="1"/>
    <n v="22"/>
    <x v="2"/>
    <n v="3"/>
    <s v="Life Sciences"/>
    <n v="1004"/>
    <n v="1"/>
    <x v="0"/>
    <n v="48"/>
    <n v="3"/>
    <n v="1"/>
    <x v="1"/>
    <x v="2"/>
    <x v="1"/>
    <x v="685"/>
    <n v="11539"/>
    <n v="4"/>
    <x v="0"/>
    <n v="11"/>
    <n v="3"/>
    <n v="2"/>
    <x v="0"/>
    <n v="7"/>
    <x v="0"/>
    <n v="2"/>
    <n v="3"/>
    <x v="2"/>
    <n v="2"/>
    <n v="0"/>
    <n v="1"/>
  </r>
  <r>
    <x v="1"/>
    <x v="1"/>
    <x v="0"/>
    <n v="939"/>
    <x v="1"/>
    <n v="24"/>
    <x v="2"/>
    <n v="3"/>
    <s v="Life Sciences"/>
    <n v="1005"/>
    <n v="4"/>
    <x v="1"/>
    <n v="95"/>
    <n v="3"/>
    <n v="4"/>
    <x v="3"/>
    <x v="2"/>
    <x v="1"/>
    <x v="686"/>
    <n v="4161"/>
    <n v="3"/>
    <x v="0"/>
    <n v="18"/>
    <n v="3"/>
    <n v="4"/>
    <x v="1"/>
    <n v="22"/>
    <x v="2"/>
    <n v="2"/>
    <n v="3"/>
    <x v="3"/>
    <n v="11"/>
    <n v="1"/>
    <n v="5"/>
  </r>
  <r>
    <x v="0"/>
    <x v="1"/>
    <x v="1"/>
    <n v="1391"/>
    <x v="1"/>
    <n v="10"/>
    <x v="1"/>
    <n v="1"/>
    <s v="Medical"/>
    <n v="1006"/>
    <n v="3"/>
    <x v="1"/>
    <n v="66"/>
    <n v="3"/>
    <n v="1"/>
    <x v="1"/>
    <x v="2"/>
    <x v="1"/>
    <x v="687"/>
    <n v="12127"/>
    <n v="0"/>
    <x v="1"/>
    <n v="17"/>
    <n v="3"/>
    <n v="2"/>
    <x v="1"/>
    <n v="3"/>
    <x v="1"/>
    <n v="0"/>
    <n v="2"/>
    <x v="1"/>
    <n v="1"/>
    <n v="0"/>
    <n v="2"/>
  </r>
  <r>
    <x v="1"/>
    <x v="1"/>
    <x v="0"/>
    <n v="566"/>
    <x v="1"/>
    <n v="7"/>
    <x v="1"/>
    <n v="2"/>
    <s v="Medical"/>
    <n v="1007"/>
    <n v="4"/>
    <x v="1"/>
    <n v="75"/>
    <n v="3"/>
    <n v="3"/>
    <x v="3"/>
    <x v="2"/>
    <x v="2"/>
    <x v="688"/>
    <n v="24208"/>
    <n v="6"/>
    <x v="1"/>
    <n v="13"/>
    <n v="3"/>
    <n v="2"/>
    <x v="1"/>
    <n v="13"/>
    <x v="0"/>
    <n v="3"/>
    <n v="3"/>
    <x v="0"/>
    <n v="7"/>
    <n v="0"/>
    <n v="7"/>
  </r>
  <r>
    <x v="3"/>
    <x v="1"/>
    <x v="0"/>
    <n v="1206"/>
    <x v="1"/>
    <n v="17"/>
    <x v="2"/>
    <n v="1"/>
    <s v="Medical"/>
    <n v="1009"/>
    <n v="4"/>
    <x v="0"/>
    <n v="41"/>
    <n v="2"/>
    <n v="2"/>
    <x v="3"/>
    <x v="2"/>
    <x v="2"/>
    <x v="689"/>
    <n v="24117"/>
    <n v="1"/>
    <x v="1"/>
    <n v="15"/>
    <n v="3"/>
    <n v="2"/>
    <x v="3"/>
    <n v="5"/>
    <x v="1"/>
    <n v="6"/>
    <n v="3"/>
    <x v="2"/>
    <n v="2"/>
    <n v="3"/>
    <n v="2"/>
  </r>
  <r>
    <x v="2"/>
    <x v="0"/>
    <x v="0"/>
    <n v="622"/>
    <x v="1"/>
    <n v="14"/>
    <x v="1"/>
    <n v="4"/>
    <s v="Other"/>
    <n v="1010"/>
    <n v="3"/>
    <x v="1"/>
    <n v="39"/>
    <n v="2"/>
    <n v="1"/>
    <x v="2"/>
    <x v="1"/>
    <x v="2"/>
    <x v="690"/>
    <n v="10074"/>
    <n v="1"/>
    <x v="0"/>
    <n v="24"/>
    <n v="4"/>
    <n v="4"/>
    <x v="1"/>
    <n v="5"/>
    <x v="1"/>
    <n v="2"/>
    <n v="1"/>
    <x v="2"/>
    <n v="2"/>
    <n v="0"/>
    <n v="2"/>
  </r>
  <r>
    <x v="2"/>
    <x v="1"/>
    <x v="1"/>
    <n v="853"/>
    <x v="1"/>
    <n v="1"/>
    <x v="0"/>
    <n v="1"/>
    <s v="Life Sciences"/>
    <n v="1011"/>
    <n v="3"/>
    <x v="0"/>
    <n v="96"/>
    <n v="3"/>
    <n v="2"/>
    <x v="3"/>
    <x v="3"/>
    <x v="1"/>
    <x v="691"/>
    <n v="11275"/>
    <n v="1"/>
    <x v="1"/>
    <n v="12"/>
    <n v="3"/>
    <n v="3"/>
    <x v="1"/>
    <n v="4"/>
    <x v="1"/>
    <n v="1"/>
    <n v="3"/>
    <x v="2"/>
    <n v="3"/>
    <n v="0"/>
    <n v="3"/>
  </r>
  <r>
    <x v="3"/>
    <x v="1"/>
    <x v="2"/>
    <n v="287"/>
    <x v="1"/>
    <n v="5"/>
    <x v="0"/>
    <n v="2"/>
    <s v="Life Sciences"/>
    <n v="1012"/>
    <n v="2"/>
    <x v="1"/>
    <n v="73"/>
    <n v="3"/>
    <n v="1"/>
    <x v="1"/>
    <x v="0"/>
    <x v="0"/>
    <x v="692"/>
    <n v="13493"/>
    <n v="1"/>
    <x v="1"/>
    <n v="15"/>
    <n v="3"/>
    <n v="4"/>
    <x v="0"/>
    <n v="0"/>
    <x v="1"/>
    <n v="2"/>
    <n v="3"/>
    <x v="1"/>
    <n v="0"/>
    <n v="0"/>
    <n v="0"/>
  </r>
  <r>
    <x v="1"/>
    <x v="1"/>
    <x v="0"/>
    <n v="1441"/>
    <x v="1"/>
    <n v="17"/>
    <x v="2"/>
    <n v="3"/>
    <s v="Technical Degree"/>
    <n v="1013"/>
    <n v="3"/>
    <x v="0"/>
    <n v="56"/>
    <n v="3"/>
    <n v="3"/>
    <x v="3"/>
    <x v="2"/>
    <x v="1"/>
    <x v="693"/>
    <n v="13943"/>
    <n v="8"/>
    <x v="1"/>
    <n v="11"/>
    <n v="3"/>
    <n v="3"/>
    <x v="1"/>
    <n v="22"/>
    <x v="2"/>
    <n v="2"/>
    <n v="3"/>
    <x v="0"/>
    <n v="7"/>
    <n v="0"/>
    <n v="8"/>
  </r>
  <r>
    <x v="2"/>
    <x v="1"/>
    <x v="0"/>
    <n v="583"/>
    <x v="1"/>
    <n v="25"/>
    <x v="2"/>
    <n v="4"/>
    <s v="Medical"/>
    <n v="1014"/>
    <n v="3"/>
    <x v="0"/>
    <n v="57"/>
    <n v="3"/>
    <n v="3"/>
    <x v="4"/>
    <x v="2"/>
    <x v="2"/>
    <x v="694"/>
    <n v="6975"/>
    <n v="1"/>
    <x v="0"/>
    <n v="11"/>
    <n v="3"/>
    <n v="3"/>
    <x v="1"/>
    <n v="16"/>
    <x v="2"/>
    <n v="3"/>
    <n v="2"/>
    <x v="3"/>
    <n v="10"/>
    <n v="10"/>
    <n v="1"/>
  </r>
  <r>
    <x v="2"/>
    <x v="1"/>
    <x v="0"/>
    <n v="153"/>
    <x v="1"/>
    <n v="8"/>
    <x v="1"/>
    <n v="2"/>
    <s v="Life Sciences"/>
    <n v="1015"/>
    <n v="2"/>
    <x v="0"/>
    <n v="73"/>
    <n v="4"/>
    <n v="3"/>
    <x v="7"/>
    <x v="3"/>
    <x v="1"/>
    <x v="695"/>
    <n v="17802"/>
    <n v="0"/>
    <x v="0"/>
    <n v="12"/>
    <n v="3"/>
    <n v="3"/>
    <x v="2"/>
    <n v="9"/>
    <x v="0"/>
    <n v="4"/>
    <n v="2"/>
    <x v="0"/>
    <n v="7"/>
    <n v="1"/>
    <n v="7"/>
  </r>
  <r>
    <x v="3"/>
    <x v="0"/>
    <x v="0"/>
    <n v="1097"/>
    <x v="1"/>
    <n v="11"/>
    <x v="1"/>
    <n v="3"/>
    <s v="Medical"/>
    <n v="1016"/>
    <n v="4"/>
    <x v="0"/>
    <n v="98"/>
    <n v="2"/>
    <n v="1"/>
    <x v="1"/>
    <x v="3"/>
    <x v="0"/>
    <x v="696"/>
    <n v="18275"/>
    <n v="1"/>
    <x v="0"/>
    <n v="15"/>
    <n v="3"/>
    <n v="1"/>
    <x v="0"/>
    <n v="1"/>
    <x v="1"/>
    <n v="2"/>
    <n v="3"/>
    <x v="1"/>
    <n v="0"/>
    <n v="0"/>
    <n v="0"/>
  </r>
  <r>
    <x v="2"/>
    <x v="0"/>
    <x v="1"/>
    <n v="109"/>
    <x v="1"/>
    <n v="5"/>
    <x v="0"/>
    <n v="3"/>
    <s v="Medical"/>
    <n v="1017"/>
    <n v="2"/>
    <x v="0"/>
    <n v="60"/>
    <n v="3"/>
    <n v="1"/>
    <x v="2"/>
    <x v="1"/>
    <x v="0"/>
    <x v="697"/>
    <n v="25725"/>
    <n v="0"/>
    <x v="1"/>
    <n v="17"/>
    <n v="3"/>
    <n v="1"/>
    <x v="0"/>
    <n v="4"/>
    <x v="1"/>
    <n v="3"/>
    <n v="3"/>
    <x v="2"/>
    <n v="2"/>
    <n v="1"/>
    <n v="2"/>
  </r>
  <r>
    <x v="2"/>
    <x v="1"/>
    <x v="0"/>
    <n v="1066"/>
    <x v="1"/>
    <n v="2"/>
    <x v="0"/>
    <n v="2"/>
    <s v="Medical"/>
    <n v="1018"/>
    <n v="4"/>
    <x v="1"/>
    <n v="32"/>
    <n v="4"/>
    <n v="2"/>
    <x v="3"/>
    <x v="0"/>
    <x v="1"/>
    <x v="698"/>
    <n v="3334"/>
    <n v="1"/>
    <x v="1"/>
    <n v="12"/>
    <n v="3"/>
    <n v="2"/>
    <x v="0"/>
    <n v="8"/>
    <x v="0"/>
    <n v="2"/>
    <n v="3"/>
    <x v="0"/>
    <n v="7"/>
    <n v="1"/>
    <n v="3"/>
  </r>
  <r>
    <x v="3"/>
    <x v="1"/>
    <x v="0"/>
    <n v="217"/>
    <x v="1"/>
    <n v="8"/>
    <x v="1"/>
    <n v="1"/>
    <s v="Life Sciences"/>
    <n v="1019"/>
    <n v="2"/>
    <x v="1"/>
    <n v="94"/>
    <n v="1"/>
    <n v="1"/>
    <x v="2"/>
    <x v="3"/>
    <x v="1"/>
    <x v="163"/>
    <n v="6881"/>
    <n v="1"/>
    <x v="1"/>
    <n v="15"/>
    <n v="3"/>
    <n v="1"/>
    <x v="1"/>
    <n v="4"/>
    <x v="1"/>
    <n v="3"/>
    <n v="2"/>
    <x v="2"/>
    <n v="3"/>
    <n v="1"/>
    <n v="1"/>
  </r>
  <r>
    <x v="1"/>
    <x v="1"/>
    <x v="0"/>
    <n v="277"/>
    <x v="1"/>
    <n v="6"/>
    <x v="1"/>
    <n v="3"/>
    <s v="Life Sciences"/>
    <n v="1022"/>
    <n v="1"/>
    <x v="1"/>
    <n v="97"/>
    <n v="2"/>
    <n v="2"/>
    <x v="4"/>
    <x v="2"/>
    <x v="0"/>
    <x v="699"/>
    <n v="13119"/>
    <n v="2"/>
    <x v="1"/>
    <n v="13"/>
    <n v="3"/>
    <n v="4"/>
    <x v="0"/>
    <n v="19"/>
    <x v="2"/>
    <n v="0"/>
    <n v="3"/>
    <x v="1"/>
    <n v="2"/>
    <n v="2"/>
    <n v="2"/>
  </r>
  <r>
    <x v="1"/>
    <x v="1"/>
    <x v="0"/>
    <n v="1355"/>
    <x v="1"/>
    <n v="4"/>
    <x v="0"/>
    <n v="4"/>
    <s v="Life Sciences"/>
    <n v="1024"/>
    <n v="3"/>
    <x v="1"/>
    <n v="78"/>
    <n v="2"/>
    <n v="3"/>
    <x v="4"/>
    <x v="2"/>
    <x v="0"/>
    <x v="700"/>
    <n v="22245"/>
    <n v="7"/>
    <x v="1"/>
    <n v="14"/>
    <n v="3"/>
    <n v="2"/>
    <x v="0"/>
    <n v="27"/>
    <x v="2"/>
    <n v="3"/>
    <n v="3"/>
    <x v="3"/>
    <n v="11"/>
    <n v="4"/>
    <n v="8"/>
  </r>
  <r>
    <x v="0"/>
    <x v="1"/>
    <x v="0"/>
    <n v="549"/>
    <x v="1"/>
    <n v="7"/>
    <x v="1"/>
    <n v="2"/>
    <s v="Medical"/>
    <n v="1025"/>
    <n v="4"/>
    <x v="0"/>
    <n v="42"/>
    <n v="3"/>
    <n v="2"/>
    <x v="3"/>
    <x v="2"/>
    <x v="0"/>
    <x v="701"/>
    <n v="23371"/>
    <n v="6"/>
    <x v="1"/>
    <n v="14"/>
    <n v="3"/>
    <n v="2"/>
    <x v="0"/>
    <n v="8"/>
    <x v="0"/>
    <n v="6"/>
    <n v="3"/>
    <x v="1"/>
    <n v="2"/>
    <n v="2"/>
    <n v="1"/>
  </r>
  <r>
    <x v="0"/>
    <x v="1"/>
    <x v="0"/>
    <n v="466"/>
    <x v="1"/>
    <n v="1"/>
    <x v="0"/>
    <n v="1"/>
    <s v="Life Sciences"/>
    <n v="1026"/>
    <n v="4"/>
    <x v="0"/>
    <n v="65"/>
    <n v="2"/>
    <n v="4"/>
    <x v="3"/>
    <x v="0"/>
    <x v="1"/>
    <x v="702"/>
    <n v="7060"/>
    <n v="1"/>
    <x v="1"/>
    <n v="16"/>
    <n v="3"/>
    <n v="3"/>
    <x v="1"/>
    <n v="21"/>
    <x v="2"/>
    <n v="3"/>
    <n v="3"/>
    <x v="3"/>
    <n v="6"/>
    <n v="11"/>
    <n v="8"/>
  </r>
  <r>
    <x v="2"/>
    <x v="1"/>
    <x v="0"/>
    <n v="1055"/>
    <x v="1"/>
    <n v="2"/>
    <x v="0"/>
    <n v="4"/>
    <s v="Life Sciences"/>
    <n v="1027"/>
    <n v="1"/>
    <x v="0"/>
    <n v="47"/>
    <n v="3"/>
    <n v="2"/>
    <x v="3"/>
    <x v="0"/>
    <x v="1"/>
    <x v="703"/>
    <n v="4658"/>
    <n v="0"/>
    <x v="1"/>
    <n v="18"/>
    <n v="3"/>
    <n v="2"/>
    <x v="1"/>
    <n v="4"/>
    <x v="1"/>
    <n v="2"/>
    <n v="3"/>
    <x v="2"/>
    <n v="2"/>
    <n v="2"/>
    <n v="2"/>
  </r>
  <r>
    <x v="2"/>
    <x v="1"/>
    <x v="0"/>
    <n v="802"/>
    <x v="1"/>
    <n v="10"/>
    <x v="1"/>
    <n v="3"/>
    <s v="Other"/>
    <n v="1028"/>
    <n v="2"/>
    <x v="1"/>
    <n v="45"/>
    <n v="3"/>
    <n v="1"/>
    <x v="2"/>
    <x v="0"/>
    <x v="2"/>
    <x v="704"/>
    <n v="9541"/>
    <n v="1"/>
    <x v="1"/>
    <n v="20"/>
    <n v="4"/>
    <n v="1"/>
    <x v="1"/>
    <n v="3"/>
    <x v="1"/>
    <n v="4"/>
    <n v="2"/>
    <x v="2"/>
    <n v="2"/>
    <n v="1"/>
    <n v="2"/>
  </r>
  <r>
    <x v="0"/>
    <x v="1"/>
    <x v="0"/>
    <n v="265"/>
    <x v="0"/>
    <n v="5"/>
    <x v="0"/>
    <n v="2"/>
    <s v="Marketing"/>
    <n v="1029"/>
    <n v="4"/>
    <x v="1"/>
    <n v="90"/>
    <n v="3"/>
    <n v="5"/>
    <x v="5"/>
    <x v="2"/>
    <x v="1"/>
    <x v="705"/>
    <n v="7770"/>
    <n v="6"/>
    <x v="1"/>
    <n v="13"/>
    <n v="3"/>
    <n v="2"/>
    <x v="0"/>
    <n v="21"/>
    <x v="2"/>
    <n v="3"/>
    <n v="4"/>
    <x v="1"/>
    <n v="0"/>
    <n v="0"/>
    <n v="0"/>
  </r>
  <r>
    <x v="1"/>
    <x v="1"/>
    <x v="0"/>
    <n v="804"/>
    <x v="1"/>
    <n v="9"/>
    <x v="1"/>
    <n v="3"/>
    <s v="Life Sciences"/>
    <n v="1030"/>
    <n v="1"/>
    <x v="1"/>
    <n v="64"/>
    <n v="3"/>
    <n v="1"/>
    <x v="2"/>
    <x v="0"/>
    <x v="1"/>
    <x v="631"/>
    <n v="20165"/>
    <n v="4"/>
    <x v="1"/>
    <n v="18"/>
    <n v="3"/>
    <n v="2"/>
    <x v="0"/>
    <n v="8"/>
    <x v="0"/>
    <n v="5"/>
    <n v="3"/>
    <x v="1"/>
    <n v="0"/>
    <n v="0"/>
    <n v="0"/>
  </r>
  <r>
    <x v="1"/>
    <x v="1"/>
    <x v="0"/>
    <n v="715"/>
    <x v="1"/>
    <n v="2"/>
    <x v="0"/>
    <n v="3"/>
    <s v="Life Sciences"/>
    <n v="1032"/>
    <n v="3"/>
    <x v="0"/>
    <n v="69"/>
    <n v="2"/>
    <n v="4"/>
    <x v="3"/>
    <x v="0"/>
    <x v="0"/>
    <x v="706"/>
    <n v="21829"/>
    <n v="3"/>
    <x v="0"/>
    <n v="13"/>
    <n v="3"/>
    <n v="1"/>
    <x v="0"/>
    <n v="30"/>
    <x v="2"/>
    <n v="4"/>
    <n v="3"/>
    <x v="2"/>
    <n v="3"/>
    <n v="4"/>
    <n v="3"/>
  </r>
  <r>
    <x v="0"/>
    <x v="0"/>
    <x v="0"/>
    <n v="1141"/>
    <x v="1"/>
    <n v="11"/>
    <x v="1"/>
    <n v="2"/>
    <s v="Medical"/>
    <n v="1033"/>
    <n v="1"/>
    <x v="0"/>
    <n v="61"/>
    <n v="1"/>
    <n v="2"/>
    <x v="4"/>
    <x v="1"/>
    <x v="1"/>
    <x v="707"/>
    <n v="14382"/>
    <n v="5"/>
    <x v="1"/>
    <n v="15"/>
    <n v="3"/>
    <n v="1"/>
    <x v="0"/>
    <n v="15"/>
    <x v="0"/>
    <n v="2"/>
    <n v="1"/>
    <x v="1"/>
    <n v="0"/>
    <n v="0"/>
    <n v="0"/>
  </r>
  <r>
    <x v="1"/>
    <x v="1"/>
    <x v="1"/>
    <n v="135"/>
    <x v="1"/>
    <n v="18"/>
    <x v="2"/>
    <n v="4"/>
    <s v="Medical"/>
    <n v="1034"/>
    <n v="3"/>
    <x v="1"/>
    <n v="62"/>
    <n v="3"/>
    <n v="2"/>
    <x v="4"/>
    <x v="1"/>
    <x v="1"/>
    <x v="708"/>
    <n v="12992"/>
    <n v="3"/>
    <x v="0"/>
    <n v="14"/>
    <n v="3"/>
    <n v="4"/>
    <x v="3"/>
    <n v="17"/>
    <x v="2"/>
    <n v="3"/>
    <n v="3"/>
    <x v="0"/>
    <n v="7"/>
    <n v="6"/>
    <n v="7"/>
  </r>
  <r>
    <x v="0"/>
    <x v="1"/>
    <x v="2"/>
    <n v="247"/>
    <x v="1"/>
    <n v="7"/>
    <x v="1"/>
    <n v="1"/>
    <s v="Life Sciences"/>
    <n v="1035"/>
    <n v="2"/>
    <x v="0"/>
    <n v="55"/>
    <n v="1"/>
    <n v="5"/>
    <x v="7"/>
    <x v="2"/>
    <x v="2"/>
    <x v="709"/>
    <n v="20284"/>
    <n v="1"/>
    <x v="1"/>
    <n v="22"/>
    <n v="4"/>
    <n v="2"/>
    <x v="3"/>
    <n v="21"/>
    <x v="2"/>
    <n v="3"/>
    <n v="3"/>
    <x v="3"/>
    <n v="16"/>
    <n v="5"/>
    <n v="10"/>
  </r>
  <r>
    <x v="0"/>
    <x v="1"/>
    <x v="0"/>
    <n v="1035"/>
    <x v="0"/>
    <n v="3"/>
    <x v="0"/>
    <n v="4"/>
    <s v="Life Sciences"/>
    <n v="1036"/>
    <n v="2"/>
    <x v="1"/>
    <n v="42"/>
    <n v="3"/>
    <n v="2"/>
    <x v="0"/>
    <x v="0"/>
    <x v="0"/>
    <x v="710"/>
    <n v="4981"/>
    <n v="8"/>
    <x v="0"/>
    <n v="12"/>
    <n v="3"/>
    <n v="3"/>
    <x v="0"/>
    <n v="19"/>
    <x v="2"/>
    <n v="1"/>
    <n v="3"/>
    <x v="1"/>
    <n v="0"/>
    <n v="0"/>
    <n v="0"/>
  </r>
  <r>
    <x v="2"/>
    <x v="0"/>
    <x v="2"/>
    <n v="265"/>
    <x v="0"/>
    <n v="29"/>
    <x v="2"/>
    <n v="2"/>
    <s v="Medical"/>
    <n v="1037"/>
    <n v="2"/>
    <x v="1"/>
    <n v="79"/>
    <n v="1"/>
    <n v="2"/>
    <x v="0"/>
    <x v="3"/>
    <x v="0"/>
    <x v="711"/>
    <n v="21813"/>
    <n v="8"/>
    <x v="1"/>
    <n v="18"/>
    <n v="3"/>
    <n v="4"/>
    <x v="0"/>
    <n v="7"/>
    <x v="0"/>
    <n v="6"/>
    <n v="3"/>
    <x v="1"/>
    <n v="2"/>
    <n v="2"/>
    <n v="2"/>
  </r>
  <r>
    <x v="1"/>
    <x v="0"/>
    <x v="0"/>
    <n v="266"/>
    <x v="0"/>
    <n v="2"/>
    <x v="0"/>
    <n v="1"/>
    <s v="Marketing"/>
    <n v="1038"/>
    <n v="1"/>
    <x v="0"/>
    <n v="57"/>
    <n v="1"/>
    <n v="5"/>
    <x v="5"/>
    <x v="0"/>
    <x v="1"/>
    <x v="712"/>
    <n v="25846"/>
    <n v="1"/>
    <x v="1"/>
    <n v="15"/>
    <n v="3"/>
    <n v="4"/>
    <x v="1"/>
    <n v="33"/>
    <x v="2"/>
    <n v="3"/>
    <n v="3"/>
    <x v="3"/>
    <n v="14"/>
    <n v="6"/>
    <n v="9"/>
  </r>
  <r>
    <x v="0"/>
    <x v="1"/>
    <x v="0"/>
    <n v="1448"/>
    <x v="0"/>
    <n v="28"/>
    <x v="2"/>
    <n v="3"/>
    <s v="Medical"/>
    <n v="1039"/>
    <n v="4"/>
    <x v="0"/>
    <n v="53"/>
    <n v="4"/>
    <n v="4"/>
    <x v="0"/>
    <x v="0"/>
    <x v="1"/>
    <x v="713"/>
    <n v="11737"/>
    <n v="3"/>
    <x v="0"/>
    <n v="18"/>
    <n v="3"/>
    <n v="3"/>
    <x v="1"/>
    <n v="23"/>
    <x v="2"/>
    <n v="2"/>
    <n v="3"/>
    <x v="3"/>
    <n v="11"/>
    <n v="11"/>
    <n v="11"/>
  </r>
  <r>
    <x v="1"/>
    <x v="1"/>
    <x v="2"/>
    <n v="145"/>
    <x v="0"/>
    <n v="1"/>
    <x v="0"/>
    <n v="3"/>
    <s v="Life Sciences"/>
    <n v="1040"/>
    <n v="4"/>
    <x v="0"/>
    <n v="95"/>
    <n v="3"/>
    <n v="2"/>
    <x v="0"/>
    <x v="2"/>
    <x v="1"/>
    <x v="136"/>
    <n v="24920"/>
    <n v="0"/>
    <x v="1"/>
    <n v="12"/>
    <n v="3"/>
    <n v="1"/>
    <x v="1"/>
    <n v="19"/>
    <x v="2"/>
    <n v="3"/>
    <n v="3"/>
    <x v="3"/>
    <n v="7"/>
    <n v="0"/>
    <n v="13"/>
  </r>
  <r>
    <x v="0"/>
    <x v="0"/>
    <x v="0"/>
    <n v="885"/>
    <x v="1"/>
    <n v="16"/>
    <x v="2"/>
    <n v="4"/>
    <s v="Life Sciences"/>
    <n v="1042"/>
    <n v="3"/>
    <x v="0"/>
    <n v="43"/>
    <n v="4"/>
    <n v="1"/>
    <x v="2"/>
    <x v="3"/>
    <x v="0"/>
    <x v="714"/>
    <n v="8269"/>
    <n v="1"/>
    <x v="1"/>
    <n v="16"/>
    <n v="3"/>
    <n v="3"/>
    <x v="0"/>
    <n v="18"/>
    <x v="2"/>
    <n v="1"/>
    <n v="3"/>
    <x v="3"/>
    <n v="13"/>
    <n v="15"/>
    <n v="14"/>
  </r>
  <r>
    <x v="0"/>
    <x v="1"/>
    <x v="1"/>
    <n v="945"/>
    <x v="1"/>
    <n v="22"/>
    <x v="2"/>
    <n v="3"/>
    <s v="Medical"/>
    <n v="1043"/>
    <n v="4"/>
    <x v="0"/>
    <n v="82"/>
    <n v="3"/>
    <n v="3"/>
    <x v="3"/>
    <x v="3"/>
    <x v="0"/>
    <x v="715"/>
    <n v="5083"/>
    <n v="1"/>
    <x v="0"/>
    <n v="13"/>
    <n v="3"/>
    <n v="3"/>
    <x v="0"/>
    <n v="21"/>
    <x v="2"/>
    <n v="2"/>
    <n v="3"/>
    <x v="3"/>
    <n v="6"/>
    <n v="2"/>
    <n v="8"/>
  </r>
  <r>
    <x v="2"/>
    <x v="1"/>
    <x v="2"/>
    <n v="1038"/>
    <x v="0"/>
    <n v="8"/>
    <x v="1"/>
    <n v="1"/>
    <s v="Life Sciences"/>
    <n v="1044"/>
    <n v="2"/>
    <x v="0"/>
    <n v="88"/>
    <n v="2"/>
    <n v="1"/>
    <x v="6"/>
    <x v="0"/>
    <x v="0"/>
    <x v="531"/>
    <n v="21437"/>
    <n v="0"/>
    <x v="1"/>
    <n v="19"/>
    <n v="3"/>
    <n v="4"/>
    <x v="0"/>
    <n v="3"/>
    <x v="1"/>
    <n v="2"/>
    <n v="2"/>
    <x v="1"/>
    <n v="2"/>
    <n v="2"/>
    <n v="2"/>
  </r>
  <r>
    <x v="0"/>
    <x v="1"/>
    <x v="0"/>
    <n v="1234"/>
    <x v="0"/>
    <n v="11"/>
    <x v="1"/>
    <n v="2"/>
    <s v="Life Sciences"/>
    <n v="1045"/>
    <n v="4"/>
    <x v="0"/>
    <n v="90"/>
    <n v="3"/>
    <n v="4"/>
    <x v="5"/>
    <x v="0"/>
    <x v="1"/>
    <x v="716"/>
    <n v="5404"/>
    <n v="3"/>
    <x v="1"/>
    <n v="13"/>
    <n v="3"/>
    <n v="2"/>
    <x v="1"/>
    <n v="26"/>
    <x v="2"/>
    <n v="4"/>
    <n v="4"/>
    <x v="0"/>
    <n v="3"/>
    <n v="1"/>
    <n v="1"/>
  </r>
  <r>
    <x v="2"/>
    <x v="1"/>
    <x v="2"/>
    <n v="1109"/>
    <x v="1"/>
    <n v="29"/>
    <x v="2"/>
    <n v="4"/>
    <s v="Medical"/>
    <n v="1046"/>
    <n v="4"/>
    <x v="0"/>
    <n v="69"/>
    <n v="3"/>
    <n v="1"/>
    <x v="2"/>
    <x v="2"/>
    <x v="0"/>
    <x v="717"/>
    <n v="11135"/>
    <n v="9"/>
    <x v="1"/>
    <n v="12"/>
    <n v="3"/>
    <n v="2"/>
    <x v="0"/>
    <n v="10"/>
    <x v="0"/>
    <n v="2"/>
    <n v="3"/>
    <x v="0"/>
    <n v="7"/>
    <n v="7"/>
    <n v="7"/>
  </r>
  <r>
    <x v="2"/>
    <x v="1"/>
    <x v="0"/>
    <n v="216"/>
    <x v="0"/>
    <n v="1"/>
    <x v="0"/>
    <n v="4"/>
    <s v="Marketing"/>
    <n v="1047"/>
    <n v="2"/>
    <x v="1"/>
    <n v="75"/>
    <n v="4"/>
    <n v="2"/>
    <x v="0"/>
    <x v="0"/>
    <x v="2"/>
    <x v="718"/>
    <n v="12278"/>
    <n v="0"/>
    <x v="1"/>
    <n v="11"/>
    <n v="3"/>
    <n v="4"/>
    <x v="1"/>
    <n v="16"/>
    <x v="2"/>
    <n v="2"/>
    <n v="2"/>
    <x v="3"/>
    <n v="1"/>
    <n v="0"/>
    <n v="9"/>
  </r>
  <r>
    <x v="1"/>
    <x v="1"/>
    <x v="0"/>
    <n v="1089"/>
    <x v="0"/>
    <n v="1"/>
    <x v="0"/>
    <n v="2"/>
    <s v="Technical Degree"/>
    <n v="1048"/>
    <n v="2"/>
    <x v="1"/>
    <n v="66"/>
    <n v="3"/>
    <n v="3"/>
    <x v="5"/>
    <x v="0"/>
    <x v="1"/>
    <x v="719"/>
    <n v="11038"/>
    <n v="3"/>
    <x v="0"/>
    <n v="14"/>
    <n v="3"/>
    <n v="3"/>
    <x v="1"/>
    <n v="14"/>
    <x v="0"/>
    <n v="1"/>
    <n v="1"/>
    <x v="0"/>
    <n v="4"/>
    <n v="0"/>
    <n v="4"/>
  </r>
  <r>
    <x v="0"/>
    <x v="1"/>
    <x v="0"/>
    <n v="788"/>
    <x v="2"/>
    <n v="24"/>
    <x v="2"/>
    <n v="4"/>
    <s v="Medical"/>
    <n v="1049"/>
    <n v="2"/>
    <x v="1"/>
    <n v="36"/>
    <n v="3"/>
    <n v="1"/>
    <x v="8"/>
    <x v="1"/>
    <x v="0"/>
    <x v="221"/>
    <n v="8318"/>
    <n v="1"/>
    <x v="1"/>
    <n v="16"/>
    <n v="3"/>
    <n v="1"/>
    <x v="0"/>
    <n v="6"/>
    <x v="0"/>
    <n v="3"/>
    <n v="3"/>
    <x v="0"/>
    <n v="3"/>
    <n v="0"/>
    <n v="4"/>
  </r>
  <r>
    <x v="1"/>
    <x v="1"/>
    <x v="1"/>
    <n v="124"/>
    <x v="0"/>
    <n v="2"/>
    <x v="0"/>
    <n v="3"/>
    <s v="Marketing"/>
    <n v="1050"/>
    <n v="3"/>
    <x v="0"/>
    <n v="38"/>
    <n v="2"/>
    <n v="3"/>
    <x v="0"/>
    <x v="1"/>
    <x v="1"/>
    <x v="720"/>
    <n v="23537"/>
    <n v="2"/>
    <x v="1"/>
    <n v="12"/>
    <n v="3"/>
    <n v="1"/>
    <x v="1"/>
    <n v="30"/>
    <x v="2"/>
    <n v="2"/>
    <n v="3"/>
    <x v="3"/>
    <n v="7"/>
    <n v="6"/>
    <n v="12"/>
  </r>
  <r>
    <x v="0"/>
    <x v="0"/>
    <x v="0"/>
    <n v="660"/>
    <x v="1"/>
    <n v="15"/>
    <x v="1"/>
    <n v="3"/>
    <s v="Other"/>
    <n v="1052"/>
    <n v="1"/>
    <x v="1"/>
    <n v="81"/>
    <n v="3"/>
    <n v="2"/>
    <x v="2"/>
    <x v="2"/>
    <x v="2"/>
    <x v="721"/>
    <n v="7858"/>
    <n v="7"/>
    <x v="1"/>
    <n v="14"/>
    <n v="3"/>
    <n v="2"/>
    <x v="1"/>
    <n v="9"/>
    <x v="0"/>
    <n v="3"/>
    <n v="2"/>
    <x v="1"/>
    <n v="0"/>
    <n v="0"/>
    <n v="0"/>
  </r>
  <r>
    <x v="2"/>
    <x v="0"/>
    <x v="1"/>
    <n v="342"/>
    <x v="1"/>
    <n v="2"/>
    <x v="0"/>
    <n v="3"/>
    <s v="Life Sciences"/>
    <n v="1053"/>
    <n v="1"/>
    <x v="1"/>
    <n v="57"/>
    <n v="3"/>
    <n v="1"/>
    <x v="1"/>
    <x v="3"/>
    <x v="1"/>
    <x v="96"/>
    <n v="15346"/>
    <n v="6"/>
    <x v="0"/>
    <n v="14"/>
    <n v="3"/>
    <n v="2"/>
    <x v="1"/>
    <n v="6"/>
    <x v="0"/>
    <n v="2"/>
    <n v="3"/>
    <x v="2"/>
    <n v="2"/>
    <n v="1"/>
    <n v="2"/>
  </r>
  <r>
    <x v="2"/>
    <x v="1"/>
    <x v="0"/>
    <n v="1333"/>
    <x v="0"/>
    <n v="10"/>
    <x v="1"/>
    <n v="4"/>
    <s v="Life Sciences"/>
    <n v="1055"/>
    <n v="3"/>
    <x v="0"/>
    <n v="87"/>
    <n v="3"/>
    <n v="1"/>
    <x v="6"/>
    <x v="2"/>
    <x v="1"/>
    <x v="722"/>
    <n v="18410"/>
    <n v="1"/>
    <x v="0"/>
    <n v="19"/>
    <n v="3"/>
    <n v="4"/>
    <x v="1"/>
    <n v="1"/>
    <x v="1"/>
    <n v="2"/>
    <n v="3"/>
    <x v="1"/>
    <n v="1"/>
    <n v="0"/>
    <n v="0"/>
  </r>
  <r>
    <x v="2"/>
    <x v="1"/>
    <x v="0"/>
    <n v="1144"/>
    <x v="0"/>
    <n v="10"/>
    <x v="1"/>
    <n v="1"/>
    <s v="Medical"/>
    <n v="1056"/>
    <n v="4"/>
    <x v="1"/>
    <n v="74"/>
    <n v="3"/>
    <n v="1"/>
    <x v="6"/>
    <x v="1"/>
    <x v="1"/>
    <x v="723"/>
    <n v="23384"/>
    <n v="1"/>
    <x v="1"/>
    <n v="22"/>
    <n v="4"/>
    <n v="2"/>
    <x v="0"/>
    <n v="1"/>
    <x v="1"/>
    <n v="5"/>
    <n v="3"/>
    <x v="1"/>
    <n v="0"/>
    <n v="0"/>
    <n v="0"/>
  </r>
  <r>
    <x v="0"/>
    <x v="1"/>
    <x v="1"/>
    <n v="1186"/>
    <x v="1"/>
    <n v="3"/>
    <x v="0"/>
    <n v="4"/>
    <s v="Other"/>
    <n v="1060"/>
    <n v="3"/>
    <x v="1"/>
    <n v="44"/>
    <n v="3"/>
    <n v="1"/>
    <x v="1"/>
    <x v="2"/>
    <x v="1"/>
    <x v="724"/>
    <n v="2997"/>
    <n v="3"/>
    <x v="1"/>
    <n v="16"/>
    <n v="3"/>
    <n v="1"/>
    <x v="1"/>
    <n v="8"/>
    <x v="0"/>
    <n v="2"/>
    <n v="3"/>
    <x v="1"/>
    <n v="2"/>
    <n v="2"/>
    <n v="2"/>
  </r>
  <r>
    <x v="1"/>
    <x v="1"/>
    <x v="0"/>
    <n v="1464"/>
    <x v="1"/>
    <n v="2"/>
    <x v="0"/>
    <n v="4"/>
    <s v="Medical"/>
    <n v="1061"/>
    <n v="2"/>
    <x v="1"/>
    <n v="62"/>
    <n v="3"/>
    <n v="5"/>
    <x v="7"/>
    <x v="2"/>
    <x v="1"/>
    <x v="725"/>
    <n v="12853"/>
    <n v="2"/>
    <x v="0"/>
    <n v="11"/>
    <n v="3"/>
    <n v="4"/>
    <x v="1"/>
    <n v="29"/>
    <x v="2"/>
    <n v="2"/>
    <n v="2"/>
    <x v="0"/>
    <n v="1"/>
    <n v="7"/>
    <n v="7"/>
  </r>
  <r>
    <x v="0"/>
    <x v="1"/>
    <x v="0"/>
    <n v="124"/>
    <x v="1"/>
    <n v="3"/>
    <x v="0"/>
    <n v="3"/>
    <s v="Other"/>
    <n v="1062"/>
    <n v="4"/>
    <x v="0"/>
    <n v="35"/>
    <n v="3"/>
    <n v="2"/>
    <x v="4"/>
    <x v="1"/>
    <x v="0"/>
    <x v="726"/>
    <n v="13848"/>
    <n v="3"/>
    <x v="1"/>
    <n v="15"/>
    <n v="3"/>
    <n v="1"/>
    <x v="0"/>
    <n v="8"/>
    <x v="0"/>
    <n v="3"/>
    <n v="2"/>
    <x v="2"/>
    <n v="3"/>
    <n v="0"/>
    <n v="1"/>
  </r>
  <r>
    <x v="0"/>
    <x v="1"/>
    <x v="0"/>
    <n v="300"/>
    <x v="0"/>
    <n v="26"/>
    <x v="2"/>
    <n v="3"/>
    <s v="Marketing"/>
    <n v="1066"/>
    <n v="3"/>
    <x v="1"/>
    <n v="74"/>
    <n v="3"/>
    <n v="2"/>
    <x v="0"/>
    <x v="3"/>
    <x v="1"/>
    <x v="727"/>
    <n v="22217"/>
    <n v="1"/>
    <x v="1"/>
    <n v="14"/>
    <n v="3"/>
    <n v="2"/>
    <x v="1"/>
    <n v="8"/>
    <x v="0"/>
    <n v="3"/>
    <n v="2"/>
    <x v="0"/>
    <n v="7"/>
    <n v="7"/>
    <n v="5"/>
  </r>
  <r>
    <x v="2"/>
    <x v="1"/>
    <x v="1"/>
    <n v="921"/>
    <x v="1"/>
    <n v="1"/>
    <x v="0"/>
    <n v="1"/>
    <s v="Medical"/>
    <n v="1068"/>
    <n v="1"/>
    <x v="0"/>
    <n v="66"/>
    <n v="2"/>
    <n v="1"/>
    <x v="1"/>
    <x v="2"/>
    <x v="2"/>
    <x v="728"/>
    <n v="25265"/>
    <n v="1"/>
    <x v="1"/>
    <n v="13"/>
    <n v="3"/>
    <n v="3"/>
    <x v="3"/>
    <n v="5"/>
    <x v="1"/>
    <n v="5"/>
    <n v="3"/>
    <x v="2"/>
    <n v="3"/>
    <n v="1"/>
    <n v="3"/>
  </r>
  <r>
    <x v="1"/>
    <x v="1"/>
    <x v="0"/>
    <n v="430"/>
    <x v="1"/>
    <n v="1"/>
    <x v="0"/>
    <n v="4"/>
    <s v="Medical"/>
    <n v="1069"/>
    <n v="4"/>
    <x v="1"/>
    <n v="40"/>
    <n v="3"/>
    <n v="5"/>
    <x v="7"/>
    <x v="0"/>
    <x v="2"/>
    <x v="729"/>
    <n v="21445"/>
    <n v="9"/>
    <x v="1"/>
    <n v="17"/>
    <n v="3"/>
    <n v="4"/>
    <x v="3"/>
    <n v="23"/>
    <x v="2"/>
    <n v="0"/>
    <n v="3"/>
    <x v="1"/>
    <n v="2"/>
    <n v="2"/>
    <n v="2"/>
  </r>
  <r>
    <x v="1"/>
    <x v="1"/>
    <x v="0"/>
    <n v="1082"/>
    <x v="0"/>
    <n v="2"/>
    <x v="0"/>
    <n v="4"/>
    <s v="Life Sciences"/>
    <n v="1070"/>
    <n v="3"/>
    <x v="0"/>
    <n v="41"/>
    <n v="2"/>
    <n v="3"/>
    <x v="0"/>
    <x v="2"/>
    <x v="1"/>
    <x v="730"/>
    <n v="8392"/>
    <n v="6"/>
    <x v="1"/>
    <n v="11"/>
    <n v="3"/>
    <n v="2"/>
    <x v="1"/>
    <n v="13"/>
    <x v="0"/>
    <n v="4"/>
    <n v="3"/>
    <x v="0"/>
    <n v="4"/>
    <n v="7"/>
    <n v="0"/>
  </r>
  <r>
    <x v="1"/>
    <x v="1"/>
    <x v="1"/>
    <n v="1240"/>
    <x v="1"/>
    <n v="9"/>
    <x v="1"/>
    <n v="3"/>
    <s v="Medical"/>
    <n v="1071"/>
    <n v="1"/>
    <x v="0"/>
    <n v="63"/>
    <n v="3"/>
    <n v="1"/>
    <x v="1"/>
    <x v="2"/>
    <x v="1"/>
    <x v="131"/>
    <n v="12154"/>
    <n v="2"/>
    <x v="1"/>
    <n v="19"/>
    <n v="3"/>
    <n v="2"/>
    <x v="1"/>
    <n v="18"/>
    <x v="2"/>
    <n v="4"/>
    <n v="3"/>
    <x v="2"/>
    <n v="4"/>
    <n v="0"/>
    <n v="3"/>
  </r>
  <r>
    <x v="0"/>
    <x v="1"/>
    <x v="0"/>
    <n v="796"/>
    <x v="1"/>
    <n v="12"/>
    <x v="1"/>
    <n v="5"/>
    <s v="Medical"/>
    <n v="1073"/>
    <n v="4"/>
    <x v="0"/>
    <n v="51"/>
    <n v="2"/>
    <n v="3"/>
    <x v="3"/>
    <x v="0"/>
    <x v="0"/>
    <x v="731"/>
    <n v="15669"/>
    <n v="0"/>
    <x v="1"/>
    <n v="11"/>
    <n v="3"/>
    <n v="2"/>
    <x v="0"/>
    <n v="15"/>
    <x v="0"/>
    <n v="2"/>
    <n v="2"/>
    <x v="3"/>
    <n v="8"/>
    <n v="7"/>
    <n v="8"/>
  </r>
  <r>
    <x v="1"/>
    <x v="1"/>
    <x v="2"/>
    <n v="444"/>
    <x v="1"/>
    <n v="2"/>
    <x v="0"/>
    <n v="1"/>
    <s v="Medical"/>
    <n v="1074"/>
    <n v="3"/>
    <x v="1"/>
    <n v="40"/>
    <n v="2"/>
    <n v="4"/>
    <x v="5"/>
    <x v="3"/>
    <x v="0"/>
    <x v="732"/>
    <n v="17323"/>
    <n v="7"/>
    <x v="1"/>
    <n v="15"/>
    <n v="3"/>
    <n v="2"/>
    <x v="0"/>
    <n v="31"/>
    <x v="2"/>
    <n v="3"/>
    <n v="4"/>
    <x v="0"/>
    <n v="7"/>
    <n v="6"/>
    <n v="2"/>
  </r>
  <r>
    <x v="0"/>
    <x v="1"/>
    <x v="0"/>
    <n v="415"/>
    <x v="0"/>
    <n v="25"/>
    <x v="2"/>
    <n v="3"/>
    <s v="Medical"/>
    <n v="1076"/>
    <n v="3"/>
    <x v="1"/>
    <n v="79"/>
    <n v="2"/>
    <n v="3"/>
    <x v="0"/>
    <x v="0"/>
    <x v="2"/>
    <x v="733"/>
    <n v="5268"/>
    <n v="5"/>
    <x v="1"/>
    <n v="13"/>
    <n v="3"/>
    <n v="3"/>
    <x v="1"/>
    <n v="18"/>
    <x v="2"/>
    <n v="5"/>
    <n v="3"/>
    <x v="1"/>
    <n v="0"/>
    <n v="0"/>
    <n v="0"/>
  </r>
  <r>
    <x v="3"/>
    <x v="0"/>
    <x v="1"/>
    <n v="769"/>
    <x v="0"/>
    <n v="9"/>
    <x v="1"/>
    <n v="3"/>
    <s v="Marketing"/>
    <n v="1077"/>
    <n v="4"/>
    <x v="0"/>
    <n v="54"/>
    <n v="3"/>
    <n v="1"/>
    <x v="6"/>
    <x v="0"/>
    <x v="0"/>
    <x v="157"/>
    <n v="17205"/>
    <n v="1"/>
    <x v="0"/>
    <n v="14"/>
    <n v="3"/>
    <n v="2"/>
    <x v="0"/>
    <n v="2"/>
    <x v="1"/>
    <n v="3"/>
    <n v="3"/>
    <x v="1"/>
    <n v="2"/>
    <n v="0"/>
    <n v="2"/>
  </r>
  <r>
    <x v="3"/>
    <x v="0"/>
    <x v="0"/>
    <n v="1334"/>
    <x v="1"/>
    <n v="10"/>
    <x v="1"/>
    <n v="3"/>
    <s v="Life Sciences"/>
    <n v="1079"/>
    <n v="3"/>
    <x v="0"/>
    <n v="36"/>
    <n v="2"/>
    <n v="1"/>
    <x v="2"/>
    <x v="3"/>
    <x v="0"/>
    <x v="734"/>
    <n v="17258"/>
    <n v="1"/>
    <x v="1"/>
    <n v="13"/>
    <n v="3"/>
    <n v="1"/>
    <x v="0"/>
    <n v="1"/>
    <x v="1"/>
    <n v="6"/>
    <n v="2"/>
    <x v="1"/>
    <n v="0"/>
    <n v="1"/>
    <n v="0"/>
  </r>
  <r>
    <x v="1"/>
    <x v="1"/>
    <x v="0"/>
    <n v="1003"/>
    <x v="1"/>
    <n v="8"/>
    <x v="1"/>
    <n v="4"/>
    <s v="Life Sciences"/>
    <n v="1080"/>
    <n v="4"/>
    <x v="0"/>
    <n v="74"/>
    <n v="2"/>
    <n v="2"/>
    <x v="1"/>
    <x v="3"/>
    <x v="2"/>
    <x v="735"/>
    <n v="21029"/>
    <n v="8"/>
    <x v="0"/>
    <n v="23"/>
    <n v="4"/>
    <n v="1"/>
    <x v="2"/>
    <n v="19"/>
    <x v="2"/>
    <n v="2"/>
    <n v="3"/>
    <x v="3"/>
    <n v="13"/>
    <n v="1"/>
    <n v="7"/>
  </r>
  <r>
    <x v="1"/>
    <x v="0"/>
    <x v="0"/>
    <n v="1323"/>
    <x v="1"/>
    <n v="4"/>
    <x v="0"/>
    <n v="4"/>
    <s v="Life Sciences"/>
    <n v="1081"/>
    <n v="1"/>
    <x v="1"/>
    <n v="34"/>
    <n v="3"/>
    <n v="1"/>
    <x v="1"/>
    <x v="2"/>
    <x v="1"/>
    <x v="736"/>
    <n v="10332"/>
    <n v="9"/>
    <x v="0"/>
    <n v="12"/>
    <n v="3"/>
    <n v="3"/>
    <x v="2"/>
    <n v="18"/>
    <x v="2"/>
    <n v="2"/>
    <n v="4"/>
    <x v="0"/>
    <n v="0"/>
    <n v="2"/>
    <n v="7"/>
  </r>
  <r>
    <x v="2"/>
    <x v="0"/>
    <x v="2"/>
    <n v="1366"/>
    <x v="1"/>
    <n v="24"/>
    <x v="2"/>
    <n v="2"/>
    <s v="Technical Degree"/>
    <n v="1082"/>
    <n v="2"/>
    <x v="1"/>
    <n v="72"/>
    <n v="2"/>
    <n v="3"/>
    <x v="4"/>
    <x v="3"/>
    <x v="0"/>
    <x v="737"/>
    <n v="12355"/>
    <n v="1"/>
    <x v="1"/>
    <n v="12"/>
    <n v="3"/>
    <n v="1"/>
    <x v="0"/>
    <n v="10"/>
    <x v="0"/>
    <n v="2"/>
    <n v="2"/>
    <x v="0"/>
    <n v="7"/>
    <n v="1"/>
    <n v="9"/>
  </r>
  <r>
    <x v="2"/>
    <x v="1"/>
    <x v="0"/>
    <n v="192"/>
    <x v="1"/>
    <n v="1"/>
    <x v="0"/>
    <n v="2"/>
    <s v="Medical"/>
    <n v="1083"/>
    <n v="1"/>
    <x v="1"/>
    <n v="59"/>
    <n v="2"/>
    <n v="1"/>
    <x v="2"/>
    <x v="3"/>
    <x v="1"/>
    <x v="738"/>
    <n v="11141"/>
    <n v="1"/>
    <x v="1"/>
    <n v="16"/>
    <n v="3"/>
    <n v="1"/>
    <x v="3"/>
    <n v="6"/>
    <x v="0"/>
    <n v="2"/>
    <n v="3"/>
    <x v="2"/>
    <n v="3"/>
    <n v="1"/>
    <n v="3"/>
  </r>
  <r>
    <x v="2"/>
    <x v="1"/>
    <x v="0"/>
    <n v="1176"/>
    <x v="1"/>
    <n v="20"/>
    <x v="2"/>
    <n v="3"/>
    <s v="Other"/>
    <n v="1084"/>
    <n v="3"/>
    <x v="1"/>
    <n v="85"/>
    <n v="3"/>
    <n v="2"/>
    <x v="3"/>
    <x v="3"/>
    <x v="1"/>
    <x v="739"/>
    <n v="9096"/>
    <n v="0"/>
    <x v="1"/>
    <n v="15"/>
    <n v="3"/>
    <n v="3"/>
    <x v="1"/>
    <n v="7"/>
    <x v="0"/>
    <n v="1"/>
    <n v="2"/>
    <x v="0"/>
    <n v="2"/>
    <n v="0"/>
    <n v="2"/>
  </r>
  <r>
    <x v="0"/>
    <x v="1"/>
    <x v="0"/>
    <n v="509"/>
    <x v="1"/>
    <n v="7"/>
    <x v="1"/>
    <n v="2"/>
    <s v="Technical Degree"/>
    <n v="1085"/>
    <n v="2"/>
    <x v="0"/>
    <n v="43"/>
    <n v="4"/>
    <n v="1"/>
    <x v="1"/>
    <x v="2"/>
    <x v="1"/>
    <x v="740"/>
    <n v="18863"/>
    <n v="1"/>
    <x v="1"/>
    <n v="13"/>
    <n v="3"/>
    <n v="3"/>
    <x v="0"/>
    <n v="10"/>
    <x v="0"/>
    <n v="3"/>
    <n v="3"/>
    <x v="0"/>
    <n v="6"/>
    <n v="0"/>
    <n v="8"/>
  </r>
  <r>
    <x v="0"/>
    <x v="1"/>
    <x v="0"/>
    <n v="330"/>
    <x v="1"/>
    <n v="17"/>
    <x v="2"/>
    <n v="1"/>
    <s v="Life Sciences"/>
    <n v="1088"/>
    <n v="3"/>
    <x v="0"/>
    <n v="65"/>
    <n v="2"/>
    <n v="3"/>
    <x v="4"/>
    <x v="2"/>
    <x v="1"/>
    <x v="741"/>
    <n v="24608"/>
    <n v="0"/>
    <x v="1"/>
    <n v="18"/>
    <n v="3"/>
    <n v="1"/>
    <x v="1"/>
    <n v="20"/>
    <x v="2"/>
    <n v="4"/>
    <n v="2"/>
    <x v="3"/>
    <n v="9"/>
    <n v="1"/>
    <n v="9"/>
  </r>
  <r>
    <x v="0"/>
    <x v="1"/>
    <x v="0"/>
    <n v="1492"/>
    <x v="1"/>
    <n v="20"/>
    <x v="2"/>
    <n v="4"/>
    <s v="Technical Degree"/>
    <n v="1092"/>
    <n v="1"/>
    <x v="1"/>
    <n v="61"/>
    <n v="3"/>
    <n v="3"/>
    <x v="4"/>
    <x v="0"/>
    <x v="1"/>
    <x v="742"/>
    <n v="26542"/>
    <n v="4"/>
    <x v="1"/>
    <n v="20"/>
    <n v="4"/>
    <n v="4"/>
    <x v="1"/>
    <n v="14"/>
    <x v="0"/>
    <n v="6"/>
    <n v="3"/>
    <x v="3"/>
    <n v="10"/>
    <n v="11"/>
    <n v="1"/>
  </r>
  <r>
    <x v="2"/>
    <x v="1"/>
    <x v="2"/>
    <n v="1277"/>
    <x v="1"/>
    <n v="8"/>
    <x v="1"/>
    <n v="5"/>
    <s v="Life Sciences"/>
    <n v="1094"/>
    <n v="1"/>
    <x v="1"/>
    <n v="87"/>
    <n v="1"/>
    <n v="1"/>
    <x v="2"/>
    <x v="2"/>
    <x v="1"/>
    <x v="743"/>
    <n v="5869"/>
    <n v="1"/>
    <x v="1"/>
    <n v="19"/>
    <n v="3"/>
    <n v="4"/>
    <x v="2"/>
    <n v="3"/>
    <x v="1"/>
    <n v="4"/>
    <n v="3"/>
    <x v="2"/>
    <n v="2"/>
    <n v="1"/>
    <n v="2"/>
  </r>
  <r>
    <x v="1"/>
    <x v="1"/>
    <x v="1"/>
    <n v="1091"/>
    <x v="1"/>
    <n v="2"/>
    <x v="0"/>
    <n v="1"/>
    <s v="Life Sciences"/>
    <n v="1096"/>
    <n v="4"/>
    <x v="1"/>
    <n v="65"/>
    <n v="3"/>
    <n v="3"/>
    <x v="3"/>
    <x v="1"/>
    <x v="1"/>
    <x v="744"/>
    <n v="15813"/>
    <n v="3"/>
    <x v="1"/>
    <n v="18"/>
    <n v="3"/>
    <n v="2"/>
    <x v="1"/>
    <n v="23"/>
    <x v="2"/>
    <n v="4"/>
    <n v="3"/>
    <x v="2"/>
    <n v="2"/>
    <n v="1"/>
    <n v="2"/>
  </r>
  <r>
    <x v="2"/>
    <x v="1"/>
    <x v="0"/>
    <n v="857"/>
    <x v="1"/>
    <n v="10"/>
    <x v="1"/>
    <n v="3"/>
    <s v="Other"/>
    <n v="1097"/>
    <n v="3"/>
    <x v="0"/>
    <n v="59"/>
    <n v="3"/>
    <n v="2"/>
    <x v="1"/>
    <x v="2"/>
    <x v="0"/>
    <x v="745"/>
    <n v="7909"/>
    <n v="3"/>
    <x v="1"/>
    <n v="13"/>
    <n v="3"/>
    <n v="4"/>
    <x v="0"/>
    <n v="10"/>
    <x v="0"/>
    <n v="4"/>
    <n v="4"/>
    <x v="0"/>
    <n v="7"/>
    <n v="1"/>
    <n v="7"/>
  </r>
  <r>
    <x v="0"/>
    <x v="0"/>
    <x v="0"/>
    <n v="1376"/>
    <x v="2"/>
    <n v="1"/>
    <x v="0"/>
    <n v="2"/>
    <s v="Medical"/>
    <n v="1098"/>
    <n v="2"/>
    <x v="1"/>
    <n v="91"/>
    <n v="2"/>
    <n v="3"/>
    <x v="8"/>
    <x v="3"/>
    <x v="1"/>
    <x v="746"/>
    <n v="2326"/>
    <n v="9"/>
    <x v="1"/>
    <n v="14"/>
    <n v="3"/>
    <n v="4"/>
    <x v="1"/>
    <n v="24"/>
    <x v="2"/>
    <n v="1"/>
    <n v="3"/>
    <x v="3"/>
    <n v="6"/>
    <n v="3"/>
    <n v="6"/>
  </r>
  <r>
    <x v="2"/>
    <x v="1"/>
    <x v="0"/>
    <n v="654"/>
    <x v="1"/>
    <n v="5"/>
    <x v="0"/>
    <n v="3"/>
    <s v="Life Sciences"/>
    <n v="1099"/>
    <n v="4"/>
    <x v="1"/>
    <n v="34"/>
    <n v="2"/>
    <n v="3"/>
    <x v="4"/>
    <x v="0"/>
    <x v="2"/>
    <x v="747"/>
    <n v="21214"/>
    <n v="4"/>
    <x v="1"/>
    <n v="15"/>
    <n v="3"/>
    <n v="3"/>
    <x v="1"/>
    <n v="9"/>
    <x v="0"/>
    <n v="2"/>
    <n v="3"/>
    <x v="2"/>
    <n v="2"/>
    <n v="1"/>
    <n v="2"/>
  </r>
  <r>
    <x v="2"/>
    <x v="0"/>
    <x v="0"/>
    <n v="1204"/>
    <x v="0"/>
    <n v="4"/>
    <x v="0"/>
    <n v="3"/>
    <s v="Technical Degree"/>
    <n v="1100"/>
    <n v="4"/>
    <x v="1"/>
    <n v="86"/>
    <n v="3"/>
    <n v="3"/>
    <x v="0"/>
    <x v="3"/>
    <x v="0"/>
    <x v="748"/>
    <n v="10333"/>
    <n v="0"/>
    <x v="0"/>
    <n v="22"/>
    <n v="4"/>
    <n v="1"/>
    <x v="0"/>
    <n v="9"/>
    <x v="0"/>
    <n v="2"/>
    <n v="3"/>
    <x v="0"/>
    <n v="7"/>
    <n v="4"/>
    <n v="7"/>
  </r>
  <r>
    <x v="2"/>
    <x v="0"/>
    <x v="1"/>
    <n v="827"/>
    <x v="1"/>
    <n v="29"/>
    <x v="2"/>
    <n v="4"/>
    <s v="Medical"/>
    <n v="1101"/>
    <n v="1"/>
    <x v="0"/>
    <n v="54"/>
    <n v="2"/>
    <n v="2"/>
    <x v="1"/>
    <x v="2"/>
    <x v="0"/>
    <x v="749"/>
    <n v="3129"/>
    <n v="1"/>
    <x v="1"/>
    <n v="22"/>
    <n v="4"/>
    <n v="2"/>
    <x v="0"/>
    <n v="14"/>
    <x v="0"/>
    <n v="4"/>
    <n v="3"/>
    <x v="3"/>
    <n v="7"/>
    <n v="3"/>
    <n v="8"/>
  </r>
  <r>
    <x v="2"/>
    <x v="1"/>
    <x v="0"/>
    <n v="895"/>
    <x v="1"/>
    <n v="15"/>
    <x v="1"/>
    <n v="2"/>
    <s v="Life Sciences"/>
    <n v="1102"/>
    <n v="1"/>
    <x v="1"/>
    <n v="50"/>
    <n v="3"/>
    <n v="1"/>
    <x v="2"/>
    <x v="2"/>
    <x v="2"/>
    <x v="750"/>
    <n v="22482"/>
    <n v="1"/>
    <x v="1"/>
    <n v="16"/>
    <n v="3"/>
    <n v="4"/>
    <x v="1"/>
    <n v="4"/>
    <x v="1"/>
    <n v="5"/>
    <n v="2"/>
    <x v="2"/>
    <n v="2"/>
    <n v="2"/>
    <n v="2"/>
  </r>
  <r>
    <x v="2"/>
    <x v="1"/>
    <x v="1"/>
    <n v="618"/>
    <x v="1"/>
    <n v="3"/>
    <x v="0"/>
    <n v="1"/>
    <s v="Life Sciences"/>
    <n v="1103"/>
    <n v="1"/>
    <x v="1"/>
    <n v="45"/>
    <n v="3"/>
    <n v="2"/>
    <x v="4"/>
    <x v="0"/>
    <x v="0"/>
    <x v="751"/>
    <n v="22266"/>
    <n v="0"/>
    <x v="1"/>
    <n v="17"/>
    <n v="3"/>
    <n v="3"/>
    <x v="0"/>
    <n v="7"/>
    <x v="0"/>
    <n v="1"/>
    <n v="2"/>
    <x v="0"/>
    <n v="2"/>
    <n v="0"/>
    <n v="4"/>
  </r>
  <r>
    <x v="0"/>
    <x v="1"/>
    <x v="0"/>
    <n v="309"/>
    <x v="0"/>
    <n v="10"/>
    <x v="1"/>
    <n v="4"/>
    <s v="Life Sciences"/>
    <n v="1105"/>
    <n v="4"/>
    <x v="0"/>
    <n v="88"/>
    <n v="2"/>
    <n v="2"/>
    <x v="0"/>
    <x v="0"/>
    <x v="2"/>
    <x v="752"/>
    <n v="24223"/>
    <n v="2"/>
    <x v="0"/>
    <n v="14"/>
    <n v="3"/>
    <n v="3"/>
    <x v="2"/>
    <n v="8"/>
    <x v="0"/>
    <n v="5"/>
    <n v="3"/>
    <x v="1"/>
    <n v="0"/>
    <n v="0"/>
    <n v="0"/>
  </r>
  <r>
    <x v="3"/>
    <x v="0"/>
    <x v="0"/>
    <n v="1219"/>
    <x v="1"/>
    <n v="4"/>
    <x v="0"/>
    <n v="1"/>
    <s v="Technical Degree"/>
    <n v="1106"/>
    <n v="4"/>
    <x v="1"/>
    <n v="32"/>
    <n v="3"/>
    <n v="1"/>
    <x v="2"/>
    <x v="0"/>
    <x v="1"/>
    <x v="753"/>
    <n v="4605"/>
    <n v="1"/>
    <x v="0"/>
    <n v="15"/>
    <n v="3"/>
    <n v="2"/>
    <x v="1"/>
    <n v="7"/>
    <x v="0"/>
    <n v="3"/>
    <n v="4"/>
    <x v="0"/>
    <n v="7"/>
    <n v="5"/>
    <n v="6"/>
  </r>
  <r>
    <x v="2"/>
    <x v="0"/>
    <x v="0"/>
    <n v="1330"/>
    <x v="1"/>
    <n v="21"/>
    <x v="2"/>
    <n v="3"/>
    <s v="Medical"/>
    <n v="1107"/>
    <n v="1"/>
    <x v="1"/>
    <n v="37"/>
    <n v="3"/>
    <n v="1"/>
    <x v="2"/>
    <x v="2"/>
    <x v="2"/>
    <x v="638"/>
    <n v="19373"/>
    <n v="1"/>
    <x v="1"/>
    <n v="20"/>
    <n v="4"/>
    <n v="3"/>
    <x v="1"/>
    <n v="1"/>
    <x v="1"/>
    <n v="0"/>
    <n v="2"/>
    <x v="1"/>
    <n v="1"/>
    <n v="0"/>
    <n v="0"/>
  </r>
  <r>
    <x v="2"/>
    <x v="0"/>
    <x v="0"/>
    <n v="1017"/>
    <x v="1"/>
    <n v="25"/>
    <x v="2"/>
    <n v="3"/>
    <s v="Medical"/>
    <n v="1108"/>
    <n v="1"/>
    <x v="1"/>
    <n v="55"/>
    <n v="2"/>
    <n v="1"/>
    <x v="1"/>
    <x v="1"/>
    <x v="0"/>
    <x v="754"/>
    <n v="2993"/>
    <n v="4"/>
    <x v="0"/>
    <n v="20"/>
    <n v="4"/>
    <n v="2"/>
    <x v="0"/>
    <n v="5"/>
    <x v="1"/>
    <n v="0"/>
    <n v="3"/>
    <x v="1"/>
    <n v="2"/>
    <n v="2"/>
    <n v="2"/>
  </r>
  <r>
    <x v="0"/>
    <x v="1"/>
    <x v="0"/>
    <n v="469"/>
    <x v="1"/>
    <n v="2"/>
    <x v="0"/>
    <n v="2"/>
    <s v="Medical"/>
    <n v="1109"/>
    <n v="4"/>
    <x v="1"/>
    <n v="35"/>
    <n v="3"/>
    <n v="4"/>
    <x v="5"/>
    <x v="3"/>
    <x v="1"/>
    <x v="755"/>
    <n v="14399"/>
    <n v="0"/>
    <x v="1"/>
    <n v="17"/>
    <n v="3"/>
    <n v="4"/>
    <x v="1"/>
    <n v="23"/>
    <x v="2"/>
    <n v="3"/>
    <n v="3"/>
    <x v="3"/>
    <n v="6"/>
    <n v="13"/>
    <n v="7"/>
  </r>
  <r>
    <x v="2"/>
    <x v="0"/>
    <x v="1"/>
    <n v="1009"/>
    <x v="1"/>
    <n v="1"/>
    <x v="0"/>
    <n v="3"/>
    <s v="Medical"/>
    <n v="1111"/>
    <n v="1"/>
    <x v="1"/>
    <n v="45"/>
    <n v="2"/>
    <n v="1"/>
    <x v="2"/>
    <x v="1"/>
    <x v="2"/>
    <x v="756"/>
    <n v="7160"/>
    <n v="1"/>
    <x v="1"/>
    <n v="15"/>
    <n v="3"/>
    <n v="1"/>
    <x v="3"/>
    <n v="1"/>
    <x v="1"/>
    <n v="2"/>
    <n v="3"/>
    <x v="1"/>
    <n v="0"/>
    <n v="0"/>
    <n v="0"/>
  </r>
  <r>
    <x v="1"/>
    <x v="0"/>
    <x v="1"/>
    <n v="959"/>
    <x v="0"/>
    <n v="1"/>
    <x v="0"/>
    <n v="4"/>
    <s v="Other"/>
    <n v="1113"/>
    <n v="4"/>
    <x v="1"/>
    <n v="81"/>
    <n v="3"/>
    <n v="2"/>
    <x v="0"/>
    <x v="2"/>
    <x v="0"/>
    <x v="757"/>
    <n v="17251"/>
    <n v="3"/>
    <x v="0"/>
    <n v="14"/>
    <n v="3"/>
    <n v="4"/>
    <x v="0"/>
    <n v="5"/>
    <x v="1"/>
    <n v="4"/>
    <n v="3"/>
    <x v="1"/>
    <n v="0"/>
    <n v="0"/>
    <n v="0"/>
  </r>
  <r>
    <x v="2"/>
    <x v="1"/>
    <x v="1"/>
    <n v="970"/>
    <x v="0"/>
    <n v="7"/>
    <x v="1"/>
    <n v="3"/>
    <s v="Life Sciences"/>
    <n v="1114"/>
    <n v="4"/>
    <x v="0"/>
    <n v="30"/>
    <n v="3"/>
    <n v="2"/>
    <x v="0"/>
    <x v="1"/>
    <x v="1"/>
    <x v="758"/>
    <n v="13401"/>
    <n v="0"/>
    <x v="1"/>
    <n v="17"/>
    <n v="3"/>
    <n v="3"/>
    <x v="1"/>
    <n v="4"/>
    <x v="1"/>
    <n v="3"/>
    <n v="3"/>
    <x v="2"/>
    <n v="2"/>
    <n v="0"/>
    <n v="2"/>
  </r>
  <r>
    <x v="2"/>
    <x v="1"/>
    <x v="2"/>
    <n v="697"/>
    <x v="1"/>
    <n v="3"/>
    <x v="0"/>
    <n v="4"/>
    <s v="Life Sciences"/>
    <n v="1115"/>
    <n v="3"/>
    <x v="1"/>
    <n v="40"/>
    <n v="2"/>
    <n v="1"/>
    <x v="1"/>
    <x v="0"/>
    <x v="1"/>
    <x v="759"/>
    <n v="22478"/>
    <n v="3"/>
    <x v="1"/>
    <n v="17"/>
    <n v="3"/>
    <n v="4"/>
    <x v="2"/>
    <n v="6"/>
    <x v="0"/>
    <n v="2"/>
    <n v="3"/>
    <x v="1"/>
    <n v="0"/>
    <n v="0"/>
    <n v="0"/>
  </r>
  <r>
    <x v="1"/>
    <x v="1"/>
    <x v="2"/>
    <n v="1262"/>
    <x v="1"/>
    <n v="1"/>
    <x v="0"/>
    <n v="4"/>
    <s v="Medical"/>
    <n v="1116"/>
    <n v="1"/>
    <x v="1"/>
    <n v="35"/>
    <n v="4"/>
    <n v="4"/>
    <x v="5"/>
    <x v="0"/>
    <x v="0"/>
    <x v="760"/>
    <n v="16154"/>
    <n v="2"/>
    <x v="1"/>
    <n v="22"/>
    <n v="4"/>
    <n v="3"/>
    <x v="0"/>
    <n v="27"/>
    <x v="2"/>
    <n v="3"/>
    <n v="2"/>
    <x v="2"/>
    <n v="4"/>
    <n v="2"/>
    <n v="1"/>
  </r>
  <r>
    <x v="0"/>
    <x v="1"/>
    <x v="2"/>
    <n v="1050"/>
    <x v="0"/>
    <n v="9"/>
    <x v="1"/>
    <n v="4"/>
    <s v="Life Sciences"/>
    <n v="1117"/>
    <n v="2"/>
    <x v="0"/>
    <n v="65"/>
    <n v="2"/>
    <n v="2"/>
    <x v="0"/>
    <x v="2"/>
    <x v="1"/>
    <x v="761"/>
    <n v="17970"/>
    <n v="1"/>
    <x v="1"/>
    <n v="13"/>
    <n v="3"/>
    <n v="4"/>
    <x v="1"/>
    <n v="15"/>
    <x v="0"/>
    <n v="2"/>
    <n v="3"/>
    <x v="3"/>
    <n v="10"/>
    <n v="4"/>
    <n v="12"/>
  </r>
  <r>
    <x v="1"/>
    <x v="1"/>
    <x v="0"/>
    <n v="994"/>
    <x v="1"/>
    <n v="7"/>
    <x v="1"/>
    <n v="4"/>
    <s v="Life Sciences"/>
    <n v="1118"/>
    <n v="2"/>
    <x v="1"/>
    <n v="87"/>
    <n v="3"/>
    <n v="3"/>
    <x v="4"/>
    <x v="1"/>
    <x v="0"/>
    <x v="762"/>
    <n v="15322"/>
    <n v="7"/>
    <x v="1"/>
    <n v="19"/>
    <n v="3"/>
    <n v="4"/>
    <x v="0"/>
    <n v="18"/>
    <x v="2"/>
    <n v="4"/>
    <n v="3"/>
    <x v="0"/>
    <n v="6"/>
    <n v="4"/>
    <n v="0"/>
  </r>
  <r>
    <x v="0"/>
    <x v="1"/>
    <x v="0"/>
    <n v="770"/>
    <x v="0"/>
    <n v="10"/>
    <x v="1"/>
    <n v="4"/>
    <s v="Marketing"/>
    <n v="1119"/>
    <n v="3"/>
    <x v="1"/>
    <n v="73"/>
    <n v="2"/>
    <n v="3"/>
    <x v="0"/>
    <x v="2"/>
    <x v="2"/>
    <x v="763"/>
    <n v="5569"/>
    <n v="0"/>
    <x v="0"/>
    <n v="14"/>
    <n v="3"/>
    <n v="2"/>
    <x v="3"/>
    <n v="9"/>
    <x v="0"/>
    <n v="2"/>
    <n v="3"/>
    <x v="0"/>
    <n v="7"/>
    <n v="2"/>
    <n v="7"/>
  </r>
  <r>
    <x v="2"/>
    <x v="1"/>
    <x v="0"/>
    <n v="1107"/>
    <x v="1"/>
    <n v="28"/>
    <x v="2"/>
    <n v="4"/>
    <s v="Life Sciences"/>
    <n v="1120"/>
    <n v="3"/>
    <x v="0"/>
    <n v="93"/>
    <n v="3"/>
    <n v="1"/>
    <x v="1"/>
    <x v="0"/>
    <x v="2"/>
    <x v="764"/>
    <n v="26968"/>
    <n v="4"/>
    <x v="1"/>
    <n v="22"/>
    <n v="4"/>
    <n v="1"/>
    <x v="1"/>
    <n v="11"/>
    <x v="0"/>
    <n v="1"/>
    <n v="3"/>
    <x v="0"/>
    <n v="5"/>
    <n v="1"/>
    <n v="7"/>
  </r>
  <r>
    <x v="2"/>
    <x v="1"/>
    <x v="0"/>
    <n v="950"/>
    <x v="1"/>
    <n v="3"/>
    <x v="0"/>
    <n v="3"/>
    <s v="Medical"/>
    <n v="1121"/>
    <n v="4"/>
    <x v="0"/>
    <n v="93"/>
    <n v="3"/>
    <n v="3"/>
    <x v="3"/>
    <x v="1"/>
    <x v="2"/>
    <x v="765"/>
    <n v="8039"/>
    <n v="0"/>
    <x v="1"/>
    <n v="17"/>
    <n v="3"/>
    <n v="2"/>
    <x v="2"/>
    <n v="10"/>
    <x v="0"/>
    <n v="3"/>
    <n v="2"/>
    <x v="0"/>
    <n v="7"/>
    <n v="1"/>
    <n v="7"/>
  </r>
  <r>
    <x v="1"/>
    <x v="1"/>
    <x v="0"/>
    <n v="406"/>
    <x v="0"/>
    <n v="3"/>
    <x v="0"/>
    <n v="1"/>
    <s v="Marketing"/>
    <n v="1124"/>
    <n v="1"/>
    <x v="1"/>
    <n v="52"/>
    <n v="3"/>
    <n v="4"/>
    <x v="5"/>
    <x v="2"/>
    <x v="1"/>
    <x v="766"/>
    <n v="15596"/>
    <n v="3"/>
    <x v="1"/>
    <n v="12"/>
    <n v="3"/>
    <n v="4"/>
    <x v="1"/>
    <n v="23"/>
    <x v="2"/>
    <n v="3"/>
    <n v="3"/>
    <x v="3"/>
    <n v="9"/>
    <n v="4"/>
    <n v="9"/>
  </r>
  <r>
    <x v="0"/>
    <x v="1"/>
    <x v="0"/>
    <n v="130"/>
    <x v="0"/>
    <n v="2"/>
    <x v="0"/>
    <n v="2"/>
    <s v="Marketing"/>
    <n v="1125"/>
    <n v="4"/>
    <x v="1"/>
    <n v="32"/>
    <n v="3"/>
    <n v="3"/>
    <x v="0"/>
    <x v="1"/>
    <x v="0"/>
    <x v="767"/>
    <n v="20619"/>
    <n v="7"/>
    <x v="1"/>
    <n v="16"/>
    <n v="3"/>
    <n v="3"/>
    <x v="0"/>
    <n v="10"/>
    <x v="0"/>
    <n v="2"/>
    <n v="3"/>
    <x v="1"/>
    <n v="0"/>
    <n v="0"/>
    <n v="0"/>
  </r>
  <r>
    <x v="0"/>
    <x v="1"/>
    <x v="1"/>
    <n v="1082"/>
    <x v="1"/>
    <n v="27"/>
    <x v="2"/>
    <n v="3"/>
    <s v="Life Sciences"/>
    <n v="1126"/>
    <n v="3"/>
    <x v="0"/>
    <n v="83"/>
    <n v="3"/>
    <n v="3"/>
    <x v="3"/>
    <x v="3"/>
    <x v="1"/>
    <x v="768"/>
    <n v="11535"/>
    <n v="8"/>
    <x v="1"/>
    <n v="11"/>
    <n v="3"/>
    <n v="3"/>
    <x v="1"/>
    <n v="18"/>
    <x v="2"/>
    <n v="1"/>
    <n v="3"/>
    <x v="0"/>
    <n v="7"/>
    <n v="0"/>
    <n v="1"/>
  </r>
  <r>
    <x v="0"/>
    <x v="0"/>
    <x v="1"/>
    <n v="203"/>
    <x v="1"/>
    <n v="2"/>
    <x v="0"/>
    <n v="3"/>
    <s v="Life Sciences"/>
    <n v="1127"/>
    <n v="1"/>
    <x v="1"/>
    <n v="84"/>
    <n v="3"/>
    <n v="4"/>
    <x v="4"/>
    <x v="0"/>
    <x v="2"/>
    <x v="769"/>
    <n v="13547"/>
    <n v="7"/>
    <x v="1"/>
    <n v="11"/>
    <n v="3"/>
    <n v="4"/>
    <x v="2"/>
    <n v="21"/>
    <x v="2"/>
    <n v="4"/>
    <n v="3"/>
    <x v="3"/>
    <n v="7"/>
    <n v="11"/>
    <n v="5"/>
  </r>
  <r>
    <x v="0"/>
    <x v="1"/>
    <x v="0"/>
    <n v="1308"/>
    <x v="1"/>
    <n v="14"/>
    <x v="1"/>
    <n v="3"/>
    <s v="Medical"/>
    <n v="1128"/>
    <n v="3"/>
    <x v="1"/>
    <n v="44"/>
    <n v="2"/>
    <n v="5"/>
    <x v="7"/>
    <x v="2"/>
    <x v="0"/>
    <x v="770"/>
    <n v="17544"/>
    <n v="1"/>
    <x v="1"/>
    <n v="14"/>
    <n v="3"/>
    <n v="1"/>
    <x v="0"/>
    <n v="21"/>
    <x v="2"/>
    <n v="2"/>
    <n v="4"/>
    <x v="3"/>
    <n v="7"/>
    <n v="4"/>
    <n v="9"/>
  </r>
  <r>
    <x v="3"/>
    <x v="1"/>
    <x v="0"/>
    <n v="984"/>
    <x v="1"/>
    <n v="1"/>
    <x v="0"/>
    <n v="1"/>
    <s v="Technical Degree"/>
    <n v="1131"/>
    <n v="4"/>
    <x v="0"/>
    <n v="70"/>
    <n v="2"/>
    <n v="1"/>
    <x v="1"/>
    <x v="1"/>
    <x v="0"/>
    <x v="266"/>
    <n v="25326"/>
    <n v="1"/>
    <x v="0"/>
    <n v="11"/>
    <n v="3"/>
    <n v="3"/>
    <x v="0"/>
    <n v="2"/>
    <x v="1"/>
    <n v="6"/>
    <n v="4"/>
    <x v="1"/>
    <n v="2"/>
    <n v="2"/>
    <n v="2"/>
  </r>
  <r>
    <x v="0"/>
    <x v="1"/>
    <x v="2"/>
    <n v="439"/>
    <x v="1"/>
    <n v="9"/>
    <x v="1"/>
    <n v="3"/>
    <s v="Life Sciences"/>
    <n v="1132"/>
    <n v="3"/>
    <x v="1"/>
    <n v="70"/>
    <n v="3"/>
    <n v="2"/>
    <x v="2"/>
    <x v="1"/>
    <x v="0"/>
    <x v="771"/>
    <n v="8770"/>
    <n v="9"/>
    <x v="1"/>
    <n v="15"/>
    <n v="3"/>
    <n v="3"/>
    <x v="0"/>
    <n v="9"/>
    <x v="0"/>
    <n v="2"/>
    <n v="2"/>
    <x v="2"/>
    <n v="4"/>
    <n v="0"/>
    <n v="3"/>
  </r>
  <r>
    <x v="0"/>
    <x v="1"/>
    <x v="2"/>
    <n v="217"/>
    <x v="1"/>
    <n v="18"/>
    <x v="2"/>
    <n v="4"/>
    <s v="Life Sciences"/>
    <n v="1133"/>
    <n v="1"/>
    <x v="1"/>
    <n v="78"/>
    <n v="3"/>
    <n v="2"/>
    <x v="3"/>
    <x v="0"/>
    <x v="0"/>
    <x v="772"/>
    <n v="23238"/>
    <n v="2"/>
    <x v="1"/>
    <n v="20"/>
    <n v="4"/>
    <n v="1"/>
    <x v="0"/>
    <n v="18"/>
    <x v="2"/>
    <n v="0"/>
    <n v="3"/>
    <x v="3"/>
    <n v="9"/>
    <n v="0"/>
    <n v="9"/>
  </r>
  <r>
    <x v="2"/>
    <x v="1"/>
    <x v="1"/>
    <n v="793"/>
    <x v="0"/>
    <n v="20"/>
    <x v="2"/>
    <n v="3"/>
    <s v="Life Sciences"/>
    <n v="1135"/>
    <n v="3"/>
    <x v="1"/>
    <n v="67"/>
    <n v="4"/>
    <n v="1"/>
    <x v="6"/>
    <x v="0"/>
    <x v="1"/>
    <x v="773"/>
    <n v="21981"/>
    <n v="0"/>
    <x v="1"/>
    <n v="12"/>
    <n v="3"/>
    <n v="1"/>
    <x v="1"/>
    <n v="3"/>
    <x v="1"/>
    <n v="4"/>
    <n v="3"/>
    <x v="1"/>
    <n v="2"/>
    <n v="2"/>
    <n v="2"/>
  </r>
  <r>
    <x v="2"/>
    <x v="1"/>
    <x v="0"/>
    <n v="1451"/>
    <x v="1"/>
    <n v="2"/>
    <x v="0"/>
    <n v="1"/>
    <s v="Life Sciences"/>
    <n v="1136"/>
    <n v="1"/>
    <x v="1"/>
    <n v="67"/>
    <n v="2"/>
    <n v="1"/>
    <x v="1"/>
    <x v="1"/>
    <x v="1"/>
    <x v="774"/>
    <n v="19911"/>
    <n v="0"/>
    <x v="1"/>
    <n v="17"/>
    <n v="3"/>
    <n v="1"/>
    <x v="0"/>
    <n v="6"/>
    <x v="0"/>
    <n v="2"/>
    <n v="1"/>
    <x v="2"/>
    <n v="3"/>
    <n v="0"/>
    <n v="4"/>
  </r>
  <r>
    <x v="2"/>
    <x v="1"/>
    <x v="1"/>
    <n v="1182"/>
    <x v="0"/>
    <n v="11"/>
    <x v="1"/>
    <n v="2"/>
    <s v="Marketing"/>
    <n v="1137"/>
    <n v="4"/>
    <x v="1"/>
    <n v="54"/>
    <n v="3"/>
    <n v="2"/>
    <x v="0"/>
    <x v="0"/>
    <x v="2"/>
    <x v="775"/>
    <n v="18500"/>
    <n v="1"/>
    <x v="1"/>
    <n v="11"/>
    <n v="3"/>
    <n v="4"/>
    <x v="1"/>
    <n v="5"/>
    <x v="1"/>
    <n v="3"/>
    <n v="3"/>
    <x v="2"/>
    <n v="2"/>
    <n v="0"/>
    <n v="2"/>
  </r>
  <r>
    <x v="1"/>
    <x v="1"/>
    <x v="0"/>
    <n v="174"/>
    <x v="0"/>
    <n v="8"/>
    <x v="1"/>
    <n v="4"/>
    <s v="Technical Degree"/>
    <n v="1138"/>
    <n v="4"/>
    <x v="1"/>
    <n v="56"/>
    <n v="2"/>
    <n v="4"/>
    <x v="0"/>
    <x v="1"/>
    <x v="1"/>
    <x v="776"/>
    <n v="11879"/>
    <n v="6"/>
    <x v="1"/>
    <n v="17"/>
    <n v="3"/>
    <n v="2"/>
    <x v="1"/>
    <n v="22"/>
    <x v="2"/>
    <n v="3"/>
    <n v="3"/>
    <x v="0"/>
    <n v="8"/>
    <n v="2"/>
    <n v="3"/>
  </r>
  <r>
    <x v="2"/>
    <x v="1"/>
    <x v="1"/>
    <n v="1003"/>
    <x v="1"/>
    <n v="2"/>
    <x v="0"/>
    <n v="2"/>
    <s v="Life Sciences"/>
    <n v="1140"/>
    <n v="4"/>
    <x v="1"/>
    <n v="95"/>
    <n v="3"/>
    <n v="2"/>
    <x v="3"/>
    <x v="2"/>
    <x v="0"/>
    <x v="777"/>
    <n v="15834"/>
    <n v="2"/>
    <x v="1"/>
    <n v="11"/>
    <n v="3"/>
    <n v="4"/>
    <x v="0"/>
    <n v="5"/>
    <x v="1"/>
    <n v="3"/>
    <n v="2"/>
    <x v="2"/>
    <n v="2"/>
    <n v="0"/>
    <n v="2"/>
  </r>
  <r>
    <x v="2"/>
    <x v="1"/>
    <x v="1"/>
    <n v="490"/>
    <x v="1"/>
    <n v="10"/>
    <x v="1"/>
    <n v="3"/>
    <s v="Life Sciences"/>
    <n v="1143"/>
    <n v="4"/>
    <x v="0"/>
    <n v="61"/>
    <n v="3"/>
    <n v="1"/>
    <x v="1"/>
    <x v="1"/>
    <x v="2"/>
    <x v="778"/>
    <n v="17940"/>
    <n v="0"/>
    <x v="1"/>
    <n v="14"/>
    <n v="3"/>
    <n v="4"/>
    <x v="3"/>
    <n v="8"/>
    <x v="0"/>
    <n v="2"/>
    <n v="2"/>
    <x v="0"/>
    <n v="5"/>
    <n v="1"/>
    <n v="1"/>
  </r>
  <r>
    <x v="0"/>
    <x v="1"/>
    <x v="0"/>
    <n v="188"/>
    <x v="1"/>
    <n v="29"/>
    <x v="2"/>
    <n v="3"/>
    <s v="Medical"/>
    <n v="1148"/>
    <n v="2"/>
    <x v="1"/>
    <n v="56"/>
    <n v="1"/>
    <n v="2"/>
    <x v="2"/>
    <x v="0"/>
    <x v="0"/>
    <x v="779"/>
    <n v="9558"/>
    <n v="4"/>
    <x v="1"/>
    <n v="19"/>
    <n v="3"/>
    <n v="1"/>
    <x v="0"/>
    <n v="16"/>
    <x v="2"/>
    <n v="3"/>
    <n v="3"/>
    <x v="1"/>
    <n v="0"/>
    <n v="0"/>
    <n v="0"/>
  </r>
  <r>
    <x v="2"/>
    <x v="1"/>
    <x v="0"/>
    <n v="718"/>
    <x v="1"/>
    <n v="8"/>
    <x v="1"/>
    <n v="1"/>
    <s v="Medical"/>
    <n v="1150"/>
    <n v="2"/>
    <x v="1"/>
    <n v="79"/>
    <n v="2"/>
    <n v="2"/>
    <x v="3"/>
    <x v="0"/>
    <x v="1"/>
    <x v="780"/>
    <n v="17689"/>
    <n v="1"/>
    <x v="0"/>
    <n v="15"/>
    <n v="3"/>
    <n v="3"/>
    <x v="1"/>
    <n v="10"/>
    <x v="0"/>
    <n v="2"/>
    <n v="2"/>
    <x v="0"/>
    <n v="7"/>
    <n v="1"/>
    <n v="2"/>
  </r>
  <r>
    <x v="0"/>
    <x v="1"/>
    <x v="0"/>
    <n v="433"/>
    <x v="2"/>
    <n v="1"/>
    <x v="0"/>
    <n v="3"/>
    <s v="Human Resources"/>
    <n v="1152"/>
    <n v="3"/>
    <x v="1"/>
    <n v="37"/>
    <n v="4"/>
    <n v="1"/>
    <x v="8"/>
    <x v="2"/>
    <x v="1"/>
    <x v="781"/>
    <n v="6004"/>
    <n v="1"/>
    <x v="1"/>
    <n v="13"/>
    <n v="3"/>
    <n v="4"/>
    <x v="1"/>
    <n v="7"/>
    <x v="0"/>
    <n v="2"/>
    <n v="4"/>
    <x v="0"/>
    <n v="6"/>
    <n v="5"/>
    <n v="0"/>
  </r>
  <r>
    <x v="2"/>
    <x v="1"/>
    <x v="1"/>
    <n v="773"/>
    <x v="1"/>
    <n v="6"/>
    <x v="1"/>
    <n v="3"/>
    <s v="Life Sciences"/>
    <n v="1154"/>
    <n v="3"/>
    <x v="1"/>
    <n v="39"/>
    <n v="2"/>
    <n v="1"/>
    <x v="1"/>
    <x v="2"/>
    <x v="2"/>
    <x v="68"/>
    <n v="22088"/>
    <n v="1"/>
    <x v="0"/>
    <n v="14"/>
    <n v="3"/>
    <n v="4"/>
    <x v="1"/>
    <n v="3"/>
    <x v="1"/>
    <n v="2"/>
    <n v="3"/>
    <x v="2"/>
    <n v="1"/>
    <n v="0"/>
    <n v="2"/>
  </r>
  <r>
    <x v="3"/>
    <x v="0"/>
    <x v="2"/>
    <n v="247"/>
    <x v="1"/>
    <n v="8"/>
    <x v="1"/>
    <n v="1"/>
    <s v="Medical"/>
    <n v="1156"/>
    <n v="3"/>
    <x v="1"/>
    <n v="80"/>
    <n v="3"/>
    <n v="1"/>
    <x v="2"/>
    <x v="2"/>
    <x v="0"/>
    <x v="782"/>
    <n v="13556"/>
    <n v="1"/>
    <x v="1"/>
    <n v="12"/>
    <n v="3"/>
    <n v="4"/>
    <x v="0"/>
    <n v="0"/>
    <x v="1"/>
    <n v="0"/>
    <n v="3"/>
    <x v="1"/>
    <n v="0"/>
    <n v="0"/>
    <n v="0"/>
  </r>
  <r>
    <x v="2"/>
    <x v="0"/>
    <x v="0"/>
    <n v="603"/>
    <x v="0"/>
    <n v="9"/>
    <x v="1"/>
    <n v="4"/>
    <s v="Marketing"/>
    <n v="1157"/>
    <n v="1"/>
    <x v="0"/>
    <n v="77"/>
    <n v="3"/>
    <n v="2"/>
    <x v="0"/>
    <x v="3"/>
    <x v="0"/>
    <x v="783"/>
    <n v="18385"/>
    <n v="0"/>
    <x v="0"/>
    <n v="17"/>
    <n v="3"/>
    <n v="1"/>
    <x v="0"/>
    <n v="6"/>
    <x v="0"/>
    <n v="3"/>
    <n v="3"/>
    <x v="2"/>
    <n v="2"/>
    <n v="0"/>
    <n v="3"/>
  </r>
  <r>
    <x v="0"/>
    <x v="1"/>
    <x v="0"/>
    <n v="167"/>
    <x v="1"/>
    <n v="12"/>
    <x v="1"/>
    <n v="4"/>
    <s v="Life Sciences"/>
    <n v="1158"/>
    <n v="2"/>
    <x v="1"/>
    <n v="46"/>
    <n v="3"/>
    <n v="1"/>
    <x v="2"/>
    <x v="0"/>
    <x v="1"/>
    <x v="784"/>
    <n v="9051"/>
    <n v="3"/>
    <x v="0"/>
    <n v="11"/>
    <n v="3"/>
    <n v="1"/>
    <x v="1"/>
    <n v="6"/>
    <x v="0"/>
    <n v="4"/>
    <n v="3"/>
    <x v="1"/>
    <n v="0"/>
    <n v="0"/>
    <n v="0"/>
  </r>
  <r>
    <x v="2"/>
    <x v="0"/>
    <x v="1"/>
    <n v="874"/>
    <x v="1"/>
    <n v="15"/>
    <x v="1"/>
    <n v="3"/>
    <s v="Medical"/>
    <n v="1160"/>
    <n v="3"/>
    <x v="1"/>
    <n v="72"/>
    <n v="3"/>
    <n v="1"/>
    <x v="2"/>
    <x v="2"/>
    <x v="1"/>
    <x v="353"/>
    <n v="6233"/>
    <n v="1"/>
    <x v="1"/>
    <n v="12"/>
    <n v="3"/>
    <n v="3"/>
    <x v="1"/>
    <n v="2"/>
    <x v="1"/>
    <n v="5"/>
    <n v="2"/>
    <x v="1"/>
    <n v="2"/>
    <n v="2"/>
    <n v="2"/>
  </r>
  <r>
    <x v="0"/>
    <x v="1"/>
    <x v="0"/>
    <n v="367"/>
    <x v="1"/>
    <n v="25"/>
    <x v="2"/>
    <n v="2"/>
    <s v="Medical"/>
    <n v="1161"/>
    <n v="3"/>
    <x v="0"/>
    <n v="52"/>
    <n v="2"/>
    <n v="2"/>
    <x v="4"/>
    <x v="0"/>
    <x v="2"/>
    <x v="785"/>
    <n v="17171"/>
    <n v="7"/>
    <x v="1"/>
    <n v="13"/>
    <n v="3"/>
    <n v="3"/>
    <x v="3"/>
    <n v="9"/>
    <x v="0"/>
    <n v="2"/>
    <n v="3"/>
    <x v="0"/>
    <n v="2"/>
    <n v="1"/>
    <n v="3"/>
  </r>
  <r>
    <x v="2"/>
    <x v="1"/>
    <x v="0"/>
    <n v="199"/>
    <x v="1"/>
    <n v="6"/>
    <x v="1"/>
    <n v="3"/>
    <s v="Life Sciences"/>
    <n v="1162"/>
    <n v="4"/>
    <x v="1"/>
    <n v="55"/>
    <n v="2"/>
    <n v="1"/>
    <x v="1"/>
    <x v="2"/>
    <x v="1"/>
    <x v="786"/>
    <n v="7950"/>
    <n v="1"/>
    <x v="1"/>
    <n v="13"/>
    <n v="3"/>
    <n v="3"/>
    <x v="1"/>
    <n v="4"/>
    <x v="1"/>
    <n v="0"/>
    <n v="3"/>
    <x v="2"/>
    <n v="2"/>
    <n v="2"/>
    <n v="2"/>
  </r>
  <r>
    <x v="2"/>
    <x v="1"/>
    <x v="0"/>
    <n v="1400"/>
    <x v="0"/>
    <n v="9"/>
    <x v="1"/>
    <n v="1"/>
    <s v="Life Sciences"/>
    <n v="1163"/>
    <n v="2"/>
    <x v="0"/>
    <n v="70"/>
    <n v="3"/>
    <n v="2"/>
    <x v="0"/>
    <x v="2"/>
    <x v="1"/>
    <x v="787"/>
    <n v="5829"/>
    <n v="1"/>
    <x v="1"/>
    <n v="20"/>
    <n v="4"/>
    <n v="1"/>
    <x v="0"/>
    <n v="6"/>
    <x v="0"/>
    <n v="3"/>
    <n v="2"/>
    <x v="0"/>
    <n v="5"/>
    <n v="1"/>
    <n v="3"/>
  </r>
  <r>
    <x v="2"/>
    <x v="1"/>
    <x v="0"/>
    <n v="528"/>
    <x v="2"/>
    <n v="8"/>
    <x v="1"/>
    <n v="4"/>
    <s v="Technical Degree"/>
    <n v="1164"/>
    <n v="3"/>
    <x v="1"/>
    <n v="100"/>
    <n v="3"/>
    <n v="1"/>
    <x v="8"/>
    <x v="2"/>
    <x v="0"/>
    <x v="788"/>
    <n v="7108"/>
    <n v="1"/>
    <x v="1"/>
    <n v="17"/>
    <n v="3"/>
    <n v="2"/>
    <x v="0"/>
    <n v="6"/>
    <x v="0"/>
    <n v="2"/>
    <n v="1"/>
    <x v="2"/>
    <n v="4"/>
    <n v="1"/>
    <n v="4"/>
  </r>
  <r>
    <x v="2"/>
    <x v="0"/>
    <x v="0"/>
    <n v="408"/>
    <x v="0"/>
    <n v="23"/>
    <x v="2"/>
    <n v="1"/>
    <s v="Life Sciences"/>
    <n v="1165"/>
    <n v="4"/>
    <x v="0"/>
    <n v="45"/>
    <n v="2"/>
    <n v="3"/>
    <x v="0"/>
    <x v="3"/>
    <x v="1"/>
    <x v="789"/>
    <n v="11162"/>
    <n v="1"/>
    <x v="1"/>
    <n v="13"/>
    <n v="3"/>
    <n v="1"/>
    <x v="1"/>
    <n v="11"/>
    <x v="0"/>
    <n v="3"/>
    <n v="1"/>
    <x v="3"/>
    <n v="8"/>
    <n v="3"/>
    <n v="10"/>
  </r>
  <r>
    <x v="0"/>
    <x v="1"/>
    <x v="1"/>
    <n v="593"/>
    <x v="1"/>
    <n v="9"/>
    <x v="1"/>
    <n v="4"/>
    <s v="Medical"/>
    <n v="1166"/>
    <n v="2"/>
    <x v="0"/>
    <n v="88"/>
    <n v="3"/>
    <n v="3"/>
    <x v="7"/>
    <x v="2"/>
    <x v="0"/>
    <x v="790"/>
    <n v="13782"/>
    <n v="9"/>
    <x v="1"/>
    <n v="17"/>
    <n v="3"/>
    <n v="3"/>
    <x v="0"/>
    <n v="20"/>
    <x v="2"/>
    <n v="3"/>
    <n v="2"/>
    <x v="3"/>
    <n v="7"/>
    <n v="2"/>
    <n v="13"/>
  </r>
  <r>
    <x v="0"/>
    <x v="0"/>
    <x v="1"/>
    <n v="481"/>
    <x v="0"/>
    <n v="12"/>
    <x v="1"/>
    <n v="3"/>
    <s v="Life Sciences"/>
    <n v="1167"/>
    <n v="3"/>
    <x v="1"/>
    <n v="44"/>
    <n v="3"/>
    <n v="4"/>
    <x v="0"/>
    <x v="3"/>
    <x v="0"/>
    <x v="791"/>
    <n v="2447"/>
    <n v="0"/>
    <x v="0"/>
    <n v="12"/>
    <n v="3"/>
    <n v="2"/>
    <x v="0"/>
    <n v="22"/>
    <x v="2"/>
    <n v="2"/>
    <n v="2"/>
    <x v="3"/>
    <n v="9"/>
    <n v="13"/>
    <n v="14"/>
  </r>
  <r>
    <x v="0"/>
    <x v="1"/>
    <x v="0"/>
    <n v="647"/>
    <x v="0"/>
    <n v="4"/>
    <x v="0"/>
    <n v="4"/>
    <s v="Marketing"/>
    <n v="1171"/>
    <n v="2"/>
    <x v="1"/>
    <n v="45"/>
    <n v="3"/>
    <n v="2"/>
    <x v="0"/>
    <x v="3"/>
    <x v="0"/>
    <x v="792"/>
    <n v="2253"/>
    <n v="7"/>
    <x v="1"/>
    <n v="13"/>
    <n v="3"/>
    <n v="4"/>
    <x v="0"/>
    <n v="9"/>
    <x v="0"/>
    <n v="3"/>
    <n v="4"/>
    <x v="0"/>
    <n v="4"/>
    <n v="1"/>
    <n v="5"/>
  </r>
  <r>
    <x v="2"/>
    <x v="1"/>
    <x v="0"/>
    <n v="982"/>
    <x v="1"/>
    <n v="1"/>
    <x v="0"/>
    <n v="4"/>
    <s v="Medical"/>
    <n v="1172"/>
    <n v="4"/>
    <x v="1"/>
    <n v="58"/>
    <n v="2"/>
    <n v="1"/>
    <x v="2"/>
    <x v="2"/>
    <x v="1"/>
    <x v="384"/>
    <n v="16340"/>
    <n v="6"/>
    <x v="1"/>
    <n v="12"/>
    <n v="3"/>
    <n v="2"/>
    <x v="1"/>
    <n v="10"/>
    <x v="0"/>
    <n v="2"/>
    <n v="3"/>
    <x v="0"/>
    <n v="0"/>
    <n v="1"/>
    <n v="7"/>
  </r>
  <r>
    <x v="3"/>
    <x v="1"/>
    <x v="0"/>
    <n v="477"/>
    <x v="1"/>
    <n v="24"/>
    <x v="2"/>
    <n v="3"/>
    <s v="Medical"/>
    <n v="1173"/>
    <n v="4"/>
    <x v="1"/>
    <n v="49"/>
    <n v="3"/>
    <n v="1"/>
    <x v="2"/>
    <x v="1"/>
    <x v="0"/>
    <x v="793"/>
    <n v="6409"/>
    <n v="8"/>
    <x v="1"/>
    <n v="22"/>
    <n v="4"/>
    <n v="4"/>
    <x v="0"/>
    <n v="6"/>
    <x v="0"/>
    <n v="2"/>
    <n v="3"/>
    <x v="2"/>
    <n v="3"/>
    <n v="1"/>
    <n v="2"/>
  </r>
  <r>
    <x v="2"/>
    <x v="0"/>
    <x v="0"/>
    <n v="1485"/>
    <x v="1"/>
    <n v="12"/>
    <x v="1"/>
    <n v="1"/>
    <s v="Life Sciences"/>
    <n v="1175"/>
    <n v="3"/>
    <x v="0"/>
    <n v="79"/>
    <n v="3"/>
    <n v="1"/>
    <x v="2"/>
    <x v="0"/>
    <x v="1"/>
    <x v="605"/>
    <n v="22955"/>
    <n v="1"/>
    <x v="0"/>
    <n v="11"/>
    <n v="3"/>
    <n v="4"/>
    <x v="0"/>
    <n v="1"/>
    <x v="1"/>
    <n v="4"/>
    <n v="2"/>
    <x v="1"/>
    <n v="1"/>
    <n v="0"/>
    <n v="0"/>
  </r>
  <r>
    <x v="2"/>
    <x v="1"/>
    <x v="0"/>
    <n v="1384"/>
    <x v="1"/>
    <n v="3"/>
    <x v="0"/>
    <n v="4"/>
    <s v="Medical"/>
    <n v="1177"/>
    <n v="1"/>
    <x v="1"/>
    <n v="82"/>
    <n v="4"/>
    <n v="1"/>
    <x v="2"/>
    <x v="0"/>
    <x v="1"/>
    <x v="794"/>
    <n v="13421"/>
    <n v="1"/>
    <x v="1"/>
    <n v="22"/>
    <n v="4"/>
    <n v="2"/>
    <x v="1"/>
    <n v="8"/>
    <x v="0"/>
    <n v="2"/>
    <n v="3"/>
    <x v="0"/>
    <n v="7"/>
    <n v="0"/>
    <n v="7"/>
  </r>
  <r>
    <x v="2"/>
    <x v="1"/>
    <x v="0"/>
    <n v="852"/>
    <x v="0"/>
    <n v="10"/>
    <x v="1"/>
    <n v="3"/>
    <s v="Marketing"/>
    <n v="1179"/>
    <n v="3"/>
    <x v="1"/>
    <n v="72"/>
    <n v="2"/>
    <n v="2"/>
    <x v="0"/>
    <x v="2"/>
    <x v="1"/>
    <x v="795"/>
    <n v="2706"/>
    <n v="1"/>
    <x v="1"/>
    <n v="18"/>
    <n v="3"/>
    <n v="1"/>
    <x v="1"/>
    <n v="10"/>
    <x v="0"/>
    <n v="3"/>
    <n v="3"/>
    <x v="0"/>
    <n v="3"/>
    <n v="1"/>
    <n v="4"/>
  </r>
  <r>
    <x v="0"/>
    <x v="1"/>
    <x v="1"/>
    <n v="902"/>
    <x v="1"/>
    <n v="26"/>
    <x v="2"/>
    <n v="2"/>
    <s v="Medical"/>
    <n v="1180"/>
    <n v="3"/>
    <x v="0"/>
    <n v="92"/>
    <n v="2"/>
    <n v="2"/>
    <x v="1"/>
    <x v="0"/>
    <x v="1"/>
    <x v="796"/>
    <n v="21203"/>
    <n v="3"/>
    <x v="0"/>
    <n v="13"/>
    <n v="3"/>
    <n v="4"/>
    <x v="1"/>
    <n v="16"/>
    <x v="2"/>
    <n v="3"/>
    <n v="1"/>
    <x v="1"/>
    <n v="1"/>
    <n v="0"/>
    <n v="0"/>
  </r>
  <r>
    <x v="2"/>
    <x v="1"/>
    <x v="0"/>
    <n v="819"/>
    <x v="1"/>
    <n v="2"/>
    <x v="0"/>
    <n v="3"/>
    <s v="Life Sciences"/>
    <n v="1182"/>
    <n v="3"/>
    <x v="1"/>
    <n v="44"/>
    <n v="2"/>
    <n v="3"/>
    <x v="3"/>
    <x v="1"/>
    <x v="2"/>
    <x v="797"/>
    <n v="19588"/>
    <n v="2"/>
    <x v="1"/>
    <n v="18"/>
    <n v="3"/>
    <n v="2"/>
    <x v="1"/>
    <n v="15"/>
    <x v="0"/>
    <n v="2"/>
    <n v="4"/>
    <x v="0"/>
    <n v="7"/>
    <n v="6"/>
    <n v="4"/>
  </r>
  <r>
    <x v="2"/>
    <x v="1"/>
    <x v="1"/>
    <n v="669"/>
    <x v="1"/>
    <n v="1"/>
    <x v="0"/>
    <n v="3"/>
    <s v="Medical"/>
    <n v="1184"/>
    <n v="4"/>
    <x v="1"/>
    <n v="97"/>
    <n v="2"/>
    <n v="2"/>
    <x v="4"/>
    <x v="3"/>
    <x v="0"/>
    <x v="798"/>
    <n v="25755"/>
    <n v="0"/>
    <x v="1"/>
    <n v="20"/>
    <n v="4"/>
    <n v="3"/>
    <x v="0"/>
    <n v="14"/>
    <x v="0"/>
    <n v="3"/>
    <n v="3"/>
    <x v="3"/>
    <n v="9"/>
    <n v="4"/>
    <n v="9"/>
  </r>
  <r>
    <x v="2"/>
    <x v="1"/>
    <x v="1"/>
    <n v="636"/>
    <x v="1"/>
    <n v="4"/>
    <x v="0"/>
    <n v="4"/>
    <s v="Other"/>
    <n v="1185"/>
    <n v="4"/>
    <x v="1"/>
    <n v="47"/>
    <n v="2"/>
    <n v="1"/>
    <x v="2"/>
    <x v="0"/>
    <x v="1"/>
    <x v="799"/>
    <n v="26537"/>
    <n v="1"/>
    <x v="1"/>
    <n v="13"/>
    <n v="3"/>
    <n v="2"/>
    <x v="1"/>
    <n v="2"/>
    <x v="1"/>
    <n v="2"/>
    <n v="4"/>
    <x v="1"/>
    <n v="2"/>
    <n v="2"/>
    <n v="2"/>
  </r>
  <r>
    <x v="0"/>
    <x v="0"/>
    <x v="0"/>
    <n v="1372"/>
    <x v="0"/>
    <n v="9"/>
    <x v="1"/>
    <n v="3"/>
    <s v="Marketing"/>
    <n v="1188"/>
    <n v="1"/>
    <x v="0"/>
    <n v="85"/>
    <n v="1"/>
    <n v="2"/>
    <x v="0"/>
    <x v="2"/>
    <x v="0"/>
    <x v="800"/>
    <n v="9489"/>
    <n v="8"/>
    <x v="1"/>
    <n v="13"/>
    <n v="3"/>
    <n v="2"/>
    <x v="0"/>
    <n v="7"/>
    <x v="0"/>
    <n v="2"/>
    <n v="2"/>
    <x v="2"/>
    <n v="3"/>
    <n v="1"/>
    <n v="3"/>
  </r>
  <r>
    <x v="2"/>
    <x v="1"/>
    <x v="2"/>
    <n v="862"/>
    <x v="0"/>
    <n v="2"/>
    <x v="0"/>
    <n v="1"/>
    <s v="Life Sciences"/>
    <n v="1190"/>
    <n v="3"/>
    <x v="0"/>
    <n v="76"/>
    <n v="3"/>
    <n v="1"/>
    <x v="6"/>
    <x v="3"/>
    <x v="2"/>
    <x v="801"/>
    <n v="14947"/>
    <n v="1"/>
    <x v="1"/>
    <n v="12"/>
    <n v="3"/>
    <n v="3"/>
    <x v="2"/>
    <n v="1"/>
    <x v="1"/>
    <n v="3"/>
    <n v="3"/>
    <x v="1"/>
    <n v="0"/>
    <n v="0"/>
    <n v="0"/>
  </r>
  <r>
    <x v="1"/>
    <x v="1"/>
    <x v="0"/>
    <n v="718"/>
    <x v="1"/>
    <n v="4"/>
    <x v="0"/>
    <n v="4"/>
    <s v="Technical Degree"/>
    <n v="1191"/>
    <n v="4"/>
    <x v="0"/>
    <n v="92"/>
    <n v="3"/>
    <n v="5"/>
    <x v="5"/>
    <x v="3"/>
    <x v="2"/>
    <x v="802"/>
    <n v="18575"/>
    <n v="4"/>
    <x v="1"/>
    <n v="13"/>
    <n v="3"/>
    <n v="4"/>
    <x v="1"/>
    <n v="28"/>
    <x v="2"/>
    <n v="2"/>
    <n v="3"/>
    <x v="2"/>
    <n v="2"/>
    <n v="4"/>
    <n v="2"/>
  </r>
  <r>
    <x v="2"/>
    <x v="1"/>
    <x v="0"/>
    <n v="1401"/>
    <x v="1"/>
    <n v="6"/>
    <x v="1"/>
    <n v="1"/>
    <s v="Medical"/>
    <n v="1192"/>
    <n v="2"/>
    <x v="0"/>
    <n v="54"/>
    <n v="3"/>
    <n v="1"/>
    <x v="2"/>
    <x v="0"/>
    <x v="1"/>
    <x v="803"/>
    <n v="26342"/>
    <n v="1"/>
    <x v="1"/>
    <n v="13"/>
    <n v="3"/>
    <n v="1"/>
    <x v="1"/>
    <n v="10"/>
    <x v="0"/>
    <n v="5"/>
    <n v="3"/>
    <x v="0"/>
    <n v="8"/>
    <n v="0"/>
    <n v="8"/>
  </r>
  <r>
    <x v="3"/>
    <x v="1"/>
    <x v="0"/>
    <n v="645"/>
    <x v="1"/>
    <n v="9"/>
    <x v="1"/>
    <n v="2"/>
    <s v="Life Sciences"/>
    <n v="1193"/>
    <n v="3"/>
    <x v="1"/>
    <n v="54"/>
    <n v="3"/>
    <n v="1"/>
    <x v="1"/>
    <x v="3"/>
    <x v="0"/>
    <x v="804"/>
    <n v="7172"/>
    <n v="1"/>
    <x v="1"/>
    <n v="25"/>
    <n v="4"/>
    <n v="3"/>
    <x v="0"/>
    <n v="1"/>
    <x v="1"/>
    <n v="4"/>
    <n v="3"/>
    <x v="1"/>
    <n v="1"/>
    <n v="0"/>
    <n v="0"/>
  </r>
  <r>
    <x v="0"/>
    <x v="1"/>
    <x v="0"/>
    <n v="1457"/>
    <x v="1"/>
    <n v="7"/>
    <x v="1"/>
    <n v="3"/>
    <s v="Medical"/>
    <n v="1195"/>
    <n v="1"/>
    <x v="0"/>
    <n v="83"/>
    <n v="3"/>
    <n v="1"/>
    <x v="1"/>
    <x v="2"/>
    <x v="1"/>
    <x v="805"/>
    <n v="20100"/>
    <n v="4"/>
    <x v="0"/>
    <n v="19"/>
    <n v="3"/>
    <n v="3"/>
    <x v="1"/>
    <n v="7"/>
    <x v="0"/>
    <n v="2"/>
    <n v="2"/>
    <x v="2"/>
    <n v="2"/>
    <n v="0"/>
    <n v="2"/>
  </r>
  <r>
    <x v="0"/>
    <x v="1"/>
    <x v="0"/>
    <n v="977"/>
    <x v="1"/>
    <n v="1"/>
    <x v="0"/>
    <n v="3"/>
    <s v="Life Sciences"/>
    <n v="1196"/>
    <n v="4"/>
    <x v="0"/>
    <n v="56"/>
    <n v="2"/>
    <n v="2"/>
    <x v="3"/>
    <x v="0"/>
    <x v="1"/>
    <x v="806"/>
    <n v="9961"/>
    <n v="1"/>
    <x v="1"/>
    <n v="13"/>
    <n v="3"/>
    <n v="2"/>
    <x v="1"/>
    <n v="14"/>
    <x v="0"/>
    <n v="2"/>
    <n v="2"/>
    <x v="3"/>
    <n v="8"/>
    <n v="3"/>
    <n v="11"/>
  </r>
  <r>
    <x v="3"/>
    <x v="1"/>
    <x v="0"/>
    <n v="805"/>
    <x v="1"/>
    <n v="3"/>
    <x v="0"/>
    <n v="3"/>
    <s v="Life Sciences"/>
    <n v="1198"/>
    <n v="1"/>
    <x v="1"/>
    <n v="87"/>
    <n v="2"/>
    <n v="1"/>
    <x v="2"/>
    <x v="2"/>
    <x v="0"/>
    <x v="807"/>
    <n v="12828"/>
    <n v="1"/>
    <x v="1"/>
    <n v="12"/>
    <n v="3"/>
    <n v="1"/>
    <x v="0"/>
    <n v="2"/>
    <x v="1"/>
    <n v="2"/>
    <n v="2"/>
    <x v="1"/>
    <n v="2"/>
    <n v="1"/>
    <n v="2"/>
  </r>
  <r>
    <x v="0"/>
    <x v="0"/>
    <x v="0"/>
    <n v="1097"/>
    <x v="1"/>
    <n v="10"/>
    <x v="1"/>
    <n v="4"/>
    <s v="Life Sciences"/>
    <n v="1200"/>
    <n v="3"/>
    <x v="1"/>
    <n v="96"/>
    <n v="3"/>
    <n v="1"/>
    <x v="1"/>
    <x v="2"/>
    <x v="0"/>
    <x v="808"/>
    <n v="10826"/>
    <n v="1"/>
    <x v="0"/>
    <n v="11"/>
    <n v="3"/>
    <n v="3"/>
    <x v="0"/>
    <n v="6"/>
    <x v="0"/>
    <n v="4"/>
    <n v="3"/>
    <x v="0"/>
    <n v="4"/>
    <n v="0"/>
    <n v="2"/>
  </r>
  <r>
    <x v="1"/>
    <x v="1"/>
    <x v="0"/>
    <n v="1223"/>
    <x v="1"/>
    <n v="7"/>
    <x v="1"/>
    <n v="2"/>
    <s v="Medical"/>
    <n v="1201"/>
    <n v="4"/>
    <x v="0"/>
    <n v="50"/>
    <n v="3"/>
    <n v="5"/>
    <x v="5"/>
    <x v="2"/>
    <x v="2"/>
    <x v="809"/>
    <n v="18640"/>
    <n v="3"/>
    <x v="1"/>
    <n v="18"/>
    <n v="3"/>
    <n v="2"/>
    <x v="1"/>
    <n v="26"/>
    <x v="2"/>
    <n v="6"/>
    <n v="3"/>
    <x v="0"/>
    <n v="7"/>
    <n v="4"/>
    <n v="7"/>
  </r>
  <r>
    <x v="2"/>
    <x v="1"/>
    <x v="0"/>
    <n v="942"/>
    <x v="1"/>
    <n v="15"/>
    <x v="1"/>
    <n v="1"/>
    <s v="Life Sciences"/>
    <n v="1202"/>
    <n v="2"/>
    <x v="0"/>
    <n v="69"/>
    <n v="1"/>
    <n v="1"/>
    <x v="1"/>
    <x v="0"/>
    <x v="1"/>
    <x v="810"/>
    <n v="26933"/>
    <n v="0"/>
    <x v="0"/>
    <n v="18"/>
    <n v="3"/>
    <n v="1"/>
    <x v="1"/>
    <n v="6"/>
    <x v="0"/>
    <n v="2"/>
    <n v="2"/>
    <x v="2"/>
    <n v="4"/>
    <n v="1"/>
    <n v="3"/>
  </r>
  <r>
    <x v="3"/>
    <x v="0"/>
    <x v="1"/>
    <n v="1256"/>
    <x v="1"/>
    <n v="3"/>
    <x v="0"/>
    <n v="4"/>
    <s v="Life Sciences"/>
    <n v="1203"/>
    <n v="3"/>
    <x v="1"/>
    <n v="48"/>
    <n v="2"/>
    <n v="1"/>
    <x v="1"/>
    <x v="0"/>
    <x v="1"/>
    <x v="811"/>
    <n v="4223"/>
    <n v="0"/>
    <x v="0"/>
    <n v="11"/>
    <n v="3"/>
    <n v="2"/>
    <x v="1"/>
    <n v="1"/>
    <x v="1"/>
    <n v="5"/>
    <n v="3"/>
    <x v="1"/>
    <n v="0"/>
    <n v="0"/>
    <n v="0"/>
  </r>
  <r>
    <x v="1"/>
    <x v="1"/>
    <x v="0"/>
    <n v="1402"/>
    <x v="0"/>
    <n v="2"/>
    <x v="0"/>
    <n v="3"/>
    <s v="Marketing"/>
    <n v="1204"/>
    <n v="3"/>
    <x v="0"/>
    <n v="69"/>
    <n v="3"/>
    <n v="4"/>
    <x v="5"/>
    <x v="3"/>
    <x v="1"/>
    <x v="812"/>
    <n v="24097"/>
    <n v="8"/>
    <x v="1"/>
    <n v="23"/>
    <n v="4"/>
    <n v="1"/>
    <x v="0"/>
    <n v="28"/>
    <x v="2"/>
    <n v="2"/>
    <n v="3"/>
    <x v="3"/>
    <n v="15"/>
    <n v="15"/>
    <n v="9"/>
  </r>
  <r>
    <x v="0"/>
    <x v="1"/>
    <x v="2"/>
    <n v="111"/>
    <x v="1"/>
    <n v="17"/>
    <x v="2"/>
    <n v="3"/>
    <s v="Life Sciences"/>
    <n v="1206"/>
    <n v="4"/>
    <x v="1"/>
    <n v="74"/>
    <n v="1"/>
    <n v="1"/>
    <x v="1"/>
    <x v="2"/>
    <x v="0"/>
    <x v="813"/>
    <n v="4279"/>
    <n v="2"/>
    <x v="1"/>
    <n v="13"/>
    <n v="3"/>
    <n v="4"/>
    <x v="0"/>
    <n v="6"/>
    <x v="0"/>
    <n v="3"/>
    <n v="3"/>
    <x v="1"/>
    <n v="0"/>
    <n v="0"/>
    <n v="0"/>
  </r>
  <r>
    <x v="2"/>
    <x v="1"/>
    <x v="0"/>
    <n v="147"/>
    <x v="2"/>
    <n v="2"/>
    <x v="0"/>
    <n v="3"/>
    <s v="Human Resources"/>
    <n v="1207"/>
    <n v="2"/>
    <x v="1"/>
    <n v="99"/>
    <n v="3"/>
    <n v="1"/>
    <x v="8"/>
    <x v="2"/>
    <x v="1"/>
    <x v="814"/>
    <n v="8429"/>
    <n v="1"/>
    <x v="1"/>
    <n v="13"/>
    <n v="3"/>
    <n v="4"/>
    <x v="1"/>
    <n v="5"/>
    <x v="1"/>
    <n v="2"/>
    <n v="3"/>
    <x v="2"/>
    <n v="4"/>
    <n v="1"/>
    <n v="4"/>
  </r>
  <r>
    <x v="0"/>
    <x v="0"/>
    <x v="2"/>
    <n v="906"/>
    <x v="1"/>
    <n v="5"/>
    <x v="0"/>
    <n v="2"/>
    <s v="Life Sciences"/>
    <n v="1210"/>
    <n v="1"/>
    <x v="1"/>
    <n v="95"/>
    <n v="2"/>
    <n v="1"/>
    <x v="1"/>
    <x v="3"/>
    <x v="2"/>
    <x v="815"/>
    <n v="20293"/>
    <n v="6"/>
    <x v="1"/>
    <n v="17"/>
    <n v="3"/>
    <n v="1"/>
    <x v="1"/>
    <n v="5"/>
    <x v="1"/>
    <n v="2"/>
    <n v="1"/>
    <x v="1"/>
    <n v="0"/>
    <n v="0"/>
    <n v="0"/>
  </r>
  <r>
    <x v="2"/>
    <x v="1"/>
    <x v="0"/>
    <n v="1329"/>
    <x v="0"/>
    <n v="29"/>
    <x v="2"/>
    <n v="4"/>
    <s v="Life Sciences"/>
    <n v="1211"/>
    <n v="3"/>
    <x v="1"/>
    <n v="61"/>
    <n v="3"/>
    <n v="2"/>
    <x v="0"/>
    <x v="3"/>
    <x v="2"/>
    <x v="816"/>
    <n v="13192"/>
    <n v="8"/>
    <x v="1"/>
    <n v="19"/>
    <n v="3"/>
    <n v="3"/>
    <x v="2"/>
    <n v="8"/>
    <x v="0"/>
    <n v="3"/>
    <n v="3"/>
    <x v="2"/>
    <n v="3"/>
    <n v="0"/>
    <n v="3"/>
  </r>
  <r>
    <x v="0"/>
    <x v="1"/>
    <x v="1"/>
    <n v="1184"/>
    <x v="0"/>
    <n v="2"/>
    <x v="0"/>
    <n v="4"/>
    <s v="Medical"/>
    <n v="1212"/>
    <n v="2"/>
    <x v="1"/>
    <n v="62"/>
    <n v="3"/>
    <n v="2"/>
    <x v="0"/>
    <x v="1"/>
    <x v="1"/>
    <x v="817"/>
    <n v="25440"/>
    <n v="5"/>
    <x v="1"/>
    <n v="12"/>
    <n v="3"/>
    <n v="4"/>
    <x v="2"/>
    <n v="5"/>
    <x v="1"/>
    <n v="2"/>
    <n v="3"/>
    <x v="1"/>
    <n v="0"/>
    <n v="0"/>
    <n v="0"/>
  </r>
  <r>
    <x v="1"/>
    <x v="1"/>
    <x v="1"/>
    <n v="1421"/>
    <x v="1"/>
    <n v="2"/>
    <x v="0"/>
    <n v="3"/>
    <s v="Medical"/>
    <n v="1215"/>
    <n v="4"/>
    <x v="0"/>
    <n v="30"/>
    <n v="3"/>
    <n v="4"/>
    <x v="5"/>
    <x v="3"/>
    <x v="1"/>
    <x v="818"/>
    <n v="9490"/>
    <n v="2"/>
    <x v="1"/>
    <n v="22"/>
    <n v="4"/>
    <n v="3"/>
    <x v="1"/>
    <n v="32"/>
    <x v="2"/>
    <n v="3"/>
    <n v="3"/>
    <x v="1"/>
    <n v="2"/>
    <n v="2"/>
    <n v="2"/>
  </r>
  <r>
    <x v="2"/>
    <x v="1"/>
    <x v="0"/>
    <n v="1179"/>
    <x v="1"/>
    <n v="19"/>
    <x v="2"/>
    <n v="4"/>
    <s v="Medical"/>
    <n v="1216"/>
    <n v="4"/>
    <x v="1"/>
    <n v="78"/>
    <n v="2"/>
    <n v="1"/>
    <x v="2"/>
    <x v="3"/>
    <x v="1"/>
    <x v="819"/>
    <n v="12449"/>
    <n v="1"/>
    <x v="1"/>
    <n v="12"/>
    <n v="3"/>
    <n v="3"/>
    <x v="2"/>
    <n v="6"/>
    <x v="0"/>
    <n v="2"/>
    <n v="3"/>
    <x v="0"/>
    <n v="5"/>
    <n v="3"/>
    <n v="3"/>
  </r>
  <r>
    <x v="1"/>
    <x v="1"/>
    <x v="0"/>
    <n v="1450"/>
    <x v="1"/>
    <n v="15"/>
    <x v="1"/>
    <n v="2"/>
    <s v="Life Sciences"/>
    <n v="1217"/>
    <n v="4"/>
    <x v="1"/>
    <n v="52"/>
    <n v="3"/>
    <n v="5"/>
    <x v="7"/>
    <x v="1"/>
    <x v="1"/>
    <x v="820"/>
    <n v="10849"/>
    <n v="5"/>
    <x v="1"/>
    <n v="11"/>
    <n v="3"/>
    <n v="1"/>
    <x v="1"/>
    <n v="25"/>
    <x v="2"/>
    <n v="2"/>
    <n v="3"/>
    <x v="2"/>
    <n v="2"/>
    <n v="0"/>
    <n v="3"/>
  </r>
  <r>
    <x v="2"/>
    <x v="1"/>
    <x v="0"/>
    <n v="1361"/>
    <x v="0"/>
    <n v="17"/>
    <x v="2"/>
    <n v="4"/>
    <s v="Life Sciences"/>
    <n v="1218"/>
    <n v="3"/>
    <x v="1"/>
    <n v="94"/>
    <n v="3"/>
    <n v="2"/>
    <x v="0"/>
    <x v="3"/>
    <x v="1"/>
    <x v="821"/>
    <n v="21026"/>
    <n v="3"/>
    <x v="0"/>
    <n v="15"/>
    <n v="3"/>
    <n v="4"/>
    <x v="2"/>
    <n v="15"/>
    <x v="0"/>
    <n v="2"/>
    <n v="3"/>
    <x v="0"/>
    <n v="7"/>
    <n v="1"/>
    <n v="7"/>
  </r>
  <r>
    <x v="3"/>
    <x v="0"/>
    <x v="0"/>
    <n v="984"/>
    <x v="1"/>
    <n v="17"/>
    <x v="2"/>
    <n v="2"/>
    <s v="Life Sciences"/>
    <n v="1219"/>
    <n v="4"/>
    <x v="0"/>
    <n v="97"/>
    <n v="3"/>
    <n v="1"/>
    <x v="2"/>
    <x v="1"/>
    <x v="1"/>
    <x v="822"/>
    <n v="3372"/>
    <n v="1"/>
    <x v="1"/>
    <n v="13"/>
    <n v="3"/>
    <n v="1"/>
    <x v="1"/>
    <n v="1"/>
    <x v="1"/>
    <n v="3"/>
    <n v="1"/>
    <x v="1"/>
    <n v="0"/>
    <n v="0"/>
    <n v="0"/>
  </r>
  <r>
    <x v="2"/>
    <x v="1"/>
    <x v="1"/>
    <n v="1146"/>
    <x v="0"/>
    <n v="25"/>
    <x v="2"/>
    <n v="3"/>
    <s v="Medical"/>
    <n v="1220"/>
    <n v="2"/>
    <x v="0"/>
    <n v="82"/>
    <n v="3"/>
    <n v="2"/>
    <x v="0"/>
    <x v="2"/>
    <x v="1"/>
    <x v="823"/>
    <n v="4905"/>
    <n v="1"/>
    <x v="1"/>
    <n v="12"/>
    <n v="3"/>
    <n v="1"/>
    <x v="1"/>
    <n v="10"/>
    <x v="0"/>
    <n v="3"/>
    <n v="2"/>
    <x v="0"/>
    <n v="7"/>
    <n v="0"/>
    <n v="1"/>
  </r>
  <r>
    <x v="0"/>
    <x v="1"/>
    <x v="0"/>
    <n v="917"/>
    <x v="1"/>
    <n v="6"/>
    <x v="1"/>
    <n v="4"/>
    <s v="Life Sciences"/>
    <n v="1221"/>
    <n v="3"/>
    <x v="1"/>
    <n v="60"/>
    <n v="1"/>
    <n v="1"/>
    <x v="2"/>
    <x v="2"/>
    <x v="2"/>
    <x v="199"/>
    <n v="6865"/>
    <n v="1"/>
    <x v="1"/>
    <n v="14"/>
    <n v="3"/>
    <n v="3"/>
    <x v="1"/>
    <n v="7"/>
    <x v="0"/>
    <n v="4"/>
    <n v="3"/>
    <x v="0"/>
    <n v="7"/>
    <n v="1"/>
    <n v="7"/>
  </r>
  <r>
    <x v="2"/>
    <x v="1"/>
    <x v="0"/>
    <n v="853"/>
    <x v="1"/>
    <n v="7"/>
    <x v="1"/>
    <n v="4"/>
    <s v="Life Sciences"/>
    <n v="1224"/>
    <n v="3"/>
    <x v="1"/>
    <n v="49"/>
    <n v="3"/>
    <n v="2"/>
    <x v="2"/>
    <x v="2"/>
    <x v="2"/>
    <x v="824"/>
    <n v="11309"/>
    <n v="1"/>
    <x v="1"/>
    <n v="13"/>
    <n v="3"/>
    <n v="1"/>
    <x v="2"/>
    <n v="10"/>
    <x v="0"/>
    <n v="4"/>
    <n v="2"/>
    <x v="0"/>
    <n v="7"/>
    <n v="8"/>
    <n v="9"/>
  </r>
  <r>
    <x v="0"/>
    <x v="1"/>
    <x v="0"/>
    <n v="200"/>
    <x v="1"/>
    <n v="29"/>
    <x v="2"/>
    <n v="4"/>
    <s v="Other"/>
    <n v="1225"/>
    <n v="4"/>
    <x v="1"/>
    <n v="32"/>
    <n v="3"/>
    <n v="2"/>
    <x v="1"/>
    <x v="0"/>
    <x v="0"/>
    <x v="825"/>
    <n v="7744"/>
    <n v="1"/>
    <x v="1"/>
    <n v="25"/>
    <n v="4"/>
    <n v="2"/>
    <x v="0"/>
    <n v="20"/>
    <x v="2"/>
    <n v="3"/>
    <n v="3"/>
    <x v="3"/>
    <n v="11"/>
    <n v="13"/>
    <n v="17"/>
  </r>
  <r>
    <x v="3"/>
    <x v="1"/>
    <x v="0"/>
    <n v="654"/>
    <x v="0"/>
    <n v="21"/>
    <x v="2"/>
    <n v="3"/>
    <s v="Marketing"/>
    <n v="1226"/>
    <n v="3"/>
    <x v="1"/>
    <n v="43"/>
    <n v="4"/>
    <n v="1"/>
    <x v="6"/>
    <x v="0"/>
    <x v="0"/>
    <x v="826"/>
    <n v="5050"/>
    <n v="1"/>
    <x v="1"/>
    <n v="17"/>
    <n v="3"/>
    <n v="4"/>
    <x v="0"/>
    <n v="2"/>
    <x v="1"/>
    <n v="2"/>
    <n v="3"/>
    <x v="1"/>
    <n v="1"/>
    <n v="2"/>
    <n v="2"/>
  </r>
  <r>
    <x v="1"/>
    <x v="1"/>
    <x v="0"/>
    <n v="150"/>
    <x v="1"/>
    <n v="2"/>
    <x v="0"/>
    <n v="4"/>
    <s v="Technical Degree"/>
    <n v="1228"/>
    <n v="4"/>
    <x v="1"/>
    <n v="60"/>
    <n v="3"/>
    <n v="2"/>
    <x v="3"/>
    <x v="0"/>
    <x v="2"/>
    <x v="827"/>
    <n v="17433"/>
    <n v="2"/>
    <x v="1"/>
    <n v="11"/>
    <n v="3"/>
    <n v="3"/>
    <x v="1"/>
    <n v="12"/>
    <x v="0"/>
    <n v="3"/>
    <n v="2"/>
    <x v="0"/>
    <n v="3"/>
    <n v="1"/>
    <n v="4"/>
  </r>
  <r>
    <x v="0"/>
    <x v="1"/>
    <x v="2"/>
    <n v="179"/>
    <x v="2"/>
    <n v="2"/>
    <x v="0"/>
    <n v="5"/>
    <s v="Medical"/>
    <n v="1231"/>
    <n v="4"/>
    <x v="1"/>
    <n v="79"/>
    <n v="4"/>
    <n v="2"/>
    <x v="8"/>
    <x v="3"/>
    <x v="1"/>
    <x v="458"/>
    <n v="12858"/>
    <n v="7"/>
    <x v="1"/>
    <n v="16"/>
    <n v="3"/>
    <n v="1"/>
    <x v="1"/>
    <n v="10"/>
    <x v="0"/>
    <n v="3"/>
    <n v="4"/>
    <x v="2"/>
    <n v="3"/>
    <n v="0"/>
    <n v="3"/>
  </r>
  <r>
    <x v="1"/>
    <x v="1"/>
    <x v="0"/>
    <n v="696"/>
    <x v="0"/>
    <n v="7"/>
    <x v="1"/>
    <n v="4"/>
    <s v="Marketing"/>
    <n v="1233"/>
    <n v="2"/>
    <x v="1"/>
    <n v="52"/>
    <n v="4"/>
    <n v="2"/>
    <x v="0"/>
    <x v="0"/>
    <x v="2"/>
    <x v="828"/>
    <n v="10893"/>
    <n v="0"/>
    <x v="0"/>
    <n v="18"/>
    <n v="3"/>
    <n v="2"/>
    <x v="1"/>
    <n v="12"/>
    <x v="0"/>
    <n v="3"/>
    <n v="3"/>
    <x v="3"/>
    <n v="7"/>
    <n v="1"/>
    <n v="9"/>
  </r>
  <r>
    <x v="2"/>
    <x v="1"/>
    <x v="1"/>
    <n v="116"/>
    <x v="1"/>
    <n v="13"/>
    <x v="1"/>
    <n v="3"/>
    <s v="Other"/>
    <n v="1234"/>
    <n v="3"/>
    <x v="0"/>
    <n v="77"/>
    <n v="2"/>
    <n v="1"/>
    <x v="2"/>
    <x v="1"/>
    <x v="1"/>
    <x v="714"/>
    <n v="7331"/>
    <n v="1"/>
    <x v="1"/>
    <n v="20"/>
    <n v="4"/>
    <n v="3"/>
    <x v="1"/>
    <n v="2"/>
    <x v="1"/>
    <n v="2"/>
    <n v="3"/>
    <x v="1"/>
    <n v="2"/>
    <n v="2"/>
    <n v="2"/>
  </r>
  <r>
    <x v="2"/>
    <x v="1"/>
    <x v="1"/>
    <n v="1316"/>
    <x v="1"/>
    <n v="2"/>
    <x v="0"/>
    <n v="2"/>
    <s v="Life Sciences"/>
    <n v="1235"/>
    <n v="4"/>
    <x v="0"/>
    <n v="38"/>
    <n v="3"/>
    <n v="2"/>
    <x v="1"/>
    <x v="2"/>
    <x v="0"/>
    <x v="829"/>
    <n v="2338"/>
    <n v="4"/>
    <x v="0"/>
    <n v="14"/>
    <n v="3"/>
    <n v="4"/>
    <x v="0"/>
    <n v="10"/>
    <x v="0"/>
    <n v="2"/>
    <n v="3"/>
    <x v="0"/>
    <n v="7"/>
    <n v="0"/>
    <n v="7"/>
  </r>
  <r>
    <x v="0"/>
    <x v="1"/>
    <x v="0"/>
    <n v="363"/>
    <x v="1"/>
    <n v="1"/>
    <x v="0"/>
    <n v="3"/>
    <s v="Technical Degree"/>
    <n v="1237"/>
    <n v="3"/>
    <x v="0"/>
    <n v="77"/>
    <n v="1"/>
    <n v="3"/>
    <x v="3"/>
    <x v="3"/>
    <x v="2"/>
    <x v="830"/>
    <n v="4235"/>
    <n v="2"/>
    <x v="0"/>
    <n v="21"/>
    <n v="4"/>
    <n v="3"/>
    <x v="1"/>
    <n v="17"/>
    <x v="2"/>
    <n v="2"/>
    <n v="3"/>
    <x v="0"/>
    <n v="7"/>
    <n v="7"/>
    <n v="7"/>
  </r>
  <r>
    <x v="2"/>
    <x v="1"/>
    <x v="0"/>
    <n v="117"/>
    <x v="1"/>
    <n v="9"/>
    <x v="1"/>
    <n v="3"/>
    <s v="Medical"/>
    <n v="1238"/>
    <n v="1"/>
    <x v="1"/>
    <n v="60"/>
    <n v="3"/>
    <n v="1"/>
    <x v="1"/>
    <x v="0"/>
    <x v="1"/>
    <x v="831"/>
    <n v="6311"/>
    <n v="0"/>
    <x v="1"/>
    <n v="13"/>
    <n v="3"/>
    <n v="2"/>
    <x v="1"/>
    <n v="15"/>
    <x v="0"/>
    <n v="5"/>
    <n v="3"/>
    <x v="3"/>
    <n v="10"/>
    <n v="4"/>
    <n v="10"/>
  </r>
  <r>
    <x v="0"/>
    <x v="1"/>
    <x v="0"/>
    <n v="107"/>
    <x v="0"/>
    <n v="10"/>
    <x v="1"/>
    <n v="3"/>
    <s v="Technical Degree"/>
    <n v="1239"/>
    <n v="2"/>
    <x v="0"/>
    <n v="84"/>
    <n v="2"/>
    <n v="2"/>
    <x v="0"/>
    <x v="1"/>
    <x v="2"/>
    <x v="832"/>
    <n v="11591"/>
    <n v="7"/>
    <x v="1"/>
    <n v="12"/>
    <n v="3"/>
    <n v="2"/>
    <x v="1"/>
    <n v="7"/>
    <x v="0"/>
    <n v="2"/>
    <n v="4"/>
    <x v="2"/>
    <n v="1"/>
    <n v="1"/>
    <n v="3"/>
  </r>
  <r>
    <x v="3"/>
    <x v="1"/>
    <x v="0"/>
    <n v="1356"/>
    <x v="0"/>
    <n v="10"/>
    <x v="1"/>
    <n v="4"/>
    <s v="Life Sciences"/>
    <n v="1240"/>
    <n v="3"/>
    <x v="1"/>
    <n v="57"/>
    <n v="3"/>
    <n v="2"/>
    <x v="0"/>
    <x v="0"/>
    <x v="0"/>
    <x v="833"/>
    <n v="20623"/>
    <n v="0"/>
    <x v="1"/>
    <n v="14"/>
    <n v="3"/>
    <n v="2"/>
    <x v="0"/>
    <n v="5"/>
    <x v="1"/>
    <n v="4"/>
    <n v="3"/>
    <x v="2"/>
    <n v="3"/>
    <n v="1"/>
    <n v="1"/>
  </r>
  <r>
    <x v="2"/>
    <x v="1"/>
    <x v="0"/>
    <n v="1465"/>
    <x v="1"/>
    <n v="1"/>
    <x v="0"/>
    <n v="3"/>
    <s v="Medical"/>
    <n v="1241"/>
    <n v="4"/>
    <x v="1"/>
    <n v="63"/>
    <n v="3"/>
    <n v="1"/>
    <x v="1"/>
    <x v="1"/>
    <x v="1"/>
    <x v="834"/>
    <n v="9369"/>
    <n v="0"/>
    <x v="0"/>
    <n v="21"/>
    <n v="4"/>
    <n v="1"/>
    <x v="1"/>
    <n v="12"/>
    <x v="0"/>
    <n v="2"/>
    <n v="3"/>
    <x v="3"/>
    <n v="9"/>
    <n v="5"/>
    <n v="7"/>
  </r>
  <r>
    <x v="0"/>
    <x v="1"/>
    <x v="1"/>
    <n v="458"/>
    <x v="1"/>
    <n v="26"/>
    <x v="2"/>
    <n v="5"/>
    <s v="Medical"/>
    <n v="1242"/>
    <n v="1"/>
    <x v="0"/>
    <n v="60"/>
    <n v="3"/>
    <n v="3"/>
    <x v="7"/>
    <x v="3"/>
    <x v="1"/>
    <x v="835"/>
    <n v="23281"/>
    <n v="3"/>
    <x v="0"/>
    <n v="17"/>
    <n v="3"/>
    <n v="3"/>
    <x v="0"/>
    <n v="20"/>
    <x v="2"/>
    <n v="6"/>
    <n v="3"/>
    <x v="1"/>
    <n v="0"/>
    <n v="0"/>
    <n v="0"/>
  </r>
  <r>
    <x v="2"/>
    <x v="1"/>
    <x v="2"/>
    <n v="1212"/>
    <x v="0"/>
    <n v="8"/>
    <x v="1"/>
    <n v="2"/>
    <s v="Marketing"/>
    <n v="1243"/>
    <n v="3"/>
    <x v="0"/>
    <n v="78"/>
    <n v="2"/>
    <n v="3"/>
    <x v="0"/>
    <x v="0"/>
    <x v="1"/>
    <x v="836"/>
    <n v="13755"/>
    <n v="4"/>
    <x v="0"/>
    <n v="11"/>
    <n v="3"/>
    <n v="2"/>
    <x v="1"/>
    <n v="16"/>
    <x v="2"/>
    <n v="6"/>
    <n v="2"/>
    <x v="3"/>
    <n v="2"/>
    <n v="4"/>
    <n v="12"/>
  </r>
  <r>
    <x v="2"/>
    <x v="1"/>
    <x v="0"/>
    <n v="1103"/>
    <x v="1"/>
    <n v="14"/>
    <x v="1"/>
    <n v="3"/>
    <s v="Life Sciences"/>
    <n v="1244"/>
    <n v="1"/>
    <x v="1"/>
    <n v="42"/>
    <n v="3"/>
    <n v="1"/>
    <x v="1"/>
    <x v="3"/>
    <x v="1"/>
    <x v="837"/>
    <n v="14377"/>
    <n v="1"/>
    <x v="0"/>
    <n v="14"/>
    <n v="3"/>
    <n v="4"/>
    <x v="3"/>
    <n v="9"/>
    <x v="0"/>
    <n v="3"/>
    <n v="2"/>
    <x v="0"/>
    <n v="7"/>
    <n v="6"/>
    <n v="8"/>
  </r>
  <r>
    <x v="1"/>
    <x v="1"/>
    <x v="1"/>
    <n v="966"/>
    <x v="1"/>
    <n v="1"/>
    <x v="0"/>
    <n v="4"/>
    <s v="Life Sciences"/>
    <n v="1245"/>
    <n v="4"/>
    <x v="0"/>
    <n v="53"/>
    <n v="3"/>
    <n v="3"/>
    <x v="3"/>
    <x v="2"/>
    <x v="2"/>
    <x v="838"/>
    <n v="9659"/>
    <n v="7"/>
    <x v="1"/>
    <n v="17"/>
    <n v="3"/>
    <n v="1"/>
    <x v="1"/>
    <n v="33"/>
    <x v="2"/>
    <n v="2"/>
    <n v="1"/>
    <x v="2"/>
    <n v="4"/>
    <n v="1"/>
    <n v="4"/>
  </r>
  <r>
    <x v="0"/>
    <x v="1"/>
    <x v="0"/>
    <n v="1117"/>
    <x v="1"/>
    <n v="2"/>
    <x v="0"/>
    <n v="1"/>
    <s v="Life Sciences"/>
    <n v="1246"/>
    <n v="1"/>
    <x v="0"/>
    <n v="72"/>
    <n v="4"/>
    <n v="1"/>
    <x v="1"/>
    <x v="0"/>
    <x v="1"/>
    <x v="839"/>
    <n v="19982"/>
    <n v="1"/>
    <x v="1"/>
    <n v="13"/>
    <n v="3"/>
    <n v="4"/>
    <x v="1"/>
    <n v="10"/>
    <x v="0"/>
    <n v="5"/>
    <n v="3"/>
    <x v="0"/>
    <n v="5"/>
    <n v="7"/>
    <n v="7"/>
  </r>
  <r>
    <x v="3"/>
    <x v="0"/>
    <x v="2"/>
    <n v="504"/>
    <x v="1"/>
    <n v="10"/>
    <x v="1"/>
    <n v="3"/>
    <s v="Medical"/>
    <n v="1248"/>
    <n v="1"/>
    <x v="0"/>
    <n v="96"/>
    <n v="2"/>
    <n v="1"/>
    <x v="1"/>
    <x v="1"/>
    <x v="0"/>
    <x v="840"/>
    <n v="6148"/>
    <n v="1"/>
    <x v="0"/>
    <n v="25"/>
    <n v="4"/>
    <n v="2"/>
    <x v="0"/>
    <n v="1"/>
    <x v="1"/>
    <n v="2"/>
    <n v="4"/>
    <x v="1"/>
    <n v="1"/>
    <n v="0"/>
    <n v="0"/>
  </r>
  <r>
    <x v="2"/>
    <x v="1"/>
    <x v="0"/>
    <n v="1010"/>
    <x v="1"/>
    <n v="1"/>
    <x v="0"/>
    <n v="3"/>
    <s v="Life Sciences"/>
    <n v="1249"/>
    <n v="1"/>
    <x v="0"/>
    <n v="97"/>
    <n v="3"/>
    <n v="1"/>
    <x v="1"/>
    <x v="0"/>
    <x v="2"/>
    <x v="841"/>
    <n v="5598"/>
    <n v="1"/>
    <x v="1"/>
    <n v="15"/>
    <n v="3"/>
    <n v="1"/>
    <x v="2"/>
    <n v="3"/>
    <x v="1"/>
    <n v="5"/>
    <n v="3"/>
    <x v="2"/>
    <n v="2"/>
    <n v="1"/>
    <n v="2"/>
  </r>
  <r>
    <x v="1"/>
    <x v="1"/>
    <x v="0"/>
    <n v="685"/>
    <x v="1"/>
    <n v="3"/>
    <x v="0"/>
    <n v="3"/>
    <s v="Life Sciences"/>
    <n v="1250"/>
    <n v="4"/>
    <x v="1"/>
    <n v="85"/>
    <n v="3"/>
    <n v="4"/>
    <x v="7"/>
    <x v="0"/>
    <x v="1"/>
    <x v="842"/>
    <n v="23474"/>
    <n v="3"/>
    <x v="1"/>
    <n v="14"/>
    <n v="3"/>
    <n v="1"/>
    <x v="0"/>
    <n v="36"/>
    <x v="2"/>
    <n v="2"/>
    <n v="3"/>
    <x v="0"/>
    <n v="9"/>
    <n v="0"/>
    <n v="9"/>
  </r>
  <r>
    <x v="2"/>
    <x v="1"/>
    <x v="0"/>
    <n v="1332"/>
    <x v="1"/>
    <n v="11"/>
    <x v="1"/>
    <n v="2"/>
    <s v="Medical"/>
    <n v="1251"/>
    <n v="3"/>
    <x v="1"/>
    <n v="80"/>
    <n v="3"/>
    <n v="2"/>
    <x v="4"/>
    <x v="3"/>
    <x v="1"/>
    <x v="843"/>
    <n v="17089"/>
    <n v="1"/>
    <x v="0"/>
    <n v="12"/>
    <n v="3"/>
    <n v="4"/>
    <x v="0"/>
    <n v="6"/>
    <x v="0"/>
    <n v="2"/>
    <n v="2"/>
    <x v="0"/>
    <n v="5"/>
    <n v="0"/>
    <n v="1"/>
  </r>
  <r>
    <x v="2"/>
    <x v="1"/>
    <x v="0"/>
    <n v="1062"/>
    <x v="1"/>
    <n v="24"/>
    <x v="2"/>
    <n v="3"/>
    <s v="Medical"/>
    <n v="1252"/>
    <n v="3"/>
    <x v="0"/>
    <n v="96"/>
    <n v="2"/>
    <n v="2"/>
    <x v="4"/>
    <x v="3"/>
    <x v="0"/>
    <x v="844"/>
    <n v="17198"/>
    <n v="1"/>
    <x v="1"/>
    <n v="19"/>
    <n v="3"/>
    <n v="2"/>
    <x v="0"/>
    <n v="10"/>
    <x v="0"/>
    <n v="2"/>
    <n v="3"/>
    <x v="0"/>
    <n v="9"/>
    <n v="1"/>
    <n v="8"/>
  </r>
  <r>
    <x v="1"/>
    <x v="1"/>
    <x v="0"/>
    <n v="326"/>
    <x v="0"/>
    <n v="3"/>
    <x v="0"/>
    <n v="3"/>
    <s v="Life Sciences"/>
    <n v="1254"/>
    <n v="3"/>
    <x v="0"/>
    <n v="48"/>
    <n v="2"/>
    <n v="2"/>
    <x v="0"/>
    <x v="0"/>
    <x v="0"/>
    <x v="845"/>
    <n v="16490"/>
    <n v="5"/>
    <x v="1"/>
    <n v="17"/>
    <n v="3"/>
    <n v="4"/>
    <x v="0"/>
    <n v="13"/>
    <x v="0"/>
    <n v="2"/>
    <n v="3"/>
    <x v="0"/>
    <n v="1"/>
    <n v="0"/>
    <n v="5"/>
  </r>
  <r>
    <x v="0"/>
    <x v="1"/>
    <x v="0"/>
    <n v="920"/>
    <x v="1"/>
    <n v="3"/>
    <x v="0"/>
    <n v="3"/>
    <s v="Life Sciences"/>
    <n v="1255"/>
    <n v="3"/>
    <x v="1"/>
    <n v="96"/>
    <n v="1"/>
    <n v="5"/>
    <x v="7"/>
    <x v="0"/>
    <x v="1"/>
    <x v="846"/>
    <n v="18625"/>
    <n v="3"/>
    <x v="1"/>
    <n v="14"/>
    <n v="3"/>
    <n v="2"/>
    <x v="1"/>
    <n v="25"/>
    <x v="2"/>
    <n v="2"/>
    <n v="3"/>
    <x v="0"/>
    <n v="7"/>
    <n v="0"/>
    <n v="7"/>
  </r>
  <r>
    <x v="1"/>
    <x v="1"/>
    <x v="0"/>
    <n v="1098"/>
    <x v="1"/>
    <n v="4"/>
    <x v="0"/>
    <n v="2"/>
    <s v="Medical"/>
    <n v="1256"/>
    <n v="1"/>
    <x v="1"/>
    <n v="85"/>
    <n v="2"/>
    <n v="5"/>
    <x v="5"/>
    <x v="2"/>
    <x v="1"/>
    <x v="847"/>
    <n v="12124"/>
    <n v="2"/>
    <x v="1"/>
    <n v="13"/>
    <n v="3"/>
    <n v="3"/>
    <x v="1"/>
    <n v="23"/>
    <x v="2"/>
    <n v="2"/>
    <n v="4"/>
    <x v="1"/>
    <n v="0"/>
    <n v="0"/>
    <n v="0"/>
  </r>
  <r>
    <x v="0"/>
    <x v="1"/>
    <x v="1"/>
    <n v="469"/>
    <x v="1"/>
    <n v="3"/>
    <x v="0"/>
    <n v="3"/>
    <s v="Technical Degree"/>
    <n v="1257"/>
    <n v="3"/>
    <x v="1"/>
    <n v="46"/>
    <n v="3"/>
    <n v="1"/>
    <x v="1"/>
    <x v="1"/>
    <x v="1"/>
    <x v="848"/>
    <n v="9256"/>
    <n v="1"/>
    <x v="1"/>
    <n v="12"/>
    <n v="3"/>
    <n v="3"/>
    <x v="0"/>
    <n v="12"/>
    <x v="0"/>
    <n v="2"/>
    <n v="2"/>
    <x v="3"/>
    <n v="10"/>
    <n v="0"/>
    <n v="7"/>
  </r>
  <r>
    <x v="1"/>
    <x v="1"/>
    <x v="0"/>
    <n v="969"/>
    <x v="1"/>
    <n v="2"/>
    <x v="0"/>
    <n v="2"/>
    <s v="Technical Degree"/>
    <n v="1258"/>
    <n v="4"/>
    <x v="1"/>
    <n v="76"/>
    <n v="4"/>
    <n v="1"/>
    <x v="2"/>
    <x v="1"/>
    <x v="0"/>
    <x v="594"/>
    <n v="16620"/>
    <n v="5"/>
    <x v="1"/>
    <n v="11"/>
    <n v="3"/>
    <n v="3"/>
    <x v="0"/>
    <n v="7"/>
    <x v="0"/>
    <n v="4"/>
    <n v="2"/>
    <x v="1"/>
    <n v="0"/>
    <n v="0"/>
    <n v="0"/>
  </r>
  <r>
    <x v="2"/>
    <x v="1"/>
    <x v="0"/>
    <n v="1167"/>
    <x v="1"/>
    <n v="4"/>
    <x v="0"/>
    <n v="2"/>
    <s v="Life Sciences"/>
    <n v="1259"/>
    <n v="1"/>
    <x v="1"/>
    <n v="76"/>
    <n v="3"/>
    <n v="1"/>
    <x v="1"/>
    <x v="2"/>
    <x v="2"/>
    <x v="849"/>
    <n v="3208"/>
    <n v="1"/>
    <x v="1"/>
    <n v="11"/>
    <n v="3"/>
    <n v="2"/>
    <x v="2"/>
    <n v="5"/>
    <x v="1"/>
    <n v="2"/>
    <n v="3"/>
    <x v="2"/>
    <n v="3"/>
    <n v="0"/>
    <n v="3"/>
  </r>
  <r>
    <x v="2"/>
    <x v="1"/>
    <x v="0"/>
    <n v="1329"/>
    <x v="1"/>
    <n v="7"/>
    <x v="1"/>
    <n v="3"/>
    <s v="Life Sciences"/>
    <n v="1260"/>
    <n v="3"/>
    <x v="1"/>
    <n v="82"/>
    <n v="3"/>
    <n v="2"/>
    <x v="4"/>
    <x v="0"/>
    <x v="2"/>
    <x v="850"/>
    <n v="4204"/>
    <n v="1"/>
    <x v="0"/>
    <n v="11"/>
    <n v="3"/>
    <n v="2"/>
    <x v="3"/>
    <n v="6"/>
    <x v="0"/>
    <n v="2"/>
    <n v="3"/>
    <x v="0"/>
    <n v="0"/>
    <n v="1"/>
    <n v="0"/>
  </r>
  <r>
    <x v="1"/>
    <x v="1"/>
    <x v="0"/>
    <n v="715"/>
    <x v="1"/>
    <n v="1"/>
    <x v="0"/>
    <n v="3"/>
    <s v="Life Sciences"/>
    <n v="1263"/>
    <n v="4"/>
    <x v="1"/>
    <n v="76"/>
    <n v="2"/>
    <n v="5"/>
    <x v="7"/>
    <x v="0"/>
    <x v="0"/>
    <x v="851"/>
    <n v="8733"/>
    <n v="6"/>
    <x v="1"/>
    <n v="12"/>
    <n v="3"/>
    <n v="3"/>
    <x v="0"/>
    <n v="25"/>
    <x v="2"/>
    <n v="3"/>
    <n v="4"/>
    <x v="1"/>
    <n v="0"/>
    <n v="0"/>
    <n v="0"/>
  </r>
  <r>
    <x v="2"/>
    <x v="1"/>
    <x v="0"/>
    <n v="694"/>
    <x v="1"/>
    <n v="1"/>
    <x v="0"/>
    <n v="3"/>
    <s v="Life Sciences"/>
    <n v="1264"/>
    <n v="4"/>
    <x v="0"/>
    <n v="87"/>
    <n v="2"/>
    <n v="4"/>
    <x v="7"/>
    <x v="0"/>
    <x v="2"/>
    <x v="852"/>
    <n v="3423"/>
    <n v="3"/>
    <x v="1"/>
    <n v="14"/>
    <n v="3"/>
    <n v="2"/>
    <x v="3"/>
    <n v="9"/>
    <x v="0"/>
    <n v="2"/>
    <n v="2"/>
    <x v="0"/>
    <n v="7"/>
    <n v="1"/>
    <n v="7"/>
  </r>
  <r>
    <x v="2"/>
    <x v="1"/>
    <x v="0"/>
    <n v="1320"/>
    <x v="1"/>
    <n v="20"/>
    <x v="2"/>
    <n v="3"/>
    <s v="Technical Degree"/>
    <n v="1265"/>
    <n v="3"/>
    <x v="0"/>
    <n v="89"/>
    <n v="4"/>
    <n v="1"/>
    <x v="1"/>
    <x v="2"/>
    <x v="1"/>
    <x v="853"/>
    <n v="21643"/>
    <n v="0"/>
    <x v="1"/>
    <n v="17"/>
    <n v="3"/>
    <n v="4"/>
    <x v="0"/>
    <n v="2"/>
    <x v="1"/>
    <n v="5"/>
    <n v="2"/>
    <x v="1"/>
    <n v="0"/>
    <n v="0"/>
    <n v="0"/>
  </r>
  <r>
    <x v="0"/>
    <x v="1"/>
    <x v="0"/>
    <n v="1099"/>
    <x v="0"/>
    <n v="5"/>
    <x v="0"/>
    <n v="3"/>
    <s v="Marketing"/>
    <n v="1267"/>
    <n v="2"/>
    <x v="1"/>
    <n v="88"/>
    <n v="3"/>
    <n v="5"/>
    <x v="5"/>
    <x v="1"/>
    <x v="1"/>
    <x v="854"/>
    <n v="8751"/>
    <n v="7"/>
    <x v="1"/>
    <n v="11"/>
    <n v="3"/>
    <n v="3"/>
    <x v="1"/>
    <n v="26"/>
    <x v="2"/>
    <n v="5"/>
    <n v="3"/>
    <x v="3"/>
    <n v="9"/>
    <n v="3"/>
    <n v="10"/>
  </r>
  <r>
    <x v="2"/>
    <x v="1"/>
    <x v="0"/>
    <n v="536"/>
    <x v="0"/>
    <n v="10"/>
    <x v="1"/>
    <n v="5"/>
    <s v="Marketing"/>
    <n v="1268"/>
    <n v="4"/>
    <x v="1"/>
    <n v="82"/>
    <n v="4"/>
    <n v="3"/>
    <x v="0"/>
    <x v="2"/>
    <x v="2"/>
    <x v="855"/>
    <n v="21708"/>
    <n v="0"/>
    <x v="0"/>
    <n v="14"/>
    <n v="3"/>
    <n v="4"/>
    <x v="3"/>
    <n v="10"/>
    <x v="0"/>
    <n v="3"/>
    <n v="3"/>
    <x v="0"/>
    <n v="8"/>
    <n v="0"/>
    <n v="8"/>
  </r>
  <r>
    <x v="3"/>
    <x v="1"/>
    <x v="0"/>
    <n v="265"/>
    <x v="1"/>
    <n v="25"/>
    <x v="2"/>
    <n v="3"/>
    <s v="Life Sciences"/>
    <n v="1269"/>
    <n v="2"/>
    <x v="0"/>
    <n v="57"/>
    <n v="4"/>
    <n v="1"/>
    <x v="1"/>
    <x v="0"/>
    <x v="0"/>
    <x v="856"/>
    <n v="21221"/>
    <n v="1"/>
    <x v="0"/>
    <n v="12"/>
    <n v="3"/>
    <n v="4"/>
    <x v="0"/>
    <n v="1"/>
    <x v="1"/>
    <n v="2"/>
    <n v="3"/>
    <x v="1"/>
    <n v="0"/>
    <n v="0"/>
    <n v="1"/>
  </r>
  <r>
    <x v="3"/>
    <x v="1"/>
    <x v="0"/>
    <n v="373"/>
    <x v="1"/>
    <n v="1"/>
    <x v="0"/>
    <n v="2"/>
    <s v="Life Sciences"/>
    <n v="1270"/>
    <n v="4"/>
    <x v="1"/>
    <n v="47"/>
    <n v="3"/>
    <n v="1"/>
    <x v="1"/>
    <x v="2"/>
    <x v="1"/>
    <x v="857"/>
    <n v="16901"/>
    <n v="1"/>
    <x v="1"/>
    <n v="22"/>
    <n v="4"/>
    <n v="4"/>
    <x v="1"/>
    <n v="1"/>
    <x v="1"/>
    <n v="2"/>
    <n v="3"/>
    <x v="1"/>
    <n v="0"/>
    <n v="0"/>
    <n v="1"/>
  </r>
  <r>
    <x v="3"/>
    <x v="0"/>
    <x v="1"/>
    <n v="599"/>
    <x v="0"/>
    <n v="24"/>
    <x v="2"/>
    <n v="1"/>
    <s v="Life Sciences"/>
    <n v="1273"/>
    <n v="3"/>
    <x v="1"/>
    <n v="73"/>
    <n v="1"/>
    <n v="1"/>
    <x v="6"/>
    <x v="0"/>
    <x v="0"/>
    <x v="858"/>
    <n v="8040"/>
    <n v="1"/>
    <x v="0"/>
    <n v="14"/>
    <n v="3"/>
    <n v="4"/>
    <x v="0"/>
    <n v="1"/>
    <x v="1"/>
    <n v="4"/>
    <n v="3"/>
    <x v="1"/>
    <n v="0"/>
    <n v="1"/>
    <n v="0"/>
  </r>
  <r>
    <x v="2"/>
    <x v="1"/>
    <x v="0"/>
    <n v="583"/>
    <x v="1"/>
    <n v="4"/>
    <x v="0"/>
    <n v="2"/>
    <s v="Life Sciences"/>
    <n v="1275"/>
    <n v="3"/>
    <x v="1"/>
    <n v="53"/>
    <n v="3"/>
    <n v="1"/>
    <x v="1"/>
    <x v="0"/>
    <x v="0"/>
    <x v="859"/>
    <n v="9973"/>
    <n v="1"/>
    <x v="0"/>
    <n v="20"/>
    <n v="4"/>
    <n v="2"/>
    <x v="0"/>
    <n v="8"/>
    <x v="0"/>
    <n v="2"/>
    <n v="2"/>
    <x v="0"/>
    <n v="5"/>
    <n v="2"/>
    <n v="2"/>
  </r>
  <r>
    <x v="0"/>
    <x v="0"/>
    <x v="0"/>
    <n v="1449"/>
    <x v="0"/>
    <n v="2"/>
    <x v="0"/>
    <n v="3"/>
    <s v="Marketing"/>
    <n v="1277"/>
    <n v="1"/>
    <x v="0"/>
    <n v="94"/>
    <n v="1"/>
    <n v="5"/>
    <x v="5"/>
    <x v="1"/>
    <x v="0"/>
    <x v="860"/>
    <n v="2493"/>
    <n v="2"/>
    <x v="0"/>
    <n v="16"/>
    <n v="3"/>
    <n v="1"/>
    <x v="0"/>
    <n v="26"/>
    <x v="2"/>
    <n v="2"/>
    <n v="3"/>
    <x v="3"/>
    <n v="10"/>
    <n v="1"/>
    <n v="11"/>
  </r>
  <r>
    <x v="1"/>
    <x v="1"/>
    <x v="2"/>
    <n v="177"/>
    <x v="1"/>
    <n v="8"/>
    <x v="1"/>
    <n v="1"/>
    <s v="Medical"/>
    <n v="1278"/>
    <n v="4"/>
    <x v="1"/>
    <n v="37"/>
    <n v="2"/>
    <n v="4"/>
    <x v="4"/>
    <x v="1"/>
    <x v="2"/>
    <x v="861"/>
    <n v="25592"/>
    <n v="1"/>
    <x v="0"/>
    <n v="15"/>
    <n v="3"/>
    <n v="4"/>
    <x v="1"/>
    <n v="34"/>
    <x v="2"/>
    <n v="3"/>
    <n v="3"/>
    <x v="3"/>
    <n v="9"/>
    <n v="15"/>
    <n v="0"/>
  </r>
  <r>
    <x v="3"/>
    <x v="0"/>
    <x v="1"/>
    <n v="251"/>
    <x v="1"/>
    <n v="10"/>
    <x v="1"/>
    <n v="2"/>
    <s v="Life Sciences"/>
    <n v="1279"/>
    <n v="1"/>
    <x v="0"/>
    <n v="45"/>
    <n v="2"/>
    <n v="1"/>
    <x v="2"/>
    <x v="2"/>
    <x v="0"/>
    <x v="862"/>
    <n v="25308"/>
    <n v="1"/>
    <x v="1"/>
    <n v="20"/>
    <n v="4"/>
    <n v="3"/>
    <x v="0"/>
    <n v="2"/>
    <x v="1"/>
    <n v="2"/>
    <n v="1"/>
    <x v="1"/>
    <n v="2"/>
    <n v="2"/>
    <n v="2"/>
  </r>
  <r>
    <x v="1"/>
    <x v="1"/>
    <x v="0"/>
    <n v="168"/>
    <x v="0"/>
    <n v="4"/>
    <x v="0"/>
    <n v="2"/>
    <s v="Marketing"/>
    <n v="1280"/>
    <n v="4"/>
    <x v="0"/>
    <n v="33"/>
    <n v="2"/>
    <n v="5"/>
    <x v="5"/>
    <x v="1"/>
    <x v="1"/>
    <x v="863"/>
    <n v="9946"/>
    <n v="2"/>
    <x v="1"/>
    <n v="14"/>
    <n v="3"/>
    <n v="3"/>
    <x v="1"/>
    <n v="26"/>
    <x v="2"/>
    <n v="2"/>
    <n v="3"/>
    <x v="3"/>
    <n v="4"/>
    <n v="0"/>
    <n v="8"/>
  </r>
  <r>
    <x v="2"/>
    <x v="1"/>
    <x v="0"/>
    <n v="131"/>
    <x v="0"/>
    <n v="2"/>
    <x v="0"/>
    <n v="3"/>
    <s v="Marketing"/>
    <n v="1281"/>
    <n v="3"/>
    <x v="0"/>
    <n v="86"/>
    <n v="3"/>
    <n v="2"/>
    <x v="0"/>
    <x v="3"/>
    <x v="0"/>
    <x v="864"/>
    <n v="6039"/>
    <n v="0"/>
    <x v="0"/>
    <n v="12"/>
    <n v="3"/>
    <n v="4"/>
    <x v="0"/>
    <n v="4"/>
    <x v="1"/>
    <n v="3"/>
    <n v="3"/>
    <x v="2"/>
    <n v="2"/>
    <n v="0"/>
    <n v="2"/>
  </r>
  <r>
    <x v="1"/>
    <x v="1"/>
    <x v="1"/>
    <n v="237"/>
    <x v="0"/>
    <n v="9"/>
    <x v="1"/>
    <n v="3"/>
    <s v="Life Sciences"/>
    <n v="1282"/>
    <n v="4"/>
    <x v="1"/>
    <n v="83"/>
    <n v="3"/>
    <n v="5"/>
    <x v="5"/>
    <x v="1"/>
    <x v="2"/>
    <x v="865"/>
    <n v="19196"/>
    <n v="4"/>
    <x v="0"/>
    <n v="24"/>
    <n v="4"/>
    <n v="1"/>
    <x v="1"/>
    <n v="31"/>
    <x v="2"/>
    <n v="5"/>
    <n v="2"/>
    <x v="3"/>
    <n v="10"/>
    <n v="11"/>
    <n v="10"/>
  </r>
  <r>
    <x v="1"/>
    <x v="1"/>
    <x v="0"/>
    <n v="1429"/>
    <x v="1"/>
    <n v="18"/>
    <x v="2"/>
    <n v="4"/>
    <s v="Medical"/>
    <n v="1283"/>
    <n v="4"/>
    <x v="1"/>
    <n v="67"/>
    <n v="3"/>
    <n v="3"/>
    <x v="3"/>
    <x v="0"/>
    <x v="0"/>
    <x v="866"/>
    <n v="20002"/>
    <n v="6"/>
    <x v="1"/>
    <n v="12"/>
    <n v="3"/>
    <n v="4"/>
    <x v="0"/>
    <n v="25"/>
    <x v="2"/>
    <n v="6"/>
    <n v="2"/>
    <x v="0"/>
    <n v="7"/>
    <n v="5"/>
    <n v="4"/>
  </r>
  <r>
    <x v="2"/>
    <x v="1"/>
    <x v="1"/>
    <n v="135"/>
    <x v="1"/>
    <n v="19"/>
    <x v="2"/>
    <n v="3"/>
    <s v="Medical"/>
    <n v="1285"/>
    <n v="3"/>
    <x v="0"/>
    <n v="46"/>
    <n v="3"/>
    <n v="2"/>
    <x v="2"/>
    <x v="1"/>
    <x v="2"/>
    <x v="867"/>
    <n v="22534"/>
    <n v="4"/>
    <x v="1"/>
    <n v="13"/>
    <n v="3"/>
    <n v="3"/>
    <x v="3"/>
    <n v="15"/>
    <x v="0"/>
    <n v="2"/>
    <n v="4"/>
    <x v="3"/>
    <n v="8"/>
    <n v="5"/>
    <n v="10"/>
  </r>
  <r>
    <x v="2"/>
    <x v="1"/>
    <x v="1"/>
    <n v="791"/>
    <x v="1"/>
    <n v="1"/>
    <x v="0"/>
    <n v="4"/>
    <s v="Medical"/>
    <n v="1286"/>
    <n v="4"/>
    <x v="1"/>
    <n v="44"/>
    <n v="3"/>
    <n v="1"/>
    <x v="2"/>
    <x v="2"/>
    <x v="0"/>
    <x v="868"/>
    <n v="6842"/>
    <n v="0"/>
    <x v="0"/>
    <n v="11"/>
    <n v="3"/>
    <n v="3"/>
    <x v="0"/>
    <n v="5"/>
    <x v="1"/>
    <n v="2"/>
    <n v="2"/>
    <x v="2"/>
    <n v="2"/>
    <n v="0"/>
    <n v="2"/>
  </r>
  <r>
    <x v="0"/>
    <x v="1"/>
    <x v="0"/>
    <n v="1199"/>
    <x v="1"/>
    <n v="4"/>
    <x v="0"/>
    <n v="2"/>
    <s v="Life Sciences"/>
    <n v="1288"/>
    <n v="3"/>
    <x v="1"/>
    <n v="92"/>
    <n v="4"/>
    <n v="5"/>
    <x v="5"/>
    <x v="3"/>
    <x v="2"/>
    <x v="869"/>
    <n v="17477"/>
    <n v="1"/>
    <x v="1"/>
    <n v="14"/>
    <n v="3"/>
    <n v="4"/>
    <x v="3"/>
    <n v="26"/>
    <x v="2"/>
    <n v="4"/>
    <n v="2"/>
    <x v="3"/>
    <n v="9"/>
    <n v="14"/>
    <n v="13"/>
  </r>
  <r>
    <x v="2"/>
    <x v="1"/>
    <x v="1"/>
    <n v="648"/>
    <x v="2"/>
    <n v="11"/>
    <x v="1"/>
    <n v="3"/>
    <s v="Life Sciences"/>
    <n v="1289"/>
    <n v="3"/>
    <x v="1"/>
    <n v="56"/>
    <n v="2"/>
    <n v="2"/>
    <x v="8"/>
    <x v="1"/>
    <x v="1"/>
    <x v="870"/>
    <n v="21833"/>
    <n v="4"/>
    <x v="1"/>
    <n v="11"/>
    <n v="3"/>
    <n v="4"/>
    <x v="3"/>
    <n v="14"/>
    <x v="0"/>
    <n v="5"/>
    <n v="4"/>
    <x v="0"/>
    <n v="9"/>
    <n v="1"/>
    <n v="8"/>
  </r>
  <r>
    <x v="2"/>
    <x v="1"/>
    <x v="0"/>
    <n v="735"/>
    <x v="1"/>
    <n v="6"/>
    <x v="1"/>
    <n v="1"/>
    <s v="Life Sciences"/>
    <n v="1291"/>
    <n v="3"/>
    <x v="1"/>
    <n v="66"/>
    <n v="3"/>
    <n v="1"/>
    <x v="1"/>
    <x v="2"/>
    <x v="1"/>
    <x v="871"/>
    <n v="6020"/>
    <n v="0"/>
    <x v="0"/>
    <n v="14"/>
    <n v="3"/>
    <n v="4"/>
    <x v="0"/>
    <n v="4"/>
    <x v="1"/>
    <n v="3"/>
    <n v="3"/>
    <x v="2"/>
    <n v="2"/>
    <n v="2"/>
    <n v="2"/>
  </r>
  <r>
    <x v="0"/>
    <x v="1"/>
    <x v="0"/>
    <n v="603"/>
    <x v="1"/>
    <n v="7"/>
    <x v="1"/>
    <n v="4"/>
    <s v="Medical"/>
    <n v="1292"/>
    <n v="2"/>
    <x v="0"/>
    <n v="78"/>
    <n v="4"/>
    <n v="2"/>
    <x v="1"/>
    <x v="1"/>
    <x v="1"/>
    <x v="872"/>
    <n v="5628"/>
    <n v="6"/>
    <x v="0"/>
    <n v="16"/>
    <n v="3"/>
    <n v="4"/>
    <x v="0"/>
    <n v="18"/>
    <x v="2"/>
    <n v="2"/>
    <n v="3"/>
    <x v="1"/>
    <n v="0"/>
    <n v="0"/>
    <n v="0"/>
  </r>
  <r>
    <x v="0"/>
    <x v="1"/>
    <x v="0"/>
    <n v="531"/>
    <x v="0"/>
    <n v="4"/>
    <x v="0"/>
    <n v="4"/>
    <s v="Marketing"/>
    <n v="1293"/>
    <n v="4"/>
    <x v="0"/>
    <n v="56"/>
    <n v="2"/>
    <n v="3"/>
    <x v="0"/>
    <x v="0"/>
    <x v="0"/>
    <x v="873"/>
    <n v="20364"/>
    <n v="3"/>
    <x v="1"/>
    <n v="14"/>
    <n v="3"/>
    <n v="4"/>
    <x v="0"/>
    <n v="23"/>
    <x v="2"/>
    <n v="3"/>
    <n v="4"/>
    <x v="3"/>
    <n v="7"/>
    <n v="15"/>
    <n v="17"/>
  </r>
  <r>
    <x v="0"/>
    <x v="1"/>
    <x v="0"/>
    <n v="429"/>
    <x v="1"/>
    <n v="2"/>
    <x v="0"/>
    <n v="4"/>
    <s v="Life Sciences"/>
    <n v="1294"/>
    <n v="3"/>
    <x v="0"/>
    <n v="53"/>
    <n v="3"/>
    <n v="2"/>
    <x v="3"/>
    <x v="1"/>
    <x v="0"/>
    <x v="874"/>
    <n v="2323"/>
    <n v="9"/>
    <x v="0"/>
    <n v="11"/>
    <n v="3"/>
    <n v="4"/>
    <x v="0"/>
    <n v="18"/>
    <x v="2"/>
    <n v="2"/>
    <n v="3"/>
    <x v="3"/>
    <n v="14"/>
    <n v="5"/>
    <n v="12"/>
  </r>
  <r>
    <x v="0"/>
    <x v="0"/>
    <x v="0"/>
    <n v="621"/>
    <x v="1"/>
    <n v="15"/>
    <x v="1"/>
    <n v="3"/>
    <s v="Medical"/>
    <n v="1295"/>
    <n v="1"/>
    <x v="0"/>
    <n v="73"/>
    <n v="3"/>
    <n v="3"/>
    <x v="4"/>
    <x v="0"/>
    <x v="1"/>
    <x v="875"/>
    <n v="14075"/>
    <n v="1"/>
    <x v="1"/>
    <n v="11"/>
    <n v="3"/>
    <n v="4"/>
    <x v="1"/>
    <n v="10"/>
    <x v="0"/>
    <n v="2"/>
    <n v="3"/>
    <x v="0"/>
    <n v="7"/>
    <n v="0"/>
    <n v="5"/>
  </r>
  <r>
    <x v="2"/>
    <x v="1"/>
    <x v="1"/>
    <n v="193"/>
    <x v="1"/>
    <n v="2"/>
    <x v="0"/>
    <n v="3"/>
    <s v="Life Sciences"/>
    <n v="1296"/>
    <n v="4"/>
    <x v="1"/>
    <n v="52"/>
    <n v="2"/>
    <n v="1"/>
    <x v="2"/>
    <x v="0"/>
    <x v="1"/>
    <x v="876"/>
    <n v="14222"/>
    <n v="1"/>
    <x v="0"/>
    <n v="12"/>
    <n v="3"/>
    <n v="2"/>
    <x v="1"/>
    <n v="2"/>
    <x v="1"/>
    <n v="2"/>
    <n v="3"/>
    <x v="1"/>
    <n v="2"/>
    <n v="2"/>
    <n v="2"/>
  </r>
  <r>
    <x v="1"/>
    <x v="1"/>
    <x v="1"/>
    <n v="968"/>
    <x v="1"/>
    <n v="6"/>
    <x v="1"/>
    <n v="2"/>
    <s v="Medical"/>
    <n v="1297"/>
    <n v="2"/>
    <x v="0"/>
    <n v="40"/>
    <n v="2"/>
    <n v="1"/>
    <x v="2"/>
    <x v="2"/>
    <x v="0"/>
    <x v="877"/>
    <n v="4257"/>
    <n v="0"/>
    <x v="1"/>
    <n v="14"/>
    <n v="3"/>
    <n v="2"/>
    <x v="0"/>
    <n v="8"/>
    <x v="0"/>
    <n v="6"/>
    <n v="2"/>
    <x v="0"/>
    <n v="0"/>
    <n v="7"/>
    <n v="7"/>
  </r>
  <r>
    <x v="2"/>
    <x v="1"/>
    <x v="2"/>
    <n v="879"/>
    <x v="1"/>
    <n v="9"/>
    <x v="1"/>
    <n v="2"/>
    <s v="Medical"/>
    <n v="1298"/>
    <n v="3"/>
    <x v="0"/>
    <n v="72"/>
    <n v="3"/>
    <n v="2"/>
    <x v="3"/>
    <x v="2"/>
    <x v="0"/>
    <x v="878"/>
    <n v="12858"/>
    <n v="7"/>
    <x v="0"/>
    <n v="18"/>
    <n v="3"/>
    <n v="3"/>
    <x v="0"/>
    <n v="10"/>
    <x v="0"/>
    <n v="3"/>
    <n v="3"/>
    <x v="0"/>
    <n v="4"/>
    <n v="1"/>
    <n v="7"/>
  </r>
  <r>
    <x v="2"/>
    <x v="0"/>
    <x v="0"/>
    <n v="806"/>
    <x v="1"/>
    <n v="7"/>
    <x v="1"/>
    <n v="3"/>
    <s v="Technical Degree"/>
    <n v="1299"/>
    <n v="2"/>
    <x v="0"/>
    <n v="39"/>
    <n v="3"/>
    <n v="1"/>
    <x v="2"/>
    <x v="2"/>
    <x v="2"/>
    <x v="879"/>
    <n v="17285"/>
    <n v="3"/>
    <x v="0"/>
    <n v="13"/>
    <n v="3"/>
    <n v="1"/>
    <x v="3"/>
    <n v="10"/>
    <x v="0"/>
    <n v="2"/>
    <n v="3"/>
    <x v="0"/>
    <n v="7"/>
    <n v="7"/>
    <n v="7"/>
  </r>
  <r>
    <x v="2"/>
    <x v="1"/>
    <x v="0"/>
    <n v="640"/>
    <x v="1"/>
    <n v="1"/>
    <x v="0"/>
    <n v="3"/>
    <s v="Technical Degree"/>
    <n v="1301"/>
    <n v="4"/>
    <x v="1"/>
    <n v="84"/>
    <n v="3"/>
    <n v="1"/>
    <x v="1"/>
    <x v="3"/>
    <x v="0"/>
    <x v="880"/>
    <n v="4732"/>
    <n v="2"/>
    <x v="1"/>
    <n v="11"/>
    <n v="3"/>
    <n v="2"/>
    <x v="0"/>
    <n v="5"/>
    <x v="1"/>
    <n v="2"/>
    <n v="2"/>
    <x v="2"/>
    <n v="2"/>
    <n v="1"/>
    <n v="2"/>
  </r>
  <r>
    <x v="3"/>
    <x v="1"/>
    <x v="0"/>
    <n v="266"/>
    <x v="1"/>
    <n v="1"/>
    <x v="0"/>
    <n v="3"/>
    <s v="Medical"/>
    <n v="1303"/>
    <n v="4"/>
    <x v="0"/>
    <n v="40"/>
    <n v="3"/>
    <n v="1"/>
    <x v="1"/>
    <x v="1"/>
    <x v="0"/>
    <x v="461"/>
    <n v="18830"/>
    <n v="1"/>
    <x v="1"/>
    <n v="18"/>
    <n v="3"/>
    <n v="4"/>
    <x v="0"/>
    <n v="2"/>
    <x v="1"/>
    <n v="3"/>
    <n v="2"/>
    <x v="1"/>
    <n v="2"/>
    <n v="2"/>
    <n v="1"/>
  </r>
  <r>
    <x v="2"/>
    <x v="1"/>
    <x v="0"/>
    <n v="604"/>
    <x v="0"/>
    <n v="8"/>
    <x v="1"/>
    <n v="3"/>
    <s v="Medical"/>
    <n v="1304"/>
    <n v="3"/>
    <x v="1"/>
    <n v="56"/>
    <n v="4"/>
    <n v="2"/>
    <x v="0"/>
    <x v="0"/>
    <x v="1"/>
    <x v="881"/>
    <n v="11693"/>
    <n v="1"/>
    <x v="1"/>
    <n v="15"/>
    <n v="3"/>
    <n v="3"/>
    <x v="3"/>
    <n v="10"/>
    <x v="0"/>
    <n v="4"/>
    <n v="4"/>
    <x v="0"/>
    <n v="7"/>
    <n v="0"/>
    <n v="8"/>
  </r>
  <r>
    <x v="0"/>
    <x v="1"/>
    <x v="1"/>
    <n v="364"/>
    <x v="1"/>
    <n v="25"/>
    <x v="2"/>
    <n v="3"/>
    <s v="Medical"/>
    <n v="1306"/>
    <n v="2"/>
    <x v="0"/>
    <n v="83"/>
    <n v="3"/>
    <n v="5"/>
    <x v="5"/>
    <x v="1"/>
    <x v="0"/>
    <x v="882"/>
    <n v="13035"/>
    <n v="3"/>
    <x v="1"/>
    <n v="22"/>
    <n v="4"/>
    <n v="3"/>
    <x v="0"/>
    <n v="22"/>
    <x v="2"/>
    <n v="4"/>
    <n v="3"/>
    <x v="1"/>
    <n v="0"/>
    <n v="0"/>
    <n v="0"/>
  </r>
  <r>
    <x v="0"/>
    <x v="1"/>
    <x v="0"/>
    <n v="412"/>
    <x v="1"/>
    <n v="13"/>
    <x v="1"/>
    <n v="4"/>
    <s v="Medical"/>
    <n v="1307"/>
    <n v="3"/>
    <x v="0"/>
    <n v="94"/>
    <n v="2"/>
    <n v="4"/>
    <x v="5"/>
    <x v="1"/>
    <x v="2"/>
    <x v="883"/>
    <n v="17334"/>
    <n v="6"/>
    <x v="0"/>
    <n v="13"/>
    <n v="3"/>
    <n v="4"/>
    <x v="3"/>
    <n v="21"/>
    <x v="2"/>
    <n v="4"/>
    <n v="3"/>
    <x v="3"/>
    <n v="9"/>
    <n v="15"/>
    <n v="2"/>
  </r>
  <r>
    <x v="1"/>
    <x v="1"/>
    <x v="0"/>
    <n v="848"/>
    <x v="1"/>
    <n v="23"/>
    <x v="2"/>
    <n v="4"/>
    <s v="Life Sciences"/>
    <n v="1308"/>
    <n v="1"/>
    <x v="1"/>
    <n v="88"/>
    <n v="3"/>
    <n v="1"/>
    <x v="1"/>
    <x v="2"/>
    <x v="2"/>
    <x v="872"/>
    <n v="26076"/>
    <n v="1"/>
    <x v="1"/>
    <n v="12"/>
    <n v="3"/>
    <n v="4"/>
    <x v="3"/>
    <n v="2"/>
    <x v="1"/>
    <n v="3"/>
    <n v="3"/>
    <x v="1"/>
    <n v="2"/>
    <n v="2"/>
    <n v="2"/>
  </r>
  <r>
    <x v="2"/>
    <x v="0"/>
    <x v="0"/>
    <n v="1089"/>
    <x v="1"/>
    <n v="7"/>
    <x v="1"/>
    <n v="2"/>
    <s v="Life Sciences"/>
    <n v="1309"/>
    <n v="4"/>
    <x v="1"/>
    <n v="79"/>
    <n v="3"/>
    <n v="2"/>
    <x v="2"/>
    <x v="2"/>
    <x v="1"/>
    <x v="884"/>
    <n v="22845"/>
    <n v="1"/>
    <x v="1"/>
    <n v="18"/>
    <n v="3"/>
    <n v="1"/>
    <x v="1"/>
    <n v="10"/>
    <x v="0"/>
    <n v="3"/>
    <n v="3"/>
    <x v="0"/>
    <n v="4"/>
    <n v="1"/>
    <n v="1"/>
  </r>
  <r>
    <x v="0"/>
    <x v="0"/>
    <x v="0"/>
    <n v="360"/>
    <x v="1"/>
    <n v="23"/>
    <x v="2"/>
    <n v="3"/>
    <s v="Medical"/>
    <n v="1310"/>
    <n v="3"/>
    <x v="1"/>
    <n v="93"/>
    <n v="3"/>
    <n v="1"/>
    <x v="1"/>
    <x v="3"/>
    <x v="0"/>
    <x v="885"/>
    <n v="22154"/>
    <n v="0"/>
    <x v="1"/>
    <n v="13"/>
    <n v="3"/>
    <n v="1"/>
    <x v="0"/>
    <n v="6"/>
    <x v="0"/>
    <n v="2"/>
    <n v="3"/>
    <x v="2"/>
    <n v="2"/>
    <n v="0"/>
    <n v="3"/>
  </r>
  <r>
    <x v="2"/>
    <x v="1"/>
    <x v="0"/>
    <n v="1138"/>
    <x v="1"/>
    <n v="6"/>
    <x v="1"/>
    <n v="3"/>
    <s v="Technical Degree"/>
    <n v="1311"/>
    <n v="1"/>
    <x v="0"/>
    <n v="48"/>
    <n v="2"/>
    <n v="2"/>
    <x v="2"/>
    <x v="0"/>
    <x v="1"/>
    <x v="886"/>
    <n v="23631"/>
    <n v="0"/>
    <x v="1"/>
    <n v="12"/>
    <n v="3"/>
    <n v="1"/>
    <x v="1"/>
    <n v="10"/>
    <x v="0"/>
    <n v="6"/>
    <n v="3"/>
    <x v="0"/>
    <n v="2"/>
    <n v="6"/>
    <n v="7"/>
  </r>
  <r>
    <x v="0"/>
    <x v="1"/>
    <x v="0"/>
    <n v="325"/>
    <x v="1"/>
    <n v="10"/>
    <x v="1"/>
    <n v="4"/>
    <s v="Technical Degree"/>
    <n v="1312"/>
    <n v="4"/>
    <x v="0"/>
    <n v="63"/>
    <n v="3"/>
    <n v="3"/>
    <x v="4"/>
    <x v="2"/>
    <x v="1"/>
    <x v="887"/>
    <n v="5747"/>
    <n v="3"/>
    <x v="1"/>
    <n v="12"/>
    <n v="3"/>
    <n v="1"/>
    <x v="0"/>
    <n v="10"/>
    <x v="0"/>
    <n v="0"/>
    <n v="3"/>
    <x v="0"/>
    <n v="7"/>
    <n v="1"/>
    <n v="7"/>
  </r>
  <r>
    <x v="1"/>
    <x v="1"/>
    <x v="0"/>
    <n v="991"/>
    <x v="2"/>
    <n v="1"/>
    <x v="0"/>
    <n v="2"/>
    <s v="Life Sciences"/>
    <n v="1314"/>
    <n v="4"/>
    <x v="0"/>
    <n v="44"/>
    <n v="3"/>
    <n v="1"/>
    <x v="8"/>
    <x v="3"/>
    <x v="0"/>
    <x v="888"/>
    <n v="22957"/>
    <n v="6"/>
    <x v="1"/>
    <n v="12"/>
    <n v="3"/>
    <n v="3"/>
    <x v="0"/>
    <n v="10"/>
    <x v="0"/>
    <n v="3"/>
    <n v="4"/>
    <x v="0"/>
    <n v="6"/>
    <n v="5"/>
    <n v="7"/>
  </r>
  <r>
    <x v="2"/>
    <x v="1"/>
    <x v="2"/>
    <n v="1476"/>
    <x v="1"/>
    <n v="1"/>
    <x v="0"/>
    <n v="3"/>
    <s v="Life Sciences"/>
    <n v="1315"/>
    <n v="3"/>
    <x v="0"/>
    <n v="55"/>
    <n v="1"/>
    <n v="2"/>
    <x v="2"/>
    <x v="0"/>
    <x v="1"/>
    <x v="889"/>
    <n v="16392"/>
    <n v="0"/>
    <x v="1"/>
    <n v="11"/>
    <n v="3"/>
    <n v="1"/>
    <x v="2"/>
    <n v="10"/>
    <x v="0"/>
    <n v="6"/>
    <n v="3"/>
    <x v="0"/>
    <n v="8"/>
    <n v="7"/>
    <n v="5"/>
  </r>
  <r>
    <x v="1"/>
    <x v="1"/>
    <x v="0"/>
    <n v="1322"/>
    <x v="1"/>
    <n v="28"/>
    <x v="2"/>
    <n v="3"/>
    <s v="Life Sciences"/>
    <n v="1317"/>
    <n v="4"/>
    <x v="0"/>
    <n v="43"/>
    <n v="3"/>
    <n v="4"/>
    <x v="7"/>
    <x v="3"/>
    <x v="1"/>
    <x v="890"/>
    <n v="22422"/>
    <n v="4"/>
    <x v="0"/>
    <n v="11"/>
    <n v="3"/>
    <n v="2"/>
    <x v="0"/>
    <n v="25"/>
    <x v="2"/>
    <n v="2"/>
    <n v="3"/>
    <x v="2"/>
    <n v="2"/>
    <n v="1"/>
    <n v="2"/>
  </r>
  <r>
    <x v="0"/>
    <x v="0"/>
    <x v="0"/>
    <n v="299"/>
    <x v="0"/>
    <n v="25"/>
    <x v="2"/>
    <n v="4"/>
    <s v="Marketing"/>
    <n v="1318"/>
    <n v="4"/>
    <x v="1"/>
    <n v="57"/>
    <n v="2"/>
    <n v="3"/>
    <x v="0"/>
    <x v="1"/>
    <x v="0"/>
    <x v="891"/>
    <n v="17235"/>
    <n v="2"/>
    <x v="0"/>
    <n v="12"/>
    <n v="3"/>
    <n v="3"/>
    <x v="0"/>
    <n v="9"/>
    <x v="0"/>
    <n v="2"/>
    <n v="3"/>
    <x v="2"/>
    <n v="4"/>
    <n v="1"/>
    <n v="0"/>
  </r>
  <r>
    <x v="1"/>
    <x v="0"/>
    <x v="0"/>
    <n v="1030"/>
    <x v="0"/>
    <n v="5"/>
    <x v="0"/>
    <n v="3"/>
    <s v="Life Sciences"/>
    <n v="1319"/>
    <n v="2"/>
    <x v="1"/>
    <n v="64"/>
    <n v="3"/>
    <n v="3"/>
    <x v="0"/>
    <x v="1"/>
    <x v="0"/>
    <x v="892"/>
    <n v="21534"/>
    <n v="9"/>
    <x v="0"/>
    <n v="19"/>
    <n v="3"/>
    <n v="3"/>
    <x v="0"/>
    <n v="10"/>
    <x v="0"/>
    <n v="2"/>
    <n v="2"/>
    <x v="0"/>
    <n v="7"/>
    <n v="7"/>
    <n v="7"/>
  </r>
  <r>
    <x v="2"/>
    <x v="1"/>
    <x v="0"/>
    <n v="634"/>
    <x v="1"/>
    <n v="17"/>
    <x v="2"/>
    <n v="4"/>
    <s v="Medical"/>
    <n v="1321"/>
    <n v="2"/>
    <x v="0"/>
    <n v="95"/>
    <n v="3"/>
    <n v="3"/>
    <x v="5"/>
    <x v="3"/>
    <x v="1"/>
    <x v="893"/>
    <n v="25927"/>
    <n v="1"/>
    <x v="0"/>
    <n v="23"/>
    <n v="4"/>
    <n v="4"/>
    <x v="3"/>
    <n v="9"/>
    <x v="0"/>
    <n v="2"/>
    <n v="3"/>
    <x v="0"/>
    <n v="1"/>
    <n v="0"/>
    <n v="8"/>
  </r>
  <r>
    <x v="0"/>
    <x v="1"/>
    <x v="0"/>
    <n v="524"/>
    <x v="1"/>
    <n v="18"/>
    <x v="2"/>
    <n v="2"/>
    <s v="Life Sciences"/>
    <n v="1322"/>
    <n v="1"/>
    <x v="1"/>
    <n v="32"/>
    <n v="3"/>
    <n v="2"/>
    <x v="3"/>
    <x v="2"/>
    <x v="0"/>
    <x v="894"/>
    <n v="13352"/>
    <n v="0"/>
    <x v="1"/>
    <n v="11"/>
    <n v="3"/>
    <n v="1"/>
    <x v="0"/>
    <n v="9"/>
    <x v="0"/>
    <n v="6"/>
    <n v="3"/>
    <x v="0"/>
    <n v="7"/>
    <n v="1"/>
    <n v="7"/>
  </r>
  <r>
    <x v="2"/>
    <x v="1"/>
    <x v="2"/>
    <n v="587"/>
    <x v="0"/>
    <n v="2"/>
    <x v="0"/>
    <n v="4"/>
    <s v="Life Sciences"/>
    <n v="1324"/>
    <n v="4"/>
    <x v="0"/>
    <n v="57"/>
    <n v="3"/>
    <n v="3"/>
    <x v="0"/>
    <x v="2"/>
    <x v="2"/>
    <x v="895"/>
    <n v="8935"/>
    <n v="1"/>
    <x v="0"/>
    <n v="19"/>
    <n v="3"/>
    <n v="1"/>
    <x v="1"/>
    <n v="10"/>
    <x v="0"/>
    <n v="5"/>
    <n v="2"/>
    <x v="0"/>
    <n v="8"/>
    <n v="9"/>
    <n v="6"/>
  </r>
  <r>
    <x v="0"/>
    <x v="1"/>
    <x v="2"/>
    <n v="256"/>
    <x v="0"/>
    <n v="10"/>
    <x v="1"/>
    <n v="2"/>
    <s v="Medical"/>
    <n v="1329"/>
    <n v="3"/>
    <x v="1"/>
    <n v="40"/>
    <n v="1"/>
    <n v="2"/>
    <x v="0"/>
    <x v="1"/>
    <x v="0"/>
    <x v="896"/>
    <n v="22074"/>
    <n v="1"/>
    <x v="1"/>
    <n v="13"/>
    <n v="3"/>
    <n v="1"/>
    <x v="0"/>
    <n v="19"/>
    <x v="2"/>
    <n v="4"/>
    <n v="3"/>
    <x v="3"/>
    <n v="2"/>
    <n v="11"/>
    <n v="9"/>
  </r>
  <r>
    <x v="2"/>
    <x v="0"/>
    <x v="1"/>
    <n v="1060"/>
    <x v="0"/>
    <n v="1"/>
    <x v="0"/>
    <n v="3"/>
    <s v="Life Sciences"/>
    <n v="1331"/>
    <n v="4"/>
    <x v="0"/>
    <n v="54"/>
    <n v="3"/>
    <n v="1"/>
    <x v="6"/>
    <x v="1"/>
    <x v="0"/>
    <x v="897"/>
    <n v="8319"/>
    <n v="1"/>
    <x v="0"/>
    <n v="11"/>
    <n v="3"/>
    <n v="1"/>
    <x v="0"/>
    <n v="3"/>
    <x v="1"/>
    <n v="2"/>
    <n v="4"/>
    <x v="2"/>
    <n v="2"/>
    <n v="2"/>
    <n v="2"/>
  </r>
  <r>
    <x v="0"/>
    <x v="0"/>
    <x v="0"/>
    <n v="935"/>
    <x v="1"/>
    <n v="3"/>
    <x v="0"/>
    <n v="3"/>
    <s v="Life Sciences"/>
    <n v="1333"/>
    <n v="1"/>
    <x v="1"/>
    <n v="89"/>
    <n v="3"/>
    <n v="1"/>
    <x v="2"/>
    <x v="3"/>
    <x v="1"/>
    <x v="898"/>
    <n v="14669"/>
    <n v="4"/>
    <x v="1"/>
    <n v="12"/>
    <n v="3"/>
    <n v="3"/>
    <x v="0"/>
    <n v="10"/>
    <x v="0"/>
    <n v="4"/>
    <n v="4"/>
    <x v="2"/>
    <n v="2"/>
    <n v="1"/>
    <n v="2"/>
  </r>
  <r>
    <x v="0"/>
    <x v="1"/>
    <x v="2"/>
    <n v="495"/>
    <x v="1"/>
    <n v="2"/>
    <x v="0"/>
    <n v="1"/>
    <s v="Life Sciences"/>
    <n v="1334"/>
    <n v="3"/>
    <x v="1"/>
    <n v="37"/>
    <n v="3"/>
    <n v="4"/>
    <x v="5"/>
    <x v="2"/>
    <x v="1"/>
    <x v="417"/>
    <n v="26582"/>
    <n v="0"/>
    <x v="0"/>
    <n v="13"/>
    <n v="3"/>
    <n v="4"/>
    <x v="0"/>
    <n v="21"/>
    <x v="2"/>
    <n v="3"/>
    <n v="2"/>
    <x v="3"/>
    <n v="8"/>
    <n v="2"/>
    <n v="10"/>
  </r>
  <r>
    <x v="1"/>
    <x v="1"/>
    <x v="0"/>
    <n v="282"/>
    <x v="1"/>
    <n v="2"/>
    <x v="0"/>
    <n v="2"/>
    <s v="Medical"/>
    <n v="1336"/>
    <n v="4"/>
    <x v="0"/>
    <n v="58"/>
    <n v="1"/>
    <n v="5"/>
    <x v="5"/>
    <x v="2"/>
    <x v="1"/>
    <x v="899"/>
    <n v="6992"/>
    <n v="4"/>
    <x v="1"/>
    <n v="14"/>
    <n v="3"/>
    <n v="4"/>
    <x v="1"/>
    <n v="23"/>
    <x v="2"/>
    <n v="5"/>
    <n v="3"/>
    <x v="3"/>
    <n v="9"/>
    <n v="9"/>
    <n v="11"/>
  </r>
  <r>
    <x v="1"/>
    <x v="1"/>
    <x v="0"/>
    <n v="206"/>
    <x v="2"/>
    <n v="8"/>
    <x v="1"/>
    <n v="4"/>
    <s v="Life Sciences"/>
    <n v="1338"/>
    <n v="4"/>
    <x v="1"/>
    <n v="99"/>
    <n v="3"/>
    <n v="5"/>
    <x v="5"/>
    <x v="1"/>
    <x v="0"/>
    <x v="900"/>
    <n v="4022"/>
    <n v="6"/>
    <x v="1"/>
    <n v="14"/>
    <n v="3"/>
    <n v="1"/>
    <x v="0"/>
    <n v="36"/>
    <x v="2"/>
    <n v="4"/>
    <n v="3"/>
    <x v="0"/>
    <n v="3"/>
    <n v="7"/>
    <n v="7"/>
  </r>
  <r>
    <x v="0"/>
    <x v="1"/>
    <x v="2"/>
    <n v="458"/>
    <x v="1"/>
    <n v="16"/>
    <x v="2"/>
    <n v="2"/>
    <s v="Life Sciences"/>
    <n v="1340"/>
    <n v="3"/>
    <x v="1"/>
    <n v="74"/>
    <n v="3"/>
    <n v="1"/>
    <x v="1"/>
    <x v="2"/>
    <x v="2"/>
    <x v="901"/>
    <n v="8532"/>
    <n v="9"/>
    <x v="1"/>
    <n v="16"/>
    <n v="3"/>
    <n v="2"/>
    <x v="1"/>
    <n v="6"/>
    <x v="0"/>
    <n v="0"/>
    <n v="3"/>
    <x v="2"/>
    <n v="2"/>
    <n v="0"/>
    <n v="0"/>
  </r>
  <r>
    <x v="2"/>
    <x v="1"/>
    <x v="0"/>
    <n v="943"/>
    <x v="1"/>
    <n v="9"/>
    <x v="1"/>
    <n v="3"/>
    <s v="Life Sciences"/>
    <n v="1344"/>
    <n v="4"/>
    <x v="1"/>
    <n v="86"/>
    <n v="3"/>
    <n v="3"/>
    <x v="4"/>
    <x v="0"/>
    <x v="2"/>
    <x v="902"/>
    <n v="5494"/>
    <n v="0"/>
    <x v="1"/>
    <n v="11"/>
    <n v="3"/>
    <n v="4"/>
    <x v="1"/>
    <n v="10"/>
    <x v="0"/>
    <n v="0"/>
    <n v="2"/>
    <x v="0"/>
    <n v="7"/>
    <n v="1"/>
    <n v="6"/>
  </r>
  <r>
    <x v="0"/>
    <x v="1"/>
    <x v="0"/>
    <n v="523"/>
    <x v="1"/>
    <n v="2"/>
    <x v="0"/>
    <n v="3"/>
    <s v="Life Sciences"/>
    <n v="1346"/>
    <n v="3"/>
    <x v="1"/>
    <n v="98"/>
    <n v="3"/>
    <n v="2"/>
    <x v="1"/>
    <x v="0"/>
    <x v="0"/>
    <x v="903"/>
    <n v="22455"/>
    <n v="1"/>
    <x v="1"/>
    <n v="13"/>
    <n v="3"/>
    <n v="3"/>
    <x v="0"/>
    <n v="9"/>
    <x v="0"/>
    <n v="4"/>
    <n v="3"/>
    <x v="0"/>
    <n v="8"/>
    <n v="8"/>
    <n v="8"/>
  </r>
  <r>
    <x v="0"/>
    <x v="1"/>
    <x v="1"/>
    <n v="1018"/>
    <x v="0"/>
    <n v="1"/>
    <x v="0"/>
    <n v="3"/>
    <s v="Marketing"/>
    <n v="1349"/>
    <n v="3"/>
    <x v="0"/>
    <n v="66"/>
    <n v="3"/>
    <n v="2"/>
    <x v="0"/>
    <x v="3"/>
    <x v="2"/>
    <x v="904"/>
    <n v="4297"/>
    <n v="0"/>
    <x v="1"/>
    <n v="17"/>
    <n v="3"/>
    <n v="4"/>
    <x v="1"/>
    <n v="10"/>
    <x v="0"/>
    <n v="2"/>
    <n v="3"/>
    <x v="0"/>
    <n v="3"/>
    <n v="1"/>
    <n v="7"/>
  </r>
  <r>
    <x v="2"/>
    <x v="1"/>
    <x v="1"/>
    <n v="482"/>
    <x v="1"/>
    <n v="4"/>
    <x v="0"/>
    <n v="4"/>
    <s v="Life Sciences"/>
    <n v="1350"/>
    <n v="3"/>
    <x v="1"/>
    <n v="87"/>
    <n v="3"/>
    <n v="2"/>
    <x v="1"/>
    <x v="2"/>
    <x v="0"/>
    <x v="905"/>
    <n v="2690"/>
    <n v="1"/>
    <x v="0"/>
    <n v="11"/>
    <n v="3"/>
    <n v="2"/>
    <x v="0"/>
    <n v="9"/>
    <x v="0"/>
    <n v="3"/>
    <n v="3"/>
    <x v="0"/>
    <n v="6"/>
    <n v="1"/>
    <n v="1"/>
  </r>
  <r>
    <x v="1"/>
    <x v="1"/>
    <x v="0"/>
    <n v="770"/>
    <x v="2"/>
    <n v="5"/>
    <x v="0"/>
    <n v="3"/>
    <s v="Life Sciences"/>
    <n v="1352"/>
    <n v="3"/>
    <x v="1"/>
    <n v="84"/>
    <n v="3"/>
    <n v="4"/>
    <x v="5"/>
    <x v="1"/>
    <x v="2"/>
    <x v="906"/>
    <n v="17588"/>
    <n v="1"/>
    <x v="0"/>
    <n v="11"/>
    <n v="3"/>
    <n v="2"/>
    <x v="1"/>
    <n v="33"/>
    <x v="2"/>
    <n v="2"/>
    <n v="3"/>
    <x v="3"/>
    <n v="9"/>
    <n v="0"/>
    <n v="10"/>
  </r>
  <r>
    <x v="0"/>
    <x v="1"/>
    <x v="0"/>
    <n v="1009"/>
    <x v="0"/>
    <n v="2"/>
    <x v="0"/>
    <n v="2"/>
    <s v="Life Sciences"/>
    <n v="1355"/>
    <n v="2"/>
    <x v="0"/>
    <n v="31"/>
    <n v="3"/>
    <n v="2"/>
    <x v="0"/>
    <x v="3"/>
    <x v="2"/>
    <x v="907"/>
    <n v="19461"/>
    <n v="3"/>
    <x v="1"/>
    <n v="15"/>
    <n v="3"/>
    <n v="4"/>
    <x v="1"/>
    <n v="11"/>
    <x v="0"/>
    <n v="3"/>
    <n v="3"/>
    <x v="0"/>
    <n v="7"/>
    <n v="1"/>
    <n v="7"/>
  </r>
  <r>
    <x v="2"/>
    <x v="1"/>
    <x v="0"/>
    <n v="507"/>
    <x v="0"/>
    <n v="15"/>
    <x v="1"/>
    <n v="2"/>
    <s v="Medical"/>
    <n v="1356"/>
    <n v="3"/>
    <x v="0"/>
    <n v="66"/>
    <n v="3"/>
    <n v="2"/>
    <x v="0"/>
    <x v="3"/>
    <x v="0"/>
    <x v="908"/>
    <n v="23553"/>
    <n v="1"/>
    <x v="1"/>
    <n v="12"/>
    <n v="3"/>
    <n v="4"/>
    <x v="0"/>
    <n v="10"/>
    <x v="0"/>
    <n v="6"/>
    <n v="4"/>
    <x v="0"/>
    <n v="8"/>
    <n v="9"/>
    <n v="6"/>
  </r>
  <r>
    <x v="3"/>
    <x v="1"/>
    <x v="0"/>
    <n v="882"/>
    <x v="1"/>
    <n v="19"/>
    <x v="2"/>
    <n v="1"/>
    <s v="Medical"/>
    <n v="1358"/>
    <n v="4"/>
    <x v="1"/>
    <n v="67"/>
    <n v="3"/>
    <n v="1"/>
    <x v="2"/>
    <x v="0"/>
    <x v="1"/>
    <x v="909"/>
    <n v="9075"/>
    <n v="3"/>
    <x v="1"/>
    <n v="11"/>
    <n v="3"/>
    <n v="3"/>
    <x v="2"/>
    <n v="7"/>
    <x v="0"/>
    <n v="6"/>
    <n v="2"/>
    <x v="2"/>
    <n v="2"/>
    <n v="1"/>
    <n v="2"/>
  </r>
  <r>
    <x v="1"/>
    <x v="0"/>
    <x v="0"/>
    <n v="601"/>
    <x v="1"/>
    <n v="7"/>
    <x v="1"/>
    <n v="4"/>
    <s v="Medical"/>
    <n v="1360"/>
    <n v="3"/>
    <x v="0"/>
    <n v="53"/>
    <n v="2"/>
    <n v="3"/>
    <x v="3"/>
    <x v="3"/>
    <x v="1"/>
    <x v="910"/>
    <n v="12023"/>
    <n v="7"/>
    <x v="0"/>
    <n v="14"/>
    <n v="3"/>
    <n v="4"/>
    <x v="0"/>
    <n v="31"/>
    <x v="2"/>
    <n v="0"/>
    <n v="2"/>
    <x v="0"/>
    <n v="9"/>
    <n v="5"/>
    <n v="9"/>
  </r>
  <r>
    <x v="0"/>
    <x v="1"/>
    <x v="0"/>
    <n v="329"/>
    <x v="1"/>
    <n v="1"/>
    <x v="0"/>
    <n v="4"/>
    <s v="Life Sciences"/>
    <n v="1361"/>
    <n v="2"/>
    <x v="1"/>
    <n v="88"/>
    <n v="3"/>
    <n v="1"/>
    <x v="2"/>
    <x v="1"/>
    <x v="1"/>
    <x v="911"/>
    <n v="6762"/>
    <n v="3"/>
    <x v="1"/>
    <n v="22"/>
    <n v="4"/>
    <n v="3"/>
    <x v="1"/>
    <n v="7"/>
    <x v="0"/>
    <n v="3"/>
    <n v="3"/>
    <x v="2"/>
    <n v="2"/>
    <n v="0"/>
    <n v="3"/>
  </r>
  <r>
    <x v="0"/>
    <x v="1"/>
    <x v="1"/>
    <n v="607"/>
    <x v="0"/>
    <n v="7"/>
    <x v="1"/>
    <n v="3"/>
    <s v="Marketing"/>
    <n v="1362"/>
    <n v="1"/>
    <x v="0"/>
    <n v="83"/>
    <n v="4"/>
    <n v="2"/>
    <x v="0"/>
    <x v="3"/>
    <x v="1"/>
    <x v="912"/>
    <n v="2261"/>
    <n v="2"/>
    <x v="1"/>
    <n v="16"/>
    <n v="3"/>
    <n v="4"/>
    <x v="1"/>
    <n v="17"/>
    <x v="2"/>
    <n v="2"/>
    <n v="2"/>
    <x v="3"/>
    <n v="7"/>
    <n v="6"/>
    <n v="13"/>
  </r>
  <r>
    <x v="1"/>
    <x v="1"/>
    <x v="0"/>
    <n v="855"/>
    <x v="1"/>
    <n v="4"/>
    <x v="0"/>
    <n v="3"/>
    <s v="Life Sciences"/>
    <n v="1363"/>
    <n v="4"/>
    <x v="1"/>
    <n v="54"/>
    <n v="3"/>
    <n v="3"/>
    <x v="3"/>
    <x v="0"/>
    <x v="0"/>
    <x v="913"/>
    <n v="18706"/>
    <n v="1"/>
    <x v="1"/>
    <n v="11"/>
    <n v="3"/>
    <n v="3"/>
    <x v="0"/>
    <n v="11"/>
    <x v="0"/>
    <n v="2"/>
    <n v="3"/>
    <x v="0"/>
    <n v="9"/>
    <n v="0"/>
    <n v="8"/>
  </r>
  <r>
    <x v="2"/>
    <x v="1"/>
    <x v="0"/>
    <n v="1291"/>
    <x v="0"/>
    <n v="11"/>
    <x v="1"/>
    <n v="3"/>
    <s v="Medical"/>
    <n v="1364"/>
    <n v="3"/>
    <x v="0"/>
    <n v="98"/>
    <n v="4"/>
    <n v="1"/>
    <x v="6"/>
    <x v="0"/>
    <x v="1"/>
    <x v="914"/>
    <n v="6527"/>
    <n v="8"/>
    <x v="1"/>
    <n v="14"/>
    <n v="3"/>
    <n v="2"/>
    <x v="1"/>
    <n v="5"/>
    <x v="1"/>
    <n v="4"/>
    <n v="3"/>
    <x v="1"/>
    <n v="0"/>
    <n v="0"/>
    <n v="0"/>
  </r>
  <r>
    <x v="1"/>
    <x v="1"/>
    <x v="0"/>
    <n v="1405"/>
    <x v="1"/>
    <n v="11"/>
    <x v="1"/>
    <n v="2"/>
    <s v="Technical Degree"/>
    <n v="1367"/>
    <n v="4"/>
    <x v="0"/>
    <n v="82"/>
    <n v="2"/>
    <n v="4"/>
    <x v="3"/>
    <x v="1"/>
    <x v="0"/>
    <x v="915"/>
    <n v="24439"/>
    <n v="3"/>
    <x v="1"/>
    <n v="16"/>
    <n v="3"/>
    <n v="2"/>
    <x v="0"/>
    <n v="29"/>
    <x v="2"/>
    <n v="1"/>
    <n v="2"/>
    <x v="2"/>
    <n v="2"/>
    <n v="0"/>
    <n v="3"/>
  </r>
  <r>
    <x v="3"/>
    <x v="1"/>
    <x v="2"/>
    <n v="1124"/>
    <x v="1"/>
    <n v="1"/>
    <x v="0"/>
    <n v="3"/>
    <s v="Life Sciences"/>
    <n v="1368"/>
    <n v="4"/>
    <x v="0"/>
    <n v="97"/>
    <n v="3"/>
    <n v="1"/>
    <x v="2"/>
    <x v="0"/>
    <x v="0"/>
    <x v="916"/>
    <n v="19305"/>
    <n v="1"/>
    <x v="1"/>
    <n v="15"/>
    <n v="3"/>
    <n v="3"/>
    <x v="0"/>
    <n v="0"/>
    <x v="1"/>
    <n v="5"/>
    <n v="4"/>
    <x v="1"/>
    <n v="0"/>
    <n v="0"/>
    <n v="0"/>
  </r>
  <r>
    <x v="2"/>
    <x v="1"/>
    <x v="0"/>
    <n v="817"/>
    <x v="1"/>
    <n v="1"/>
    <x v="0"/>
    <n v="3"/>
    <s v="Medical"/>
    <n v="1369"/>
    <n v="4"/>
    <x v="0"/>
    <n v="60"/>
    <n v="2"/>
    <n v="2"/>
    <x v="2"/>
    <x v="0"/>
    <x v="1"/>
    <x v="917"/>
    <n v="10846"/>
    <n v="0"/>
    <x v="1"/>
    <n v="12"/>
    <n v="3"/>
    <n v="2"/>
    <x v="1"/>
    <n v="10"/>
    <x v="0"/>
    <n v="0"/>
    <n v="3"/>
    <x v="0"/>
    <n v="7"/>
    <n v="0"/>
    <n v="0"/>
  </r>
  <r>
    <x v="2"/>
    <x v="1"/>
    <x v="1"/>
    <n v="793"/>
    <x v="0"/>
    <n v="2"/>
    <x v="0"/>
    <n v="1"/>
    <s v="Life Sciences"/>
    <n v="1371"/>
    <n v="4"/>
    <x v="1"/>
    <n v="43"/>
    <n v="1"/>
    <n v="2"/>
    <x v="0"/>
    <x v="0"/>
    <x v="0"/>
    <x v="918"/>
    <n v="20392"/>
    <n v="3"/>
    <x v="1"/>
    <n v="20"/>
    <n v="4"/>
    <n v="2"/>
    <x v="0"/>
    <n v="8"/>
    <x v="0"/>
    <n v="3"/>
    <n v="3"/>
    <x v="0"/>
    <n v="2"/>
    <n v="0"/>
    <n v="0"/>
  </r>
  <r>
    <x v="1"/>
    <x v="0"/>
    <x v="0"/>
    <n v="267"/>
    <x v="0"/>
    <n v="13"/>
    <x v="1"/>
    <n v="4"/>
    <s v="Marketing"/>
    <n v="1372"/>
    <n v="1"/>
    <x v="1"/>
    <n v="85"/>
    <n v="4"/>
    <n v="4"/>
    <x v="0"/>
    <x v="2"/>
    <x v="0"/>
    <x v="919"/>
    <n v="9277"/>
    <n v="6"/>
    <x v="0"/>
    <n v="17"/>
    <n v="3"/>
    <n v="3"/>
    <x v="0"/>
    <n v="24"/>
    <x v="2"/>
    <n v="2"/>
    <n v="2"/>
    <x v="3"/>
    <n v="7"/>
    <n v="3"/>
    <n v="8"/>
  </r>
  <r>
    <x v="1"/>
    <x v="1"/>
    <x v="0"/>
    <n v="1369"/>
    <x v="1"/>
    <n v="23"/>
    <x v="2"/>
    <n v="3"/>
    <s v="Life Sciences"/>
    <n v="1373"/>
    <n v="4"/>
    <x v="1"/>
    <n v="68"/>
    <n v="3"/>
    <n v="4"/>
    <x v="3"/>
    <x v="1"/>
    <x v="1"/>
    <x v="920"/>
    <n v="18235"/>
    <n v="4"/>
    <x v="0"/>
    <n v="12"/>
    <n v="3"/>
    <n v="1"/>
    <x v="1"/>
    <n v="33"/>
    <x v="2"/>
    <n v="0"/>
    <n v="3"/>
    <x v="3"/>
    <n v="16"/>
    <n v="15"/>
    <n v="9"/>
  </r>
  <r>
    <x v="2"/>
    <x v="1"/>
    <x v="2"/>
    <n v="999"/>
    <x v="1"/>
    <n v="26"/>
    <x v="2"/>
    <n v="1"/>
    <s v="Technical Degree"/>
    <n v="1374"/>
    <n v="1"/>
    <x v="0"/>
    <n v="92"/>
    <n v="2"/>
    <n v="1"/>
    <x v="1"/>
    <x v="2"/>
    <x v="2"/>
    <x v="921"/>
    <n v="15891"/>
    <n v="1"/>
    <x v="1"/>
    <n v="20"/>
    <n v="4"/>
    <n v="3"/>
    <x v="2"/>
    <n v="5"/>
    <x v="1"/>
    <n v="2"/>
    <n v="3"/>
    <x v="2"/>
    <n v="4"/>
    <n v="0"/>
    <n v="0"/>
  </r>
  <r>
    <x v="0"/>
    <x v="1"/>
    <x v="0"/>
    <n v="1202"/>
    <x v="1"/>
    <n v="2"/>
    <x v="0"/>
    <n v="1"/>
    <s v="Medical"/>
    <n v="1375"/>
    <n v="2"/>
    <x v="0"/>
    <n v="89"/>
    <n v="4"/>
    <n v="2"/>
    <x v="4"/>
    <x v="2"/>
    <x v="2"/>
    <x v="922"/>
    <n v="13888"/>
    <n v="5"/>
    <x v="1"/>
    <n v="20"/>
    <n v="4"/>
    <n v="2"/>
    <x v="2"/>
    <n v="15"/>
    <x v="0"/>
    <n v="0"/>
    <n v="3"/>
    <x v="3"/>
    <n v="11"/>
    <n v="11"/>
    <n v="8"/>
  </r>
  <r>
    <x v="2"/>
    <x v="1"/>
    <x v="0"/>
    <n v="285"/>
    <x v="1"/>
    <n v="29"/>
    <x v="2"/>
    <n v="3"/>
    <s v="Medical"/>
    <n v="1377"/>
    <n v="2"/>
    <x v="1"/>
    <n v="86"/>
    <n v="3"/>
    <n v="2"/>
    <x v="2"/>
    <x v="2"/>
    <x v="1"/>
    <x v="923"/>
    <n v="17491"/>
    <n v="4"/>
    <x v="1"/>
    <n v="13"/>
    <n v="3"/>
    <n v="1"/>
    <x v="3"/>
    <n v="10"/>
    <x v="0"/>
    <n v="1"/>
    <n v="3"/>
    <x v="0"/>
    <n v="7"/>
    <n v="7"/>
    <n v="7"/>
  </r>
  <r>
    <x v="2"/>
    <x v="0"/>
    <x v="1"/>
    <n v="703"/>
    <x v="0"/>
    <n v="2"/>
    <x v="0"/>
    <n v="3"/>
    <s v="Life Sciences"/>
    <n v="1379"/>
    <n v="3"/>
    <x v="0"/>
    <n v="90"/>
    <n v="2"/>
    <n v="1"/>
    <x v="6"/>
    <x v="0"/>
    <x v="0"/>
    <x v="924"/>
    <n v="11882"/>
    <n v="7"/>
    <x v="1"/>
    <n v="14"/>
    <n v="3"/>
    <n v="3"/>
    <x v="0"/>
    <n v="3"/>
    <x v="1"/>
    <n v="3"/>
    <n v="4"/>
    <x v="1"/>
    <n v="0"/>
    <n v="0"/>
    <n v="0"/>
  </r>
  <r>
    <x v="2"/>
    <x v="0"/>
    <x v="1"/>
    <n v="662"/>
    <x v="0"/>
    <n v="18"/>
    <x v="2"/>
    <n v="4"/>
    <s v="Marketing"/>
    <n v="1380"/>
    <n v="4"/>
    <x v="0"/>
    <n v="67"/>
    <n v="3"/>
    <n v="2"/>
    <x v="0"/>
    <x v="2"/>
    <x v="1"/>
    <x v="925"/>
    <n v="23288"/>
    <n v="0"/>
    <x v="0"/>
    <n v="18"/>
    <n v="3"/>
    <n v="3"/>
    <x v="1"/>
    <n v="5"/>
    <x v="1"/>
    <n v="0"/>
    <n v="2"/>
    <x v="2"/>
    <n v="2"/>
    <n v="3"/>
    <n v="2"/>
  </r>
  <r>
    <x v="0"/>
    <x v="1"/>
    <x v="1"/>
    <n v="693"/>
    <x v="1"/>
    <n v="7"/>
    <x v="1"/>
    <n v="3"/>
    <s v="Life Sciences"/>
    <n v="1382"/>
    <n v="4"/>
    <x v="1"/>
    <n v="57"/>
    <n v="4"/>
    <n v="1"/>
    <x v="1"/>
    <x v="2"/>
    <x v="2"/>
    <x v="353"/>
    <n v="15748"/>
    <n v="1"/>
    <x v="1"/>
    <n v="11"/>
    <n v="3"/>
    <n v="4"/>
    <x v="2"/>
    <n v="4"/>
    <x v="1"/>
    <n v="2"/>
    <n v="3"/>
    <x v="2"/>
    <n v="2"/>
    <n v="0"/>
    <n v="3"/>
  </r>
  <r>
    <x v="2"/>
    <x v="1"/>
    <x v="0"/>
    <n v="404"/>
    <x v="1"/>
    <n v="2"/>
    <x v="0"/>
    <n v="4"/>
    <s v="Technical Degree"/>
    <n v="1383"/>
    <n v="3"/>
    <x v="0"/>
    <n v="98"/>
    <n v="3"/>
    <n v="2"/>
    <x v="4"/>
    <x v="0"/>
    <x v="0"/>
    <x v="926"/>
    <n v="6163"/>
    <n v="1"/>
    <x v="1"/>
    <n v="11"/>
    <n v="3"/>
    <n v="4"/>
    <x v="0"/>
    <n v="14"/>
    <x v="0"/>
    <n v="2"/>
    <n v="4"/>
    <x v="3"/>
    <n v="11"/>
    <n v="4"/>
    <n v="11"/>
  </r>
  <r>
    <x v="2"/>
    <x v="1"/>
    <x v="0"/>
    <n v="736"/>
    <x v="0"/>
    <n v="26"/>
    <x v="2"/>
    <n v="3"/>
    <s v="Life Sciences"/>
    <n v="1387"/>
    <n v="3"/>
    <x v="1"/>
    <n v="48"/>
    <n v="2"/>
    <n v="2"/>
    <x v="0"/>
    <x v="3"/>
    <x v="1"/>
    <x v="927"/>
    <n v="24232"/>
    <n v="1"/>
    <x v="1"/>
    <n v="11"/>
    <n v="3"/>
    <n v="3"/>
    <x v="1"/>
    <n v="5"/>
    <x v="1"/>
    <n v="0"/>
    <n v="3"/>
    <x v="2"/>
    <n v="3"/>
    <n v="0"/>
    <n v="4"/>
  </r>
  <r>
    <x v="2"/>
    <x v="0"/>
    <x v="0"/>
    <n v="330"/>
    <x v="1"/>
    <n v="22"/>
    <x v="2"/>
    <n v="4"/>
    <s v="Medical"/>
    <n v="1389"/>
    <n v="4"/>
    <x v="1"/>
    <n v="98"/>
    <n v="3"/>
    <n v="2"/>
    <x v="3"/>
    <x v="2"/>
    <x v="1"/>
    <x v="928"/>
    <n v="21057"/>
    <n v="1"/>
    <x v="0"/>
    <n v="15"/>
    <n v="3"/>
    <n v="4"/>
    <x v="3"/>
    <n v="10"/>
    <x v="0"/>
    <n v="3"/>
    <n v="2"/>
    <x v="0"/>
    <n v="2"/>
    <n v="6"/>
    <n v="7"/>
  </r>
  <r>
    <x v="0"/>
    <x v="1"/>
    <x v="0"/>
    <n v="1498"/>
    <x v="0"/>
    <n v="21"/>
    <x v="2"/>
    <n v="4"/>
    <s v="Life Sciences"/>
    <n v="1390"/>
    <n v="1"/>
    <x v="1"/>
    <n v="44"/>
    <n v="2"/>
    <n v="2"/>
    <x v="0"/>
    <x v="0"/>
    <x v="1"/>
    <x v="929"/>
    <n v="3567"/>
    <n v="3"/>
    <x v="0"/>
    <n v="12"/>
    <n v="3"/>
    <n v="4"/>
    <x v="3"/>
    <n v="8"/>
    <x v="0"/>
    <n v="2"/>
    <n v="4"/>
    <x v="2"/>
    <n v="4"/>
    <n v="1"/>
    <n v="4"/>
  </r>
  <r>
    <x v="1"/>
    <x v="1"/>
    <x v="1"/>
    <n v="541"/>
    <x v="0"/>
    <n v="2"/>
    <x v="0"/>
    <n v="3"/>
    <s v="Marketing"/>
    <n v="1391"/>
    <n v="2"/>
    <x v="1"/>
    <n v="52"/>
    <n v="3"/>
    <n v="3"/>
    <x v="0"/>
    <x v="1"/>
    <x v="1"/>
    <x v="930"/>
    <n v="15395"/>
    <n v="2"/>
    <x v="1"/>
    <n v="11"/>
    <n v="3"/>
    <n v="2"/>
    <x v="0"/>
    <n v="14"/>
    <x v="0"/>
    <n v="5"/>
    <n v="3"/>
    <x v="2"/>
    <n v="2"/>
    <n v="3"/>
    <n v="2"/>
  </r>
  <r>
    <x v="0"/>
    <x v="1"/>
    <x v="1"/>
    <n v="1200"/>
    <x v="1"/>
    <n v="22"/>
    <x v="2"/>
    <n v="3"/>
    <s v="Life Sciences"/>
    <n v="1392"/>
    <n v="4"/>
    <x v="0"/>
    <n v="75"/>
    <n v="3"/>
    <n v="2"/>
    <x v="1"/>
    <x v="0"/>
    <x v="2"/>
    <x v="931"/>
    <n v="13953"/>
    <n v="3"/>
    <x v="0"/>
    <n v="14"/>
    <n v="3"/>
    <n v="1"/>
    <x v="3"/>
    <n v="12"/>
    <x v="0"/>
    <n v="4"/>
    <n v="2"/>
    <x v="0"/>
    <n v="2"/>
    <n v="3"/>
    <n v="3"/>
  </r>
  <r>
    <x v="0"/>
    <x v="1"/>
    <x v="0"/>
    <n v="1439"/>
    <x v="1"/>
    <n v="4"/>
    <x v="0"/>
    <n v="1"/>
    <s v="Life Sciences"/>
    <n v="1394"/>
    <n v="3"/>
    <x v="1"/>
    <n v="54"/>
    <n v="3"/>
    <n v="1"/>
    <x v="1"/>
    <x v="2"/>
    <x v="1"/>
    <x v="932"/>
    <n v="5182"/>
    <n v="7"/>
    <x v="0"/>
    <n v="15"/>
    <n v="3"/>
    <n v="4"/>
    <x v="0"/>
    <n v="8"/>
    <x v="0"/>
    <n v="2"/>
    <n v="3"/>
    <x v="0"/>
    <n v="4"/>
    <n v="1"/>
    <n v="3"/>
  </r>
  <r>
    <x v="2"/>
    <x v="1"/>
    <x v="1"/>
    <n v="1111"/>
    <x v="0"/>
    <n v="5"/>
    <x v="0"/>
    <n v="1"/>
    <s v="Life Sciences"/>
    <n v="1395"/>
    <n v="2"/>
    <x v="1"/>
    <n v="61"/>
    <n v="3"/>
    <n v="2"/>
    <x v="0"/>
    <x v="0"/>
    <x v="1"/>
    <x v="933"/>
    <n v="19293"/>
    <n v="6"/>
    <x v="1"/>
    <n v="13"/>
    <n v="3"/>
    <n v="1"/>
    <x v="0"/>
    <n v="8"/>
    <x v="0"/>
    <n v="2"/>
    <n v="4"/>
    <x v="2"/>
    <n v="4"/>
    <n v="1"/>
    <n v="2"/>
  </r>
  <r>
    <x v="2"/>
    <x v="1"/>
    <x v="0"/>
    <n v="499"/>
    <x v="0"/>
    <n v="2"/>
    <x v="0"/>
    <n v="1"/>
    <s v="Marketing"/>
    <n v="1396"/>
    <n v="3"/>
    <x v="1"/>
    <n v="36"/>
    <n v="3"/>
    <n v="2"/>
    <x v="0"/>
    <x v="1"/>
    <x v="1"/>
    <x v="934"/>
    <n v="20497"/>
    <n v="0"/>
    <x v="0"/>
    <n v="13"/>
    <n v="3"/>
    <n v="1"/>
    <x v="2"/>
    <n v="4"/>
    <x v="1"/>
    <n v="3"/>
    <n v="2"/>
    <x v="2"/>
    <n v="2"/>
    <n v="1"/>
    <n v="2"/>
  </r>
  <r>
    <x v="0"/>
    <x v="1"/>
    <x v="2"/>
    <n v="1485"/>
    <x v="1"/>
    <n v="25"/>
    <x v="2"/>
    <n v="2"/>
    <s v="Life Sciences"/>
    <n v="1397"/>
    <n v="3"/>
    <x v="1"/>
    <n v="71"/>
    <n v="3"/>
    <n v="3"/>
    <x v="4"/>
    <x v="2"/>
    <x v="1"/>
    <x v="935"/>
    <n v="3449"/>
    <n v="3"/>
    <x v="1"/>
    <n v="21"/>
    <n v="4"/>
    <n v="2"/>
    <x v="1"/>
    <n v="13"/>
    <x v="0"/>
    <n v="2"/>
    <n v="3"/>
    <x v="0"/>
    <n v="4"/>
    <n v="0"/>
    <n v="5"/>
  </r>
  <r>
    <x v="3"/>
    <x v="1"/>
    <x v="0"/>
    <n v="1372"/>
    <x v="0"/>
    <n v="18"/>
    <x v="2"/>
    <n v="1"/>
    <s v="Life Sciences"/>
    <n v="1399"/>
    <n v="1"/>
    <x v="1"/>
    <n v="93"/>
    <n v="4"/>
    <n v="2"/>
    <x v="0"/>
    <x v="2"/>
    <x v="1"/>
    <x v="936"/>
    <n v="12477"/>
    <n v="2"/>
    <x v="1"/>
    <n v="11"/>
    <n v="3"/>
    <n v="2"/>
    <x v="0"/>
    <n v="6"/>
    <x v="0"/>
    <n v="3"/>
    <n v="2"/>
    <x v="2"/>
    <n v="2"/>
    <n v="1"/>
    <n v="2"/>
  </r>
  <r>
    <x v="1"/>
    <x v="1"/>
    <x v="1"/>
    <n v="322"/>
    <x v="1"/>
    <n v="28"/>
    <x v="2"/>
    <n v="2"/>
    <s v="Medical"/>
    <n v="1401"/>
    <n v="4"/>
    <x v="0"/>
    <n v="59"/>
    <n v="4"/>
    <n v="4"/>
    <x v="3"/>
    <x v="2"/>
    <x v="1"/>
    <x v="937"/>
    <n v="9731"/>
    <n v="2"/>
    <x v="0"/>
    <n v="11"/>
    <n v="3"/>
    <n v="2"/>
    <x v="1"/>
    <n v="24"/>
    <x v="2"/>
    <n v="3"/>
    <n v="2"/>
    <x v="2"/>
    <n v="3"/>
    <n v="0"/>
    <n v="2"/>
  </r>
  <r>
    <x v="0"/>
    <x v="1"/>
    <x v="0"/>
    <n v="930"/>
    <x v="1"/>
    <n v="6"/>
    <x v="1"/>
    <n v="3"/>
    <s v="Medical"/>
    <n v="1402"/>
    <n v="1"/>
    <x v="0"/>
    <n v="73"/>
    <n v="2"/>
    <n v="2"/>
    <x v="1"/>
    <x v="2"/>
    <x v="0"/>
    <x v="938"/>
    <n v="20003"/>
    <n v="1"/>
    <x v="0"/>
    <n v="14"/>
    <n v="3"/>
    <n v="1"/>
    <x v="0"/>
    <n v="20"/>
    <x v="2"/>
    <n v="3"/>
    <n v="1"/>
    <x v="3"/>
    <n v="7"/>
    <n v="1"/>
    <n v="8"/>
  </r>
  <r>
    <x v="2"/>
    <x v="1"/>
    <x v="0"/>
    <n v="205"/>
    <x v="0"/>
    <n v="10"/>
    <x v="1"/>
    <n v="3"/>
    <s v="Marketing"/>
    <n v="1403"/>
    <n v="4"/>
    <x v="0"/>
    <n v="98"/>
    <n v="2"/>
    <n v="2"/>
    <x v="0"/>
    <x v="0"/>
    <x v="1"/>
    <x v="939"/>
    <n v="7100"/>
    <n v="1"/>
    <x v="0"/>
    <n v="11"/>
    <n v="3"/>
    <n v="4"/>
    <x v="0"/>
    <n v="6"/>
    <x v="0"/>
    <n v="3"/>
    <n v="3"/>
    <x v="0"/>
    <n v="2"/>
    <n v="4"/>
    <n v="4"/>
  </r>
  <r>
    <x v="2"/>
    <x v="0"/>
    <x v="0"/>
    <n v="135"/>
    <x v="1"/>
    <n v="17"/>
    <x v="2"/>
    <n v="4"/>
    <s v="Life Sciences"/>
    <n v="1405"/>
    <n v="4"/>
    <x v="0"/>
    <n v="51"/>
    <n v="3"/>
    <n v="1"/>
    <x v="1"/>
    <x v="2"/>
    <x v="0"/>
    <x v="940"/>
    <n v="25681"/>
    <n v="1"/>
    <x v="0"/>
    <n v="13"/>
    <n v="3"/>
    <n v="4"/>
    <x v="0"/>
    <n v="8"/>
    <x v="0"/>
    <n v="2"/>
    <n v="3"/>
    <x v="0"/>
    <n v="2"/>
    <n v="7"/>
    <n v="7"/>
  </r>
  <r>
    <x v="2"/>
    <x v="1"/>
    <x v="0"/>
    <n v="683"/>
    <x v="1"/>
    <n v="2"/>
    <x v="0"/>
    <n v="1"/>
    <s v="Medical"/>
    <n v="1407"/>
    <n v="1"/>
    <x v="1"/>
    <n v="36"/>
    <n v="2"/>
    <n v="1"/>
    <x v="1"/>
    <x v="0"/>
    <x v="0"/>
    <x v="885"/>
    <n v="4050"/>
    <n v="0"/>
    <x v="1"/>
    <n v="12"/>
    <n v="3"/>
    <n v="4"/>
    <x v="0"/>
    <n v="5"/>
    <x v="1"/>
    <n v="2"/>
    <n v="3"/>
    <x v="2"/>
    <n v="3"/>
    <n v="1"/>
    <n v="1"/>
  </r>
  <r>
    <x v="0"/>
    <x v="1"/>
    <x v="0"/>
    <n v="1147"/>
    <x v="2"/>
    <n v="10"/>
    <x v="1"/>
    <n v="3"/>
    <s v="Human Resources"/>
    <n v="1408"/>
    <n v="3"/>
    <x v="0"/>
    <n v="31"/>
    <n v="3"/>
    <n v="4"/>
    <x v="5"/>
    <x v="3"/>
    <x v="1"/>
    <x v="941"/>
    <n v="16616"/>
    <n v="0"/>
    <x v="1"/>
    <n v="14"/>
    <n v="3"/>
    <n v="3"/>
    <x v="1"/>
    <n v="21"/>
    <x v="2"/>
    <n v="5"/>
    <n v="3"/>
    <x v="3"/>
    <n v="7"/>
    <n v="0"/>
    <n v="9"/>
  </r>
  <r>
    <x v="1"/>
    <x v="1"/>
    <x v="0"/>
    <n v="258"/>
    <x v="1"/>
    <n v="8"/>
    <x v="1"/>
    <n v="4"/>
    <s v="Other"/>
    <n v="1409"/>
    <n v="3"/>
    <x v="0"/>
    <n v="54"/>
    <n v="3"/>
    <n v="1"/>
    <x v="2"/>
    <x v="3"/>
    <x v="1"/>
    <x v="942"/>
    <n v="17363"/>
    <n v="9"/>
    <x v="1"/>
    <n v="13"/>
    <n v="3"/>
    <n v="3"/>
    <x v="0"/>
    <n v="12"/>
    <x v="0"/>
    <n v="2"/>
    <n v="1"/>
    <x v="2"/>
    <n v="4"/>
    <n v="0"/>
    <n v="4"/>
  </r>
  <r>
    <x v="0"/>
    <x v="1"/>
    <x v="0"/>
    <n v="1462"/>
    <x v="1"/>
    <n v="11"/>
    <x v="1"/>
    <n v="3"/>
    <s v="Medical"/>
    <n v="1411"/>
    <n v="1"/>
    <x v="0"/>
    <n v="94"/>
    <n v="3"/>
    <n v="1"/>
    <x v="2"/>
    <x v="2"/>
    <x v="0"/>
    <x v="943"/>
    <n v="19106"/>
    <n v="4"/>
    <x v="1"/>
    <n v="18"/>
    <n v="3"/>
    <n v="1"/>
    <x v="0"/>
    <n v="8"/>
    <x v="0"/>
    <n v="6"/>
    <n v="3"/>
    <x v="2"/>
    <n v="2"/>
    <n v="0"/>
    <n v="2"/>
  </r>
  <r>
    <x v="2"/>
    <x v="1"/>
    <x v="1"/>
    <n v="200"/>
    <x v="1"/>
    <n v="18"/>
    <x v="2"/>
    <n v="2"/>
    <s v="Life Sciences"/>
    <n v="1412"/>
    <n v="3"/>
    <x v="1"/>
    <n v="60"/>
    <n v="3"/>
    <n v="3"/>
    <x v="3"/>
    <x v="0"/>
    <x v="0"/>
    <x v="944"/>
    <n v="19944"/>
    <n v="2"/>
    <x v="1"/>
    <n v="11"/>
    <n v="3"/>
    <n v="3"/>
    <x v="0"/>
    <n v="10"/>
    <x v="0"/>
    <n v="2"/>
    <n v="3"/>
    <x v="1"/>
    <n v="2"/>
    <n v="2"/>
    <n v="2"/>
  </r>
  <r>
    <x v="3"/>
    <x v="1"/>
    <x v="0"/>
    <n v="949"/>
    <x v="1"/>
    <n v="1"/>
    <x v="0"/>
    <n v="3"/>
    <s v="Technical Degree"/>
    <n v="1415"/>
    <n v="1"/>
    <x v="1"/>
    <n v="81"/>
    <n v="3"/>
    <n v="1"/>
    <x v="2"/>
    <x v="0"/>
    <x v="1"/>
    <x v="945"/>
    <n v="4910"/>
    <n v="4"/>
    <x v="1"/>
    <n v="11"/>
    <n v="3"/>
    <n v="2"/>
    <x v="1"/>
    <n v="7"/>
    <x v="0"/>
    <n v="2"/>
    <n v="2"/>
    <x v="2"/>
    <n v="2"/>
    <n v="0"/>
    <n v="2"/>
  </r>
  <r>
    <x v="2"/>
    <x v="1"/>
    <x v="0"/>
    <n v="652"/>
    <x v="1"/>
    <n v="7"/>
    <x v="1"/>
    <n v="3"/>
    <s v="Other"/>
    <n v="1417"/>
    <n v="3"/>
    <x v="1"/>
    <n v="100"/>
    <n v="4"/>
    <n v="1"/>
    <x v="2"/>
    <x v="3"/>
    <x v="0"/>
    <x v="946"/>
    <n v="23577"/>
    <n v="0"/>
    <x v="1"/>
    <n v="12"/>
    <n v="3"/>
    <n v="4"/>
    <x v="0"/>
    <n v="8"/>
    <x v="0"/>
    <n v="2"/>
    <n v="3"/>
    <x v="0"/>
    <n v="7"/>
    <n v="0"/>
    <n v="7"/>
  </r>
  <r>
    <x v="2"/>
    <x v="1"/>
    <x v="0"/>
    <n v="332"/>
    <x v="2"/>
    <n v="17"/>
    <x v="2"/>
    <n v="3"/>
    <s v="Other"/>
    <n v="1419"/>
    <n v="2"/>
    <x v="1"/>
    <n v="51"/>
    <n v="2"/>
    <n v="3"/>
    <x v="8"/>
    <x v="3"/>
    <x v="0"/>
    <x v="947"/>
    <n v="9769"/>
    <n v="1"/>
    <x v="1"/>
    <n v="13"/>
    <n v="3"/>
    <n v="1"/>
    <x v="0"/>
    <n v="10"/>
    <x v="0"/>
    <n v="3"/>
    <n v="2"/>
    <x v="0"/>
    <n v="9"/>
    <n v="0"/>
    <n v="9"/>
  </r>
  <r>
    <x v="1"/>
    <x v="0"/>
    <x v="1"/>
    <n v="1475"/>
    <x v="1"/>
    <n v="28"/>
    <x v="2"/>
    <n v="2"/>
    <s v="Life Sciences"/>
    <n v="1420"/>
    <n v="1"/>
    <x v="1"/>
    <n v="97"/>
    <n v="2"/>
    <n v="2"/>
    <x v="2"/>
    <x v="3"/>
    <x v="0"/>
    <x v="948"/>
    <n v="22710"/>
    <n v="3"/>
    <x v="1"/>
    <n v="20"/>
    <n v="4"/>
    <n v="1"/>
    <x v="0"/>
    <n v="20"/>
    <x v="2"/>
    <n v="2"/>
    <n v="3"/>
    <x v="2"/>
    <n v="3"/>
    <n v="1"/>
    <n v="3"/>
  </r>
  <r>
    <x v="2"/>
    <x v="0"/>
    <x v="1"/>
    <n v="337"/>
    <x v="1"/>
    <n v="14"/>
    <x v="1"/>
    <n v="1"/>
    <s v="Other"/>
    <n v="1421"/>
    <n v="3"/>
    <x v="0"/>
    <n v="84"/>
    <n v="3"/>
    <n v="3"/>
    <x v="4"/>
    <x v="0"/>
    <x v="0"/>
    <x v="949"/>
    <n v="22930"/>
    <n v="0"/>
    <x v="0"/>
    <n v="12"/>
    <n v="3"/>
    <n v="1"/>
    <x v="0"/>
    <n v="9"/>
    <x v="0"/>
    <n v="1"/>
    <n v="3"/>
    <x v="0"/>
    <n v="7"/>
    <n v="7"/>
    <n v="7"/>
  </r>
  <r>
    <x v="1"/>
    <x v="1"/>
    <x v="0"/>
    <n v="971"/>
    <x v="1"/>
    <n v="1"/>
    <x v="0"/>
    <n v="3"/>
    <s v="Medical"/>
    <n v="1422"/>
    <n v="4"/>
    <x v="0"/>
    <n v="54"/>
    <n v="3"/>
    <n v="4"/>
    <x v="7"/>
    <x v="0"/>
    <x v="0"/>
    <x v="109"/>
    <n v="5652"/>
    <n v="6"/>
    <x v="1"/>
    <n v="19"/>
    <n v="3"/>
    <n v="4"/>
    <x v="0"/>
    <n v="29"/>
    <x v="2"/>
    <n v="3"/>
    <n v="2"/>
    <x v="3"/>
    <n v="7"/>
    <n v="12"/>
    <n v="7"/>
  </r>
  <r>
    <x v="1"/>
    <x v="1"/>
    <x v="0"/>
    <n v="1055"/>
    <x v="1"/>
    <n v="1"/>
    <x v="0"/>
    <n v="3"/>
    <s v="Medical"/>
    <n v="1423"/>
    <n v="4"/>
    <x v="0"/>
    <n v="76"/>
    <n v="3"/>
    <n v="5"/>
    <x v="7"/>
    <x v="3"/>
    <x v="1"/>
    <x v="950"/>
    <n v="22456"/>
    <n v="3"/>
    <x v="0"/>
    <n v="21"/>
    <n v="4"/>
    <n v="3"/>
    <x v="1"/>
    <n v="32"/>
    <x v="2"/>
    <n v="3"/>
    <n v="3"/>
    <x v="0"/>
    <n v="8"/>
    <n v="1"/>
    <n v="5"/>
  </r>
  <r>
    <x v="1"/>
    <x v="1"/>
    <x v="0"/>
    <n v="1136"/>
    <x v="1"/>
    <n v="1"/>
    <x v="0"/>
    <n v="4"/>
    <s v="Medical"/>
    <n v="1424"/>
    <n v="2"/>
    <x v="1"/>
    <n v="81"/>
    <n v="4"/>
    <n v="4"/>
    <x v="7"/>
    <x v="0"/>
    <x v="2"/>
    <x v="951"/>
    <n v="12414"/>
    <n v="2"/>
    <x v="1"/>
    <n v="13"/>
    <n v="3"/>
    <n v="4"/>
    <x v="3"/>
    <n v="31"/>
    <x v="2"/>
    <n v="4"/>
    <n v="4"/>
    <x v="0"/>
    <n v="7"/>
    <n v="0"/>
    <n v="0"/>
  </r>
  <r>
    <x v="0"/>
    <x v="1"/>
    <x v="0"/>
    <n v="1174"/>
    <x v="0"/>
    <n v="3"/>
    <x v="0"/>
    <n v="4"/>
    <s v="Marketing"/>
    <n v="1425"/>
    <n v="1"/>
    <x v="0"/>
    <n v="99"/>
    <n v="3"/>
    <n v="2"/>
    <x v="0"/>
    <x v="1"/>
    <x v="0"/>
    <x v="952"/>
    <n v="20763"/>
    <n v="3"/>
    <x v="0"/>
    <n v="16"/>
    <n v="3"/>
    <n v="4"/>
    <x v="0"/>
    <n v="15"/>
    <x v="0"/>
    <n v="3"/>
    <n v="3"/>
    <x v="2"/>
    <n v="4"/>
    <n v="0"/>
    <n v="1"/>
  </r>
  <r>
    <x v="2"/>
    <x v="0"/>
    <x v="1"/>
    <n v="667"/>
    <x v="0"/>
    <n v="1"/>
    <x v="0"/>
    <n v="4"/>
    <s v="Life Sciences"/>
    <n v="1427"/>
    <n v="2"/>
    <x v="0"/>
    <n v="50"/>
    <n v="1"/>
    <n v="1"/>
    <x v="6"/>
    <x v="2"/>
    <x v="0"/>
    <x v="953"/>
    <n v="16154"/>
    <n v="1"/>
    <x v="1"/>
    <n v="12"/>
    <n v="3"/>
    <n v="2"/>
    <x v="0"/>
    <n v="1"/>
    <x v="1"/>
    <n v="3"/>
    <n v="3"/>
    <x v="1"/>
    <n v="0"/>
    <n v="0"/>
    <n v="0"/>
  </r>
  <r>
    <x v="2"/>
    <x v="1"/>
    <x v="0"/>
    <n v="855"/>
    <x v="0"/>
    <n v="7"/>
    <x v="1"/>
    <n v="4"/>
    <s v="Marketing"/>
    <n v="1428"/>
    <n v="4"/>
    <x v="0"/>
    <n v="73"/>
    <n v="3"/>
    <n v="2"/>
    <x v="0"/>
    <x v="3"/>
    <x v="2"/>
    <x v="586"/>
    <n v="12761"/>
    <n v="7"/>
    <x v="1"/>
    <n v="14"/>
    <n v="3"/>
    <n v="2"/>
    <x v="3"/>
    <n v="8"/>
    <x v="0"/>
    <n v="3"/>
    <n v="3"/>
    <x v="2"/>
    <n v="2"/>
    <n v="0"/>
    <n v="2"/>
  </r>
  <r>
    <x v="2"/>
    <x v="1"/>
    <x v="0"/>
    <n v="182"/>
    <x v="1"/>
    <n v="8"/>
    <x v="1"/>
    <n v="5"/>
    <s v="Life Sciences"/>
    <n v="1430"/>
    <n v="1"/>
    <x v="0"/>
    <n v="93"/>
    <n v="3"/>
    <n v="4"/>
    <x v="7"/>
    <x v="1"/>
    <x v="0"/>
    <x v="954"/>
    <n v="8847"/>
    <n v="3"/>
    <x v="1"/>
    <n v="11"/>
    <n v="3"/>
    <n v="3"/>
    <x v="0"/>
    <n v="9"/>
    <x v="0"/>
    <n v="3"/>
    <n v="4"/>
    <x v="2"/>
    <n v="2"/>
    <n v="1"/>
    <n v="0"/>
  </r>
  <r>
    <x v="2"/>
    <x v="1"/>
    <x v="1"/>
    <n v="560"/>
    <x v="1"/>
    <n v="1"/>
    <x v="0"/>
    <n v="4"/>
    <s v="Other"/>
    <n v="1431"/>
    <n v="4"/>
    <x v="1"/>
    <n v="91"/>
    <n v="3"/>
    <n v="1"/>
    <x v="1"/>
    <x v="3"/>
    <x v="2"/>
    <x v="932"/>
    <n v="20284"/>
    <n v="5"/>
    <x v="1"/>
    <n v="14"/>
    <n v="3"/>
    <n v="3"/>
    <x v="3"/>
    <n v="10"/>
    <x v="0"/>
    <n v="2"/>
    <n v="3"/>
    <x v="2"/>
    <n v="3"/>
    <n v="1"/>
    <n v="3"/>
  </r>
  <r>
    <x v="2"/>
    <x v="0"/>
    <x v="0"/>
    <n v="202"/>
    <x v="1"/>
    <n v="8"/>
    <x v="1"/>
    <n v="3"/>
    <s v="Life Sciences"/>
    <n v="1433"/>
    <n v="1"/>
    <x v="0"/>
    <n v="34"/>
    <n v="2"/>
    <n v="1"/>
    <x v="1"/>
    <x v="1"/>
    <x v="0"/>
    <x v="955"/>
    <n v="22262"/>
    <n v="1"/>
    <x v="1"/>
    <n v="12"/>
    <n v="3"/>
    <n v="3"/>
    <x v="0"/>
    <n v="1"/>
    <x v="1"/>
    <n v="3"/>
    <n v="4"/>
    <x v="1"/>
    <n v="0"/>
    <n v="0"/>
    <n v="0"/>
  </r>
  <r>
    <x v="2"/>
    <x v="1"/>
    <x v="0"/>
    <n v="1377"/>
    <x v="1"/>
    <n v="11"/>
    <x v="1"/>
    <n v="1"/>
    <s v="Life Sciences"/>
    <n v="1434"/>
    <n v="2"/>
    <x v="1"/>
    <n v="91"/>
    <n v="3"/>
    <n v="1"/>
    <x v="2"/>
    <x v="3"/>
    <x v="1"/>
    <x v="956"/>
    <n v="7679"/>
    <n v="0"/>
    <x v="1"/>
    <n v="14"/>
    <n v="3"/>
    <n v="2"/>
    <x v="0"/>
    <n v="6"/>
    <x v="0"/>
    <n v="3"/>
    <n v="4"/>
    <x v="2"/>
    <n v="0"/>
    <n v="1"/>
    <n v="4"/>
  </r>
  <r>
    <x v="0"/>
    <x v="1"/>
    <x v="0"/>
    <n v="172"/>
    <x v="1"/>
    <n v="4"/>
    <x v="0"/>
    <n v="4"/>
    <s v="Life Sciences"/>
    <n v="1435"/>
    <n v="1"/>
    <x v="1"/>
    <n v="37"/>
    <n v="2"/>
    <n v="2"/>
    <x v="2"/>
    <x v="0"/>
    <x v="0"/>
    <x v="957"/>
    <n v="22604"/>
    <n v="1"/>
    <x v="1"/>
    <n v="16"/>
    <n v="3"/>
    <n v="3"/>
    <x v="0"/>
    <n v="10"/>
    <x v="0"/>
    <n v="2"/>
    <n v="2"/>
    <x v="0"/>
    <n v="4"/>
    <n v="1"/>
    <n v="8"/>
  </r>
  <r>
    <x v="0"/>
    <x v="1"/>
    <x v="0"/>
    <n v="329"/>
    <x v="0"/>
    <n v="16"/>
    <x v="2"/>
    <n v="4"/>
    <s v="Marketing"/>
    <n v="1436"/>
    <n v="3"/>
    <x v="0"/>
    <n v="98"/>
    <n v="2"/>
    <n v="2"/>
    <x v="0"/>
    <x v="3"/>
    <x v="1"/>
    <x v="958"/>
    <n v="13494"/>
    <n v="4"/>
    <x v="1"/>
    <n v="13"/>
    <n v="3"/>
    <n v="1"/>
    <x v="3"/>
    <n v="11"/>
    <x v="0"/>
    <n v="3"/>
    <n v="2"/>
    <x v="2"/>
    <n v="2"/>
    <n v="0"/>
    <n v="2"/>
  </r>
  <r>
    <x v="1"/>
    <x v="1"/>
    <x v="0"/>
    <n v="465"/>
    <x v="1"/>
    <n v="1"/>
    <x v="0"/>
    <n v="3"/>
    <s v="Technical Degree"/>
    <n v="1438"/>
    <n v="1"/>
    <x v="1"/>
    <n v="74"/>
    <n v="3"/>
    <n v="1"/>
    <x v="1"/>
    <x v="0"/>
    <x v="1"/>
    <x v="959"/>
    <n v="10205"/>
    <n v="7"/>
    <x v="1"/>
    <n v="12"/>
    <n v="3"/>
    <n v="3"/>
    <x v="1"/>
    <n v="17"/>
    <x v="2"/>
    <n v="2"/>
    <n v="2"/>
    <x v="0"/>
    <n v="5"/>
    <n v="1"/>
    <n v="2"/>
  </r>
  <r>
    <x v="3"/>
    <x v="0"/>
    <x v="0"/>
    <n v="383"/>
    <x v="0"/>
    <n v="9"/>
    <x v="1"/>
    <n v="2"/>
    <s v="Life Sciences"/>
    <n v="1439"/>
    <n v="1"/>
    <x v="1"/>
    <n v="68"/>
    <n v="2"/>
    <n v="1"/>
    <x v="6"/>
    <x v="3"/>
    <x v="1"/>
    <x v="960"/>
    <n v="15182"/>
    <n v="3"/>
    <x v="1"/>
    <n v="12"/>
    <n v="3"/>
    <n v="1"/>
    <x v="0"/>
    <n v="6"/>
    <x v="0"/>
    <n v="2"/>
    <n v="3"/>
    <x v="2"/>
    <n v="2"/>
    <n v="2"/>
    <n v="2"/>
  </r>
  <r>
    <x v="0"/>
    <x v="1"/>
    <x v="2"/>
    <n v="1413"/>
    <x v="1"/>
    <n v="5"/>
    <x v="0"/>
    <n v="2"/>
    <s v="Technical Degree"/>
    <n v="1440"/>
    <n v="3"/>
    <x v="1"/>
    <n v="84"/>
    <n v="4"/>
    <n v="1"/>
    <x v="2"/>
    <x v="2"/>
    <x v="0"/>
    <x v="961"/>
    <n v="25470"/>
    <n v="0"/>
    <x v="1"/>
    <n v="14"/>
    <n v="3"/>
    <n v="1"/>
    <x v="0"/>
    <n v="7"/>
    <x v="0"/>
    <n v="2"/>
    <n v="1"/>
    <x v="0"/>
    <n v="5"/>
    <n v="1"/>
    <n v="3"/>
  </r>
  <r>
    <x v="1"/>
    <x v="1"/>
    <x v="0"/>
    <n v="1255"/>
    <x v="1"/>
    <n v="1"/>
    <x v="0"/>
    <n v="2"/>
    <s v="Life Sciences"/>
    <n v="1441"/>
    <n v="1"/>
    <x v="0"/>
    <n v="90"/>
    <n v="3"/>
    <n v="1"/>
    <x v="1"/>
    <x v="3"/>
    <x v="1"/>
    <x v="962"/>
    <n v="10494"/>
    <n v="2"/>
    <x v="1"/>
    <n v="22"/>
    <n v="4"/>
    <n v="4"/>
    <x v="1"/>
    <n v="5"/>
    <x v="1"/>
    <n v="3"/>
    <n v="4"/>
    <x v="2"/>
    <n v="2"/>
    <n v="1"/>
    <n v="0"/>
  </r>
  <r>
    <x v="1"/>
    <x v="1"/>
    <x v="0"/>
    <n v="359"/>
    <x v="1"/>
    <n v="2"/>
    <x v="0"/>
    <n v="4"/>
    <s v="Medical"/>
    <n v="1443"/>
    <n v="1"/>
    <x v="0"/>
    <n v="82"/>
    <n v="3"/>
    <n v="4"/>
    <x v="7"/>
    <x v="2"/>
    <x v="1"/>
    <x v="963"/>
    <n v="26703"/>
    <n v="3"/>
    <x v="1"/>
    <n v="19"/>
    <n v="3"/>
    <n v="2"/>
    <x v="3"/>
    <n v="26"/>
    <x v="2"/>
    <n v="2"/>
    <n v="4"/>
    <x v="3"/>
    <n v="17"/>
    <n v="5"/>
    <n v="6"/>
  </r>
  <r>
    <x v="3"/>
    <x v="1"/>
    <x v="0"/>
    <n v="1476"/>
    <x v="0"/>
    <n v="4"/>
    <x v="0"/>
    <n v="1"/>
    <s v="Medical"/>
    <n v="1445"/>
    <n v="4"/>
    <x v="0"/>
    <n v="42"/>
    <n v="3"/>
    <n v="2"/>
    <x v="0"/>
    <x v="2"/>
    <x v="1"/>
    <x v="964"/>
    <n v="15211"/>
    <n v="1"/>
    <x v="0"/>
    <n v="12"/>
    <n v="3"/>
    <n v="3"/>
    <x v="3"/>
    <n v="5"/>
    <x v="1"/>
    <n v="3"/>
    <n v="3"/>
    <x v="2"/>
    <n v="4"/>
    <n v="0"/>
    <n v="3"/>
  </r>
  <r>
    <x v="2"/>
    <x v="1"/>
    <x v="0"/>
    <n v="601"/>
    <x v="0"/>
    <n v="7"/>
    <x v="1"/>
    <n v="5"/>
    <s v="Marketing"/>
    <n v="1446"/>
    <n v="4"/>
    <x v="1"/>
    <n v="97"/>
    <n v="3"/>
    <n v="2"/>
    <x v="0"/>
    <x v="0"/>
    <x v="1"/>
    <x v="965"/>
    <n v="23343"/>
    <n v="4"/>
    <x v="1"/>
    <n v="12"/>
    <n v="3"/>
    <n v="3"/>
    <x v="1"/>
    <n v="7"/>
    <x v="0"/>
    <n v="3"/>
    <n v="2"/>
    <x v="2"/>
    <n v="3"/>
    <n v="0"/>
    <n v="3"/>
  </r>
  <r>
    <x v="2"/>
    <x v="1"/>
    <x v="0"/>
    <n v="401"/>
    <x v="1"/>
    <n v="1"/>
    <x v="0"/>
    <n v="3"/>
    <s v="Life Sciences"/>
    <n v="1447"/>
    <n v="4"/>
    <x v="0"/>
    <n v="86"/>
    <n v="2"/>
    <n v="1"/>
    <x v="2"/>
    <x v="1"/>
    <x v="1"/>
    <x v="635"/>
    <n v="3708"/>
    <n v="5"/>
    <x v="1"/>
    <n v="17"/>
    <n v="3"/>
    <n v="1"/>
    <x v="1"/>
    <n v="7"/>
    <x v="0"/>
    <n v="2"/>
    <n v="2"/>
    <x v="2"/>
    <n v="4"/>
    <n v="0"/>
    <n v="2"/>
  </r>
  <r>
    <x v="0"/>
    <x v="1"/>
    <x v="0"/>
    <n v="1283"/>
    <x v="1"/>
    <n v="5"/>
    <x v="0"/>
    <n v="5"/>
    <s v="Medical"/>
    <n v="1448"/>
    <n v="2"/>
    <x v="1"/>
    <n v="90"/>
    <n v="4"/>
    <n v="1"/>
    <x v="1"/>
    <x v="2"/>
    <x v="1"/>
    <x v="459"/>
    <n v="5561"/>
    <n v="2"/>
    <x v="0"/>
    <n v="12"/>
    <n v="3"/>
    <n v="1"/>
    <x v="0"/>
    <n v="7"/>
    <x v="0"/>
    <n v="5"/>
    <n v="2"/>
    <x v="2"/>
    <n v="2"/>
    <n v="0"/>
    <n v="3"/>
  </r>
  <r>
    <x v="0"/>
    <x v="1"/>
    <x v="2"/>
    <n v="663"/>
    <x v="1"/>
    <n v="9"/>
    <x v="1"/>
    <n v="4"/>
    <s v="Other"/>
    <n v="1449"/>
    <n v="3"/>
    <x v="1"/>
    <n v="81"/>
    <n v="3"/>
    <n v="2"/>
    <x v="2"/>
    <x v="2"/>
    <x v="2"/>
    <x v="966"/>
    <n v="23099"/>
    <n v="3"/>
    <x v="1"/>
    <n v="11"/>
    <n v="3"/>
    <n v="3"/>
    <x v="3"/>
    <n v="11"/>
    <x v="0"/>
    <n v="2"/>
    <n v="4"/>
    <x v="0"/>
    <n v="7"/>
    <n v="0"/>
    <n v="7"/>
  </r>
  <r>
    <x v="2"/>
    <x v="1"/>
    <x v="0"/>
    <n v="326"/>
    <x v="0"/>
    <n v="8"/>
    <x v="1"/>
    <n v="2"/>
    <s v="Life Sciences"/>
    <n v="1453"/>
    <n v="1"/>
    <x v="1"/>
    <n v="31"/>
    <n v="3"/>
    <n v="3"/>
    <x v="0"/>
    <x v="0"/>
    <x v="2"/>
    <x v="967"/>
    <n v="8386"/>
    <n v="1"/>
    <x v="1"/>
    <n v="18"/>
    <n v="3"/>
    <n v="1"/>
    <x v="1"/>
    <n v="13"/>
    <x v="0"/>
    <n v="5"/>
    <n v="3"/>
    <x v="3"/>
    <n v="7"/>
    <n v="9"/>
    <n v="9"/>
  </r>
  <r>
    <x v="1"/>
    <x v="0"/>
    <x v="0"/>
    <n v="377"/>
    <x v="0"/>
    <n v="9"/>
    <x v="1"/>
    <n v="3"/>
    <s v="Marketing"/>
    <n v="1457"/>
    <n v="1"/>
    <x v="1"/>
    <n v="52"/>
    <n v="3"/>
    <n v="3"/>
    <x v="0"/>
    <x v="0"/>
    <x v="2"/>
    <x v="61"/>
    <n v="15986"/>
    <n v="4"/>
    <x v="1"/>
    <n v="11"/>
    <n v="3"/>
    <n v="1"/>
    <x v="1"/>
    <n v="28"/>
    <x v="2"/>
    <n v="1"/>
    <n v="4"/>
    <x v="0"/>
    <n v="7"/>
    <n v="4"/>
    <n v="3"/>
  </r>
  <r>
    <x v="0"/>
    <x v="0"/>
    <x v="2"/>
    <n v="592"/>
    <x v="1"/>
    <n v="2"/>
    <x v="0"/>
    <n v="3"/>
    <s v="Life Sciences"/>
    <n v="1458"/>
    <n v="1"/>
    <x v="0"/>
    <n v="54"/>
    <n v="2"/>
    <n v="1"/>
    <x v="2"/>
    <x v="3"/>
    <x v="0"/>
    <x v="968"/>
    <n v="17181"/>
    <n v="2"/>
    <x v="0"/>
    <n v="23"/>
    <n v="4"/>
    <n v="2"/>
    <x v="0"/>
    <n v="11"/>
    <x v="0"/>
    <n v="2"/>
    <n v="4"/>
    <x v="1"/>
    <n v="0"/>
    <n v="0"/>
    <n v="0"/>
  </r>
  <r>
    <x v="2"/>
    <x v="0"/>
    <x v="1"/>
    <n v="1445"/>
    <x v="1"/>
    <n v="1"/>
    <x v="0"/>
    <n v="5"/>
    <s v="Life Sciences"/>
    <n v="1459"/>
    <n v="3"/>
    <x v="0"/>
    <n v="100"/>
    <n v="4"/>
    <n v="3"/>
    <x v="3"/>
    <x v="1"/>
    <x v="0"/>
    <x v="969"/>
    <n v="8931"/>
    <n v="1"/>
    <x v="1"/>
    <n v="11"/>
    <n v="3"/>
    <n v="1"/>
    <x v="0"/>
    <n v="10"/>
    <x v="0"/>
    <n v="2"/>
    <n v="3"/>
    <x v="0"/>
    <n v="8"/>
    <n v="4"/>
    <n v="7"/>
  </r>
  <r>
    <x v="0"/>
    <x v="1"/>
    <x v="0"/>
    <n v="1038"/>
    <x v="1"/>
    <n v="20"/>
    <x v="2"/>
    <n v="3"/>
    <s v="Medical"/>
    <n v="1460"/>
    <n v="2"/>
    <x v="1"/>
    <n v="95"/>
    <n v="1"/>
    <n v="3"/>
    <x v="4"/>
    <x v="3"/>
    <x v="2"/>
    <x v="970"/>
    <n v="19863"/>
    <n v="2"/>
    <x v="0"/>
    <n v="18"/>
    <n v="3"/>
    <n v="2"/>
    <x v="1"/>
    <n v="24"/>
    <x v="2"/>
    <n v="2"/>
    <n v="3"/>
    <x v="0"/>
    <n v="7"/>
    <n v="0"/>
    <n v="7"/>
  </r>
  <r>
    <x v="2"/>
    <x v="1"/>
    <x v="0"/>
    <n v="1398"/>
    <x v="2"/>
    <n v="8"/>
    <x v="1"/>
    <n v="2"/>
    <s v="Medical"/>
    <n v="1461"/>
    <n v="4"/>
    <x v="0"/>
    <n v="96"/>
    <n v="4"/>
    <n v="1"/>
    <x v="8"/>
    <x v="1"/>
    <x v="0"/>
    <x v="971"/>
    <n v="24609"/>
    <n v="9"/>
    <x v="1"/>
    <n v="18"/>
    <n v="3"/>
    <n v="4"/>
    <x v="0"/>
    <n v="8"/>
    <x v="0"/>
    <n v="3"/>
    <n v="3"/>
    <x v="2"/>
    <n v="2"/>
    <n v="0"/>
    <n v="2"/>
  </r>
  <r>
    <x v="2"/>
    <x v="0"/>
    <x v="1"/>
    <n v="523"/>
    <x v="1"/>
    <n v="2"/>
    <x v="0"/>
    <n v="3"/>
    <s v="Life Sciences"/>
    <n v="1464"/>
    <n v="2"/>
    <x v="1"/>
    <n v="94"/>
    <n v="3"/>
    <n v="1"/>
    <x v="2"/>
    <x v="0"/>
    <x v="1"/>
    <x v="972"/>
    <n v="21081"/>
    <n v="6"/>
    <x v="0"/>
    <n v="13"/>
    <n v="3"/>
    <n v="3"/>
    <x v="1"/>
    <n v="7"/>
    <x v="0"/>
    <n v="2"/>
    <n v="1"/>
    <x v="1"/>
    <n v="2"/>
    <n v="2"/>
    <n v="2"/>
  </r>
  <r>
    <x v="0"/>
    <x v="1"/>
    <x v="0"/>
    <n v="1448"/>
    <x v="1"/>
    <n v="29"/>
    <x v="2"/>
    <n v="3"/>
    <s v="Technical Degree"/>
    <n v="1465"/>
    <n v="2"/>
    <x v="1"/>
    <n v="55"/>
    <n v="3"/>
    <n v="3"/>
    <x v="3"/>
    <x v="0"/>
    <x v="1"/>
    <x v="973"/>
    <n v="14720"/>
    <n v="4"/>
    <x v="0"/>
    <n v="18"/>
    <n v="3"/>
    <n v="4"/>
    <x v="3"/>
    <n v="10"/>
    <x v="0"/>
    <n v="4"/>
    <n v="4"/>
    <x v="2"/>
    <n v="1"/>
    <n v="1"/>
    <n v="2"/>
  </r>
  <r>
    <x v="1"/>
    <x v="1"/>
    <x v="0"/>
    <n v="1221"/>
    <x v="0"/>
    <n v="7"/>
    <x v="1"/>
    <n v="3"/>
    <s v="Marketing"/>
    <n v="1466"/>
    <n v="3"/>
    <x v="1"/>
    <n v="96"/>
    <n v="3"/>
    <n v="2"/>
    <x v="0"/>
    <x v="3"/>
    <x v="2"/>
    <x v="974"/>
    <n v="24795"/>
    <n v="4"/>
    <x v="1"/>
    <n v="11"/>
    <n v="3"/>
    <n v="1"/>
    <x v="2"/>
    <n v="15"/>
    <x v="0"/>
    <n v="3"/>
    <n v="3"/>
    <x v="1"/>
    <n v="2"/>
    <n v="2"/>
    <n v="2"/>
  </r>
  <r>
    <x v="2"/>
    <x v="0"/>
    <x v="0"/>
    <n v="1107"/>
    <x v="2"/>
    <n v="9"/>
    <x v="1"/>
    <n v="4"/>
    <s v="Technical Degree"/>
    <n v="1467"/>
    <n v="1"/>
    <x v="0"/>
    <n v="52"/>
    <n v="3"/>
    <n v="1"/>
    <x v="8"/>
    <x v="2"/>
    <x v="1"/>
    <x v="975"/>
    <n v="3072"/>
    <n v="1"/>
    <x v="1"/>
    <n v="15"/>
    <n v="3"/>
    <n v="4"/>
    <x v="0"/>
    <n v="2"/>
    <x v="1"/>
    <n v="0"/>
    <n v="3"/>
    <x v="1"/>
    <n v="2"/>
    <n v="2"/>
    <n v="2"/>
  </r>
  <r>
    <x v="0"/>
    <x v="1"/>
    <x v="2"/>
    <n v="218"/>
    <x v="1"/>
    <n v="8"/>
    <x v="1"/>
    <n v="1"/>
    <s v="Medical"/>
    <n v="1468"/>
    <n v="4"/>
    <x v="1"/>
    <n v="55"/>
    <n v="2"/>
    <n v="3"/>
    <x v="7"/>
    <x v="1"/>
    <x v="2"/>
    <x v="976"/>
    <n v="25178"/>
    <n v="2"/>
    <x v="1"/>
    <n v="11"/>
    <n v="3"/>
    <n v="3"/>
    <x v="1"/>
    <n v="16"/>
    <x v="2"/>
    <n v="5"/>
    <n v="3"/>
    <x v="0"/>
    <n v="8"/>
    <n v="4"/>
    <n v="8"/>
  </r>
  <r>
    <x v="2"/>
    <x v="1"/>
    <x v="0"/>
    <n v="866"/>
    <x v="0"/>
    <n v="5"/>
    <x v="0"/>
    <n v="3"/>
    <s v="Medical"/>
    <n v="1469"/>
    <n v="4"/>
    <x v="1"/>
    <n v="84"/>
    <n v="3"/>
    <n v="2"/>
    <x v="0"/>
    <x v="3"/>
    <x v="0"/>
    <x v="977"/>
    <n v="23490"/>
    <n v="0"/>
    <x v="1"/>
    <n v="18"/>
    <n v="3"/>
    <n v="4"/>
    <x v="0"/>
    <n v="6"/>
    <x v="0"/>
    <n v="4"/>
    <n v="3"/>
    <x v="2"/>
    <n v="4"/>
    <n v="1"/>
    <n v="3"/>
  </r>
  <r>
    <x v="0"/>
    <x v="1"/>
    <x v="2"/>
    <n v="981"/>
    <x v="1"/>
    <n v="5"/>
    <x v="0"/>
    <n v="3"/>
    <s v="Life Sciences"/>
    <n v="1471"/>
    <n v="3"/>
    <x v="1"/>
    <n v="90"/>
    <n v="2"/>
    <n v="1"/>
    <x v="2"/>
    <x v="2"/>
    <x v="0"/>
    <x v="612"/>
    <n v="7973"/>
    <n v="3"/>
    <x v="1"/>
    <n v="14"/>
    <n v="3"/>
    <n v="4"/>
    <x v="0"/>
    <n v="7"/>
    <x v="0"/>
    <n v="5"/>
    <n v="3"/>
    <x v="2"/>
    <n v="2"/>
    <n v="0"/>
    <n v="3"/>
  </r>
  <r>
    <x v="1"/>
    <x v="1"/>
    <x v="0"/>
    <n v="447"/>
    <x v="1"/>
    <n v="2"/>
    <x v="0"/>
    <n v="3"/>
    <s v="Medical"/>
    <n v="1472"/>
    <n v="4"/>
    <x v="1"/>
    <n v="39"/>
    <n v="4"/>
    <n v="4"/>
    <x v="7"/>
    <x v="1"/>
    <x v="0"/>
    <x v="978"/>
    <n v="19764"/>
    <n v="4"/>
    <x v="1"/>
    <n v="12"/>
    <n v="3"/>
    <n v="2"/>
    <x v="0"/>
    <n v="35"/>
    <x v="2"/>
    <n v="2"/>
    <n v="2"/>
    <x v="0"/>
    <n v="8"/>
    <n v="8"/>
    <n v="8"/>
  </r>
  <r>
    <x v="1"/>
    <x v="1"/>
    <x v="0"/>
    <n v="1495"/>
    <x v="1"/>
    <n v="5"/>
    <x v="0"/>
    <n v="4"/>
    <s v="Technical Degree"/>
    <n v="1473"/>
    <n v="1"/>
    <x v="1"/>
    <n v="96"/>
    <n v="3"/>
    <n v="2"/>
    <x v="4"/>
    <x v="2"/>
    <x v="1"/>
    <x v="979"/>
    <n v="21534"/>
    <n v="2"/>
    <x v="1"/>
    <n v="14"/>
    <n v="3"/>
    <n v="2"/>
    <x v="1"/>
    <n v="20"/>
    <x v="2"/>
    <n v="0"/>
    <n v="2"/>
    <x v="2"/>
    <n v="2"/>
    <n v="1"/>
    <n v="2"/>
  </r>
  <r>
    <x v="0"/>
    <x v="1"/>
    <x v="0"/>
    <n v="896"/>
    <x v="1"/>
    <n v="2"/>
    <x v="0"/>
    <n v="3"/>
    <s v="Medical"/>
    <n v="1474"/>
    <n v="3"/>
    <x v="1"/>
    <n v="68"/>
    <n v="3"/>
    <n v="1"/>
    <x v="1"/>
    <x v="2"/>
    <x v="2"/>
    <x v="980"/>
    <n v="8045"/>
    <n v="2"/>
    <x v="1"/>
    <n v="14"/>
    <n v="3"/>
    <n v="3"/>
    <x v="1"/>
    <n v="8"/>
    <x v="0"/>
    <n v="3"/>
    <n v="4"/>
    <x v="2"/>
    <n v="1"/>
    <n v="1"/>
    <n v="2"/>
  </r>
  <r>
    <x v="0"/>
    <x v="1"/>
    <x v="0"/>
    <n v="1467"/>
    <x v="1"/>
    <n v="20"/>
    <x v="2"/>
    <n v="3"/>
    <s v="Life Sciences"/>
    <n v="1475"/>
    <n v="4"/>
    <x v="1"/>
    <n v="49"/>
    <n v="3"/>
    <n v="1"/>
    <x v="1"/>
    <x v="1"/>
    <x v="0"/>
    <x v="959"/>
    <n v="21158"/>
    <n v="1"/>
    <x v="1"/>
    <n v="13"/>
    <n v="3"/>
    <n v="3"/>
    <x v="0"/>
    <n v="6"/>
    <x v="0"/>
    <n v="3"/>
    <n v="2"/>
    <x v="2"/>
    <n v="2"/>
    <n v="1"/>
    <n v="3"/>
  </r>
  <r>
    <x v="2"/>
    <x v="1"/>
    <x v="1"/>
    <n v="430"/>
    <x v="0"/>
    <n v="7"/>
    <x v="1"/>
    <n v="3"/>
    <s v="Medical"/>
    <n v="1477"/>
    <n v="4"/>
    <x v="1"/>
    <n v="54"/>
    <n v="3"/>
    <n v="2"/>
    <x v="0"/>
    <x v="3"/>
    <x v="1"/>
    <x v="981"/>
    <n v="17456"/>
    <n v="0"/>
    <x v="1"/>
    <n v="14"/>
    <n v="3"/>
    <n v="1"/>
    <x v="3"/>
    <n v="5"/>
    <x v="1"/>
    <n v="2"/>
    <n v="3"/>
    <x v="2"/>
    <n v="3"/>
    <n v="0"/>
    <n v="3"/>
  </r>
  <r>
    <x v="2"/>
    <x v="1"/>
    <x v="0"/>
    <n v="1326"/>
    <x v="0"/>
    <n v="3"/>
    <x v="0"/>
    <n v="3"/>
    <s v="Other"/>
    <n v="1478"/>
    <n v="4"/>
    <x v="1"/>
    <n v="81"/>
    <n v="1"/>
    <n v="2"/>
    <x v="0"/>
    <x v="3"/>
    <x v="0"/>
    <x v="982"/>
    <n v="15891"/>
    <n v="3"/>
    <x v="1"/>
    <n v="18"/>
    <n v="3"/>
    <n v="4"/>
    <x v="0"/>
    <n v="15"/>
    <x v="0"/>
    <n v="2"/>
    <n v="3"/>
    <x v="3"/>
    <n v="9"/>
    <n v="3"/>
    <n v="12"/>
  </r>
  <r>
    <x v="2"/>
    <x v="1"/>
    <x v="0"/>
    <n v="1358"/>
    <x v="0"/>
    <n v="16"/>
    <x v="2"/>
    <n v="1"/>
    <s v="Life Sciences"/>
    <n v="1479"/>
    <n v="4"/>
    <x v="1"/>
    <n v="96"/>
    <n v="3"/>
    <n v="2"/>
    <x v="0"/>
    <x v="2"/>
    <x v="1"/>
    <x v="983"/>
    <n v="2939"/>
    <n v="8"/>
    <x v="1"/>
    <n v="15"/>
    <n v="3"/>
    <n v="3"/>
    <x v="3"/>
    <n v="4"/>
    <x v="1"/>
    <n v="2"/>
    <n v="2"/>
    <x v="1"/>
    <n v="1"/>
    <n v="2"/>
    <n v="2"/>
  </r>
  <r>
    <x v="0"/>
    <x v="1"/>
    <x v="1"/>
    <n v="748"/>
    <x v="1"/>
    <n v="9"/>
    <x v="1"/>
    <n v="2"/>
    <s v="Medical"/>
    <n v="1480"/>
    <n v="1"/>
    <x v="0"/>
    <n v="74"/>
    <n v="3"/>
    <n v="1"/>
    <x v="2"/>
    <x v="0"/>
    <x v="0"/>
    <x v="984"/>
    <n v="16458"/>
    <n v="1"/>
    <x v="1"/>
    <n v="13"/>
    <n v="3"/>
    <n v="3"/>
    <x v="0"/>
    <n v="12"/>
    <x v="0"/>
    <n v="3"/>
    <n v="3"/>
    <x v="3"/>
    <n v="9"/>
    <n v="5"/>
    <n v="8"/>
  </r>
  <r>
    <x v="0"/>
    <x v="1"/>
    <x v="1"/>
    <n v="383"/>
    <x v="0"/>
    <n v="1"/>
    <x v="0"/>
    <n v="5"/>
    <s v="Marketing"/>
    <n v="1481"/>
    <n v="1"/>
    <x v="0"/>
    <n v="79"/>
    <n v="3"/>
    <n v="2"/>
    <x v="0"/>
    <x v="2"/>
    <x v="1"/>
    <x v="985"/>
    <n v="9282"/>
    <n v="7"/>
    <x v="1"/>
    <n v="12"/>
    <n v="3"/>
    <n v="3"/>
    <x v="1"/>
    <n v="11"/>
    <x v="0"/>
    <n v="4"/>
    <n v="2"/>
    <x v="1"/>
    <n v="0"/>
    <n v="0"/>
    <n v="0"/>
  </r>
  <r>
    <x v="2"/>
    <x v="1"/>
    <x v="2"/>
    <n v="990"/>
    <x v="1"/>
    <n v="7"/>
    <x v="1"/>
    <n v="3"/>
    <s v="Technical Degree"/>
    <n v="1482"/>
    <n v="3"/>
    <x v="1"/>
    <n v="64"/>
    <n v="3"/>
    <n v="1"/>
    <x v="1"/>
    <x v="2"/>
    <x v="2"/>
    <x v="986"/>
    <n v="7152"/>
    <n v="1"/>
    <x v="1"/>
    <n v="13"/>
    <n v="3"/>
    <n v="2"/>
    <x v="3"/>
    <n v="1"/>
    <x v="1"/>
    <n v="2"/>
    <n v="2"/>
    <x v="1"/>
    <n v="0"/>
    <n v="0"/>
    <n v="0"/>
  </r>
  <r>
    <x v="1"/>
    <x v="1"/>
    <x v="0"/>
    <n v="405"/>
    <x v="1"/>
    <n v="1"/>
    <x v="0"/>
    <n v="2"/>
    <s v="Life Sciences"/>
    <n v="1483"/>
    <n v="2"/>
    <x v="1"/>
    <n v="93"/>
    <n v="4"/>
    <n v="2"/>
    <x v="1"/>
    <x v="2"/>
    <x v="1"/>
    <x v="987"/>
    <n v="2721"/>
    <n v="0"/>
    <x v="1"/>
    <n v="24"/>
    <n v="4"/>
    <n v="1"/>
    <x v="1"/>
    <n v="13"/>
    <x v="0"/>
    <n v="2"/>
    <n v="2"/>
    <x v="3"/>
    <n v="9"/>
    <n v="2"/>
    <n v="8"/>
  </r>
  <r>
    <x v="1"/>
    <x v="1"/>
    <x v="0"/>
    <n v="1490"/>
    <x v="1"/>
    <n v="7"/>
    <x v="1"/>
    <n v="4"/>
    <s v="Life Sciences"/>
    <n v="1484"/>
    <n v="3"/>
    <x v="1"/>
    <n v="35"/>
    <n v="3"/>
    <n v="3"/>
    <x v="4"/>
    <x v="1"/>
    <x v="2"/>
    <x v="988"/>
    <n v="20948"/>
    <n v="3"/>
    <x v="1"/>
    <n v="14"/>
    <n v="3"/>
    <n v="2"/>
    <x v="3"/>
    <n v="29"/>
    <x v="2"/>
    <n v="3"/>
    <n v="3"/>
    <x v="0"/>
    <n v="7"/>
    <n v="0"/>
    <n v="7"/>
  </r>
  <r>
    <x v="2"/>
    <x v="1"/>
    <x v="1"/>
    <n v="829"/>
    <x v="1"/>
    <n v="15"/>
    <x v="1"/>
    <n v="3"/>
    <s v="Medical"/>
    <n v="1485"/>
    <n v="2"/>
    <x v="1"/>
    <n v="71"/>
    <n v="3"/>
    <n v="4"/>
    <x v="7"/>
    <x v="3"/>
    <x v="2"/>
    <x v="989"/>
    <n v="11929"/>
    <n v="7"/>
    <x v="1"/>
    <n v="14"/>
    <n v="3"/>
    <n v="4"/>
    <x v="3"/>
    <n v="16"/>
    <x v="2"/>
    <n v="3"/>
    <n v="2"/>
    <x v="3"/>
    <n v="8"/>
    <n v="6"/>
    <n v="9"/>
  </r>
  <r>
    <x v="2"/>
    <x v="0"/>
    <x v="1"/>
    <n v="1496"/>
    <x v="0"/>
    <n v="1"/>
    <x v="0"/>
    <n v="3"/>
    <s v="Technical Degree"/>
    <n v="1486"/>
    <n v="1"/>
    <x v="1"/>
    <n v="92"/>
    <n v="3"/>
    <n v="1"/>
    <x v="6"/>
    <x v="2"/>
    <x v="1"/>
    <x v="3"/>
    <n v="15747"/>
    <n v="3"/>
    <x v="1"/>
    <n v="15"/>
    <n v="3"/>
    <n v="4"/>
    <x v="1"/>
    <n v="5"/>
    <x v="1"/>
    <n v="3"/>
    <n v="4"/>
    <x v="2"/>
    <n v="2"/>
    <n v="1"/>
    <n v="2"/>
  </r>
  <r>
    <x v="2"/>
    <x v="0"/>
    <x v="1"/>
    <n v="115"/>
    <x v="0"/>
    <n v="13"/>
    <x v="1"/>
    <n v="3"/>
    <s v="Technical Degree"/>
    <n v="1487"/>
    <n v="1"/>
    <x v="0"/>
    <n v="51"/>
    <n v="3"/>
    <n v="2"/>
    <x v="0"/>
    <x v="1"/>
    <x v="0"/>
    <x v="990"/>
    <n v="17485"/>
    <n v="5"/>
    <x v="1"/>
    <n v="11"/>
    <n v="3"/>
    <n v="1"/>
    <x v="0"/>
    <n v="7"/>
    <x v="0"/>
    <n v="4"/>
    <n v="1"/>
    <x v="2"/>
    <n v="3"/>
    <n v="0"/>
    <n v="0"/>
  </r>
  <r>
    <x v="2"/>
    <x v="0"/>
    <x v="0"/>
    <n v="790"/>
    <x v="0"/>
    <n v="24"/>
    <x v="2"/>
    <n v="4"/>
    <s v="Medical"/>
    <n v="1489"/>
    <n v="1"/>
    <x v="0"/>
    <n v="40"/>
    <n v="2"/>
    <n v="2"/>
    <x v="0"/>
    <x v="1"/>
    <x v="0"/>
    <x v="991"/>
    <n v="7815"/>
    <n v="0"/>
    <x v="0"/>
    <n v="23"/>
    <n v="4"/>
    <n v="3"/>
    <x v="0"/>
    <n v="16"/>
    <x v="2"/>
    <n v="2"/>
    <n v="4"/>
    <x v="3"/>
    <n v="9"/>
    <n v="10"/>
    <n v="10"/>
  </r>
  <r>
    <x v="2"/>
    <x v="1"/>
    <x v="0"/>
    <n v="660"/>
    <x v="0"/>
    <n v="7"/>
    <x v="1"/>
    <n v="1"/>
    <s v="Life Sciences"/>
    <n v="1492"/>
    <n v="4"/>
    <x v="1"/>
    <n v="76"/>
    <n v="3"/>
    <n v="1"/>
    <x v="6"/>
    <x v="2"/>
    <x v="1"/>
    <x v="639"/>
    <n v="16192"/>
    <n v="1"/>
    <x v="1"/>
    <n v="13"/>
    <n v="3"/>
    <n v="1"/>
    <x v="1"/>
    <n v="1"/>
    <x v="1"/>
    <n v="3"/>
    <n v="3"/>
    <x v="1"/>
    <n v="0"/>
    <n v="0"/>
    <n v="0"/>
  </r>
  <r>
    <x v="3"/>
    <x v="0"/>
    <x v="1"/>
    <n v="381"/>
    <x v="1"/>
    <n v="9"/>
    <x v="1"/>
    <n v="3"/>
    <s v="Medical"/>
    <n v="1494"/>
    <n v="2"/>
    <x v="1"/>
    <n v="89"/>
    <n v="3"/>
    <n v="1"/>
    <x v="2"/>
    <x v="3"/>
    <x v="0"/>
    <x v="992"/>
    <n v="16998"/>
    <n v="2"/>
    <x v="0"/>
    <n v="11"/>
    <n v="3"/>
    <n v="3"/>
    <x v="0"/>
    <n v="4"/>
    <x v="1"/>
    <n v="2"/>
    <n v="2"/>
    <x v="1"/>
    <n v="0"/>
    <n v="0"/>
    <n v="0"/>
  </r>
  <r>
    <x v="3"/>
    <x v="1"/>
    <x v="2"/>
    <n v="830"/>
    <x v="0"/>
    <n v="13"/>
    <x v="1"/>
    <n v="2"/>
    <s v="Life Sciences"/>
    <n v="1495"/>
    <n v="4"/>
    <x v="0"/>
    <n v="78"/>
    <n v="3"/>
    <n v="1"/>
    <x v="6"/>
    <x v="1"/>
    <x v="1"/>
    <x v="462"/>
    <n v="7103"/>
    <n v="1"/>
    <x v="1"/>
    <n v="13"/>
    <n v="3"/>
    <n v="3"/>
    <x v="1"/>
    <n v="1"/>
    <x v="1"/>
    <n v="2"/>
    <n v="3"/>
    <x v="1"/>
    <n v="0"/>
    <n v="0"/>
    <n v="0"/>
  </r>
  <r>
    <x v="0"/>
    <x v="1"/>
    <x v="1"/>
    <n v="1193"/>
    <x v="1"/>
    <n v="2"/>
    <x v="0"/>
    <n v="1"/>
    <s v="Medical"/>
    <n v="1496"/>
    <n v="2"/>
    <x v="1"/>
    <n v="86"/>
    <n v="3"/>
    <n v="3"/>
    <x v="3"/>
    <x v="2"/>
    <x v="0"/>
    <x v="993"/>
    <n v="19719"/>
    <n v="5"/>
    <x v="0"/>
    <n v="18"/>
    <n v="3"/>
    <n v="2"/>
    <x v="0"/>
    <n v="16"/>
    <x v="2"/>
    <n v="2"/>
    <n v="2"/>
    <x v="1"/>
    <n v="2"/>
    <n v="2"/>
    <n v="2"/>
  </r>
  <r>
    <x v="2"/>
    <x v="1"/>
    <x v="0"/>
    <n v="1246"/>
    <x v="0"/>
    <n v="19"/>
    <x v="2"/>
    <n v="3"/>
    <s v="Life Sciences"/>
    <n v="1497"/>
    <n v="3"/>
    <x v="1"/>
    <n v="77"/>
    <n v="2"/>
    <n v="2"/>
    <x v="0"/>
    <x v="2"/>
    <x v="2"/>
    <x v="994"/>
    <n v="23757"/>
    <n v="1"/>
    <x v="1"/>
    <n v="14"/>
    <n v="3"/>
    <n v="3"/>
    <x v="3"/>
    <n v="10"/>
    <x v="0"/>
    <n v="3"/>
    <n v="3"/>
    <x v="0"/>
    <n v="7"/>
    <n v="0"/>
    <n v="4"/>
  </r>
  <r>
    <x v="2"/>
    <x v="1"/>
    <x v="0"/>
    <n v="330"/>
    <x v="2"/>
    <n v="1"/>
    <x v="0"/>
    <n v="3"/>
    <s v="Life Sciences"/>
    <n v="1499"/>
    <n v="3"/>
    <x v="1"/>
    <n v="46"/>
    <n v="3"/>
    <n v="1"/>
    <x v="8"/>
    <x v="2"/>
    <x v="2"/>
    <x v="995"/>
    <n v="15428"/>
    <n v="0"/>
    <x v="1"/>
    <n v="21"/>
    <n v="4"/>
    <n v="1"/>
    <x v="1"/>
    <n v="6"/>
    <x v="0"/>
    <n v="3"/>
    <n v="4"/>
    <x v="2"/>
    <n v="3"/>
    <n v="1"/>
    <n v="3"/>
  </r>
  <r>
    <x v="1"/>
    <x v="1"/>
    <x v="0"/>
    <n v="1229"/>
    <x v="1"/>
    <n v="4"/>
    <x v="0"/>
    <n v="4"/>
    <s v="Life Sciences"/>
    <n v="1501"/>
    <n v="4"/>
    <x v="1"/>
    <n v="30"/>
    <n v="3"/>
    <n v="2"/>
    <x v="4"/>
    <x v="2"/>
    <x v="1"/>
    <x v="996"/>
    <n v="16143"/>
    <n v="0"/>
    <x v="0"/>
    <n v="16"/>
    <n v="3"/>
    <n v="2"/>
    <x v="0"/>
    <n v="4"/>
    <x v="1"/>
    <n v="2"/>
    <n v="3"/>
    <x v="2"/>
    <n v="2"/>
    <n v="1"/>
    <n v="2"/>
  </r>
  <r>
    <x v="2"/>
    <x v="1"/>
    <x v="0"/>
    <n v="1099"/>
    <x v="1"/>
    <n v="4"/>
    <x v="0"/>
    <n v="4"/>
    <s v="Medical"/>
    <n v="1502"/>
    <n v="1"/>
    <x v="0"/>
    <n v="82"/>
    <n v="2"/>
    <n v="1"/>
    <x v="2"/>
    <x v="1"/>
    <x v="1"/>
    <x v="997"/>
    <n v="8192"/>
    <n v="8"/>
    <x v="1"/>
    <n v="11"/>
    <n v="3"/>
    <n v="4"/>
    <x v="0"/>
    <n v="8"/>
    <x v="0"/>
    <n v="5"/>
    <n v="3"/>
    <x v="2"/>
    <n v="4"/>
    <n v="0"/>
    <n v="2"/>
  </r>
  <r>
    <x v="1"/>
    <x v="1"/>
    <x v="0"/>
    <n v="571"/>
    <x v="0"/>
    <n v="14"/>
    <x v="1"/>
    <n v="3"/>
    <s v="Medical"/>
    <n v="1503"/>
    <n v="3"/>
    <x v="0"/>
    <n v="78"/>
    <n v="3"/>
    <n v="2"/>
    <x v="0"/>
    <x v="2"/>
    <x v="1"/>
    <x v="998"/>
    <n v="24200"/>
    <n v="3"/>
    <x v="0"/>
    <n v="17"/>
    <n v="3"/>
    <n v="3"/>
    <x v="1"/>
    <n v="11"/>
    <x v="0"/>
    <n v="4"/>
    <n v="2"/>
    <x v="2"/>
    <n v="4"/>
    <n v="1"/>
    <n v="2"/>
  </r>
  <r>
    <x v="2"/>
    <x v="0"/>
    <x v="1"/>
    <n v="289"/>
    <x v="1"/>
    <n v="2"/>
    <x v="0"/>
    <n v="2"/>
    <s v="Medical"/>
    <n v="1504"/>
    <n v="3"/>
    <x v="1"/>
    <n v="38"/>
    <n v="2"/>
    <n v="1"/>
    <x v="2"/>
    <x v="3"/>
    <x v="0"/>
    <x v="999"/>
    <n v="5355"/>
    <n v="7"/>
    <x v="1"/>
    <n v="11"/>
    <n v="3"/>
    <n v="3"/>
    <x v="0"/>
    <n v="8"/>
    <x v="0"/>
    <n v="2"/>
    <n v="2"/>
    <x v="1"/>
    <n v="0"/>
    <n v="0"/>
    <n v="0"/>
  </r>
  <r>
    <x v="2"/>
    <x v="1"/>
    <x v="0"/>
    <n v="1423"/>
    <x v="1"/>
    <n v="1"/>
    <x v="0"/>
    <n v="3"/>
    <s v="Life Sciences"/>
    <n v="1506"/>
    <n v="1"/>
    <x v="1"/>
    <n v="72"/>
    <n v="2"/>
    <n v="1"/>
    <x v="1"/>
    <x v="2"/>
    <x v="2"/>
    <x v="1000"/>
    <n v="12530"/>
    <n v="1"/>
    <x v="1"/>
    <n v="14"/>
    <n v="3"/>
    <n v="4"/>
    <x v="1"/>
    <n v="1"/>
    <x v="1"/>
    <n v="2"/>
    <n v="1"/>
    <x v="1"/>
    <n v="0"/>
    <n v="0"/>
    <n v="0"/>
  </r>
  <r>
    <x v="2"/>
    <x v="1"/>
    <x v="1"/>
    <n v="467"/>
    <x v="0"/>
    <n v="7"/>
    <x v="1"/>
    <n v="3"/>
    <s v="Life Sciences"/>
    <n v="1507"/>
    <n v="3"/>
    <x v="1"/>
    <n v="55"/>
    <n v="3"/>
    <n v="2"/>
    <x v="0"/>
    <x v="3"/>
    <x v="0"/>
    <x v="249"/>
    <n v="11827"/>
    <n v="0"/>
    <x v="1"/>
    <n v="14"/>
    <n v="3"/>
    <n v="4"/>
    <x v="0"/>
    <n v="5"/>
    <x v="1"/>
    <n v="5"/>
    <n v="3"/>
    <x v="2"/>
    <n v="2"/>
    <n v="1"/>
    <n v="3"/>
  </r>
  <r>
    <x v="1"/>
    <x v="1"/>
    <x v="0"/>
    <n v="271"/>
    <x v="1"/>
    <n v="3"/>
    <x v="0"/>
    <n v="2"/>
    <s v="Medical"/>
    <n v="1509"/>
    <n v="3"/>
    <x v="0"/>
    <n v="43"/>
    <n v="2"/>
    <n v="2"/>
    <x v="2"/>
    <x v="3"/>
    <x v="1"/>
    <x v="1001"/>
    <n v="23070"/>
    <n v="4"/>
    <x v="1"/>
    <n v="25"/>
    <n v="4"/>
    <n v="1"/>
    <x v="1"/>
    <n v="10"/>
    <x v="0"/>
    <n v="3"/>
    <n v="3"/>
    <x v="2"/>
    <n v="2"/>
    <n v="1"/>
    <n v="2"/>
  </r>
  <r>
    <x v="2"/>
    <x v="1"/>
    <x v="1"/>
    <n v="410"/>
    <x v="1"/>
    <n v="2"/>
    <x v="0"/>
    <n v="1"/>
    <s v="Life Sciences"/>
    <n v="1513"/>
    <n v="4"/>
    <x v="0"/>
    <n v="97"/>
    <n v="3"/>
    <n v="1"/>
    <x v="2"/>
    <x v="1"/>
    <x v="1"/>
    <x v="1002"/>
    <n v="4668"/>
    <n v="0"/>
    <x v="1"/>
    <n v="13"/>
    <n v="3"/>
    <n v="3"/>
    <x v="2"/>
    <n v="4"/>
    <x v="1"/>
    <n v="3"/>
    <n v="3"/>
    <x v="2"/>
    <n v="2"/>
    <n v="0"/>
    <n v="2"/>
  </r>
  <r>
    <x v="2"/>
    <x v="1"/>
    <x v="0"/>
    <n v="1083"/>
    <x v="1"/>
    <n v="29"/>
    <x v="2"/>
    <n v="1"/>
    <s v="Life Sciences"/>
    <n v="1514"/>
    <n v="3"/>
    <x v="1"/>
    <n v="96"/>
    <n v="1"/>
    <n v="2"/>
    <x v="3"/>
    <x v="1"/>
    <x v="1"/>
    <x v="1003"/>
    <n v="3173"/>
    <n v="1"/>
    <x v="1"/>
    <n v="14"/>
    <n v="3"/>
    <n v="2"/>
    <x v="3"/>
    <n v="8"/>
    <x v="0"/>
    <n v="2"/>
    <n v="2"/>
    <x v="0"/>
    <n v="6"/>
    <n v="1"/>
    <n v="7"/>
  </r>
  <r>
    <x v="2"/>
    <x v="1"/>
    <x v="0"/>
    <n v="516"/>
    <x v="1"/>
    <n v="8"/>
    <x v="1"/>
    <n v="5"/>
    <s v="Life Sciences"/>
    <n v="1515"/>
    <n v="4"/>
    <x v="1"/>
    <n v="69"/>
    <n v="3"/>
    <n v="2"/>
    <x v="4"/>
    <x v="2"/>
    <x v="0"/>
    <x v="1004"/>
    <n v="22049"/>
    <n v="2"/>
    <x v="0"/>
    <n v="17"/>
    <n v="3"/>
    <n v="1"/>
    <x v="0"/>
    <n v="14"/>
    <x v="0"/>
    <n v="6"/>
    <n v="3"/>
    <x v="1"/>
    <n v="0"/>
    <n v="0"/>
    <n v="0"/>
  </r>
  <r>
    <x v="2"/>
    <x v="1"/>
    <x v="0"/>
    <n v="495"/>
    <x v="1"/>
    <n v="10"/>
    <x v="1"/>
    <n v="3"/>
    <s v="Medical"/>
    <n v="1516"/>
    <n v="3"/>
    <x v="1"/>
    <n v="64"/>
    <n v="3"/>
    <n v="3"/>
    <x v="5"/>
    <x v="0"/>
    <x v="0"/>
    <x v="1005"/>
    <n v="21072"/>
    <n v="2"/>
    <x v="1"/>
    <n v="25"/>
    <n v="4"/>
    <n v="2"/>
    <x v="0"/>
    <n v="10"/>
    <x v="0"/>
    <n v="5"/>
    <n v="4"/>
    <x v="2"/>
    <n v="2"/>
    <n v="0"/>
    <n v="0"/>
  </r>
  <r>
    <x v="1"/>
    <x v="1"/>
    <x v="1"/>
    <n v="1050"/>
    <x v="1"/>
    <n v="11"/>
    <x v="1"/>
    <n v="4"/>
    <s v="Medical"/>
    <n v="1520"/>
    <n v="2"/>
    <x v="0"/>
    <n v="87"/>
    <n v="3"/>
    <n v="4"/>
    <x v="5"/>
    <x v="0"/>
    <x v="2"/>
    <x v="1006"/>
    <n v="24456"/>
    <n v="3"/>
    <x v="1"/>
    <n v="20"/>
    <n v="4"/>
    <n v="1"/>
    <x v="1"/>
    <n v="26"/>
    <x v="2"/>
    <n v="2"/>
    <n v="3"/>
    <x v="3"/>
    <n v="9"/>
    <n v="1"/>
    <n v="12"/>
  </r>
  <r>
    <x v="2"/>
    <x v="0"/>
    <x v="0"/>
    <n v="224"/>
    <x v="1"/>
    <n v="1"/>
    <x v="0"/>
    <n v="4"/>
    <s v="Technical Degree"/>
    <n v="1522"/>
    <n v="1"/>
    <x v="1"/>
    <n v="100"/>
    <n v="2"/>
    <n v="1"/>
    <x v="1"/>
    <x v="3"/>
    <x v="0"/>
    <x v="898"/>
    <n v="7568"/>
    <n v="6"/>
    <x v="1"/>
    <n v="13"/>
    <n v="3"/>
    <n v="3"/>
    <x v="0"/>
    <n v="11"/>
    <x v="0"/>
    <n v="2"/>
    <n v="1"/>
    <x v="0"/>
    <n v="7"/>
    <n v="0"/>
    <n v="7"/>
  </r>
  <r>
    <x v="0"/>
    <x v="1"/>
    <x v="0"/>
    <n v="136"/>
    <x v="1"/>
    <n v="28"/>
    <x v="2"/>
    <n v="3"/>
    <s v="Life Sciences"/>
    <n v="1523"/>
    <n v="4"/>
    <x v="1"/>
    <n v="32"/>
    <n v="3"/>
    <n v="4"/>
    <x v="7"/>
    <x v="3"/>
    <x v="1"/>
    <x v="1007"/>
    <n v="22074"/>
    <n v="3"/>
    <x v="1"/>
    <n v="13"/>
    <n v="3"/>
    <n v="3"/>
    <x v="1"/>
    <n v="24"/>
    <x v="2"/>
    <n v="1"/>
    <n v="4"/>
    <x v="3"/>
    <n v="6"/>
    <n v="14"/>
    <n v="17"/>
  </r>
  <r>
    <x v="0"/>
    <x v="1"/>
    <x v="0"/>
    <n v="1089"/>
    <x v="1"/>
    <n v="6"/>
    <x v="1"/>
    <n v="3"/>
    <s v="Life Sciences"/>
    <n v="1525"/>
    <n v="2"/>
    <x v="0"/>
    <n v="32"/>
    <n v="3"/>
    <n v="3"/>
    <x v="3"/>
    <x v="1"/>
    <x v="0"/>
    <x v="1008"/>
    <n v="9150"/>
    <n v="4"/>
    <x v="1"/>
    <n v="18"/>
    <n v="3"/>
    <n v="4"/>
    <x v="0"/>
    <n v="9"/>
    <x v="0"/>
    <n v="3"/>
    <n v="3"/>
    <x v="1"/>
    <n v="0"/>
    <n v="2"/>
    <n v="2"/>
  </r>
  <r>
    <x v="1"/>
    <x v="1"/>
    <x v="0"/>
    <n v="228"/>
    <x v="0"/>
    <n v="3"/>
    <x v="0"/>
    <n v="3"/>
    <s v="Life Sciences"/>
    <n v="1527"/>
    <n v="3"/>
    <x v="0"/>
    <n v="51"/>
    <n v="3"/>
    <n v="4"/>
    <x v="5"/>
    <x v="1"/>
    <x v="1"/>
    <x v="1009"/>
    <n v="11380"/>
    <n v="8"/>
    <x v="1"/>
    <n v="12"/>
    <n v="3"/>
    <n v="4"/>
    <x v="1"/>
    <n v="23"/>
    <x v="2"/>
    <n v="2"/>
    <n v="4"/>
    <x v="3"/>
    <n v="12"/>
    <n v="5"/>
    <n v="1"/>
  </r>
  <r>
    <x v="2"/>
    <x v="1"/>
    <x v="0"/>
    <n v="1029"/>
    <x v="1"/>
    <n v="16"/>
    <x v="2"/>
    <n v="3"/>
    <s v="Life Sciences"/>
    <n v="1529"/>
    <n v="4"/>
    <x v="0"/>
    <n v="91"/>
    <n v="2"/>
    <n v="3"/>
    <x v="4"/>
    <x v="1"/>
    <x v="0"/>
    <x v="1010"/>
    <n v="21195"/>
    <n v="1"/>
    <x v="1"/>
    <n v="19"/>
    <n v="3"/>
    <n v="4"/>
    <x v="0"/>
    <n v="11"/>
    <x v="0"/>
    <n v="3"/>
    <n v="1"/>
    <x v="3"/>
    <n v="8"/>
    <n v="3"/>
    <n v="3"/>
  </r>
  <r>
    <x v="3"/>
    <x v="1"/>
    <x v="0"/>
    <n v="507"/>
    <x v="1"/>
    <n v="20"/>
    <x v="2"/>
    <n v="1"/>
    <s v="Life Sciences"/>
    <n v="1533"/>
    <n v="1"/>
    <x v="1"/>
    <n v="97"/>
    <n v="3"/>
    <n v="2"/>
    <x v="2"/>
    <x v="2"/>
    <x v="0"/>
    <x v="1011"/>
    <n v="24812"/>
    <n v="0"/>
    <x v="1"/>
    <n v="14"/>
    <n v="3"/>
    <n v="2"/>
    <x v="0"/>
    <n v="5"/>
    <x v="1"/>
    <n v="2"/>
    <n v="3"/>
    <x v="2"/>
    <n v="3"/>
    <n v="1"/>
    <n v="2"/>
  </r>
  <r>
    <x v="0"/>
    <x v="0"/>
    <x v="0"/>
    <n v="676"/>
    <x v="1"/>
    <n v="9"/>
    <x v="1"/>
    <n v="4"/>
    <s v="Life Sciences"/>
    <n v="1534"/>
    <n v="4"/>
    <x v="1"/>
    <n v="86"/>
    <n v="3"/>
    <n v="1"/>
    <x v="2"/>
    <x v="3"/>
    <x v="0"/>
    <x v="1012"/>
    <n v="21831"/>
    <n v="3"/>
    <x v="1"/>
    <n v="14"/>
    <n v="3"/>
    <n v="2"/>
    <x v="0"/>
    <n v="15"/>
    <x v="0"/>
    <n v="3"/>
    <n v="1"/>
    <x v="2"/>
    <n v="4"/>
    <n v="1"/>
    <n v="0"/>
  </r>
  <r>
    <x v="2"/>
    <x v="1"/>
    <x v="0"/>
    <n v="971"/>
    <x v="0"/>
    <n v="1"/>
    <x v="0"/>
    <n v="3"/>
    <s v="Technical Degree"/>
    <n v="1535"/>
    <n v="4"/>
    <x v="1"/>
    <n v="64"/>
    <n v="2"/>
    <n v="3"/>
    <x v="0"/>
    <x v="2"/>
    <x v="1"/>
    <x v="1013"/>
    <n v="12288"/>
    <n v="1"/>
    <x v="0"/>
    <n v="14"/>
    <n v="3"/>
    <n v="4"/>
    <x v="0"/>
    <n v="10"/>
    <x v="0"/>
    <n v="3"/>
    <n v="3"/>
    <x v="0"/>
    <n v="9"/>
    <n v="8"/>
    <n v="6"/>
  </r>
  <r>
    <x v="2"/>
    <x v="0"/>
    <x v="1"/>
    <n v="561"/>
    <x v="1"/>
    <n v="3"/>
    <x v="0"/>
    <n v="3"/>
    <s v="Life Sciences"/>
    <n v="1537"/>
    <n v="4"/>
    <x v="0"/>
    <n v="33"/>
    <n v="3"/>
    <n v="1"/>
    <x v="1"/>
    <x v="2"/>
    <x v="0"/>
    <x v="1014"/>
    <n v="4156"/>
    <n v="1"/>
    <x v="1"/>
    <n v="12"/>
    <n v="3"/>
    <n v="1"/>
    <x v="0"/>
    <n v="7"/>
    <x v="0"/>
    <n v="2"/>
    <n v="1"/>
    <x v="0"/>
    <n v="2"/>
    <n v="7"/>
    <n v="7"/>
  </r>
  <r>
    <x v="1"/>
    <x v="1"/>
    <x v="1"/>
    <n v="333"/>
    <x v="1"/>
    <n v="22"/>
    <x v="2"/>
    <n v="5"/>
    <s v="Medical"/>
    <n v="1539"/>
    <n v="3"/>
    <x v="1"/>
    <n v="88"/>
    <n v="1"/>
    <n v="4"/>
    <x v="7"/>
    <x v="0"/>
    <x v="0"/>
    <x v="1015"/>
    <n v="24450"/>
    <n v="1"/>
    <x v="0"/>
    <n v="13"/>
    <n v="3"/>
    <n v="4"/>
    <x v="0"/>
    <n v="32"/>
    <x v="2"/>
    <n v="2"/>
    <n v="3"/>
    <x v="3"/>
    <n v="6"/>
    <n v="13"/>
    <n v="9"/>
  </r>
  <r>
    <x v="2"/>
    <x v="1"/>
    <x v="0"/>
    <n v="1440"/>
    <x v="0"/>
    <n v="7"/>
    <x v="1"/>
    <n v="2"/>
    <s v="Technical Degree"/>
    <n v="1541"/>
    <n v="2"/>
    <x v="1"/>
    <n v="55"/>
    <n v="3"/>
    <n v="1"/>
    <x v="6"/>
    <x v="2"/>
    <x v="1"/>
    <x v="1016"/>
    <n v="4944"/>
    <n v="0"/>
    <x v="0"/>
    <n v="25"/>
    <n v="4"/>
    <n v="2"/>
    <x v="1"/>
    <n v="12"/>
    <x v="0"/>
    <n v="4"/>
    <n v="3"/>
    <x v="3"/>
    <n v="10"/>
    <n v="5"/>
    <n v="7"/>
  </r>
  <r>
    <x v="0"/>
    <x v="1"/>
    <x v="0"/>
    <n v="1210"/>
    <x v="1"/>
    <n v="2"/>
    <x v="0"/>
    <n v="3"/>
    <s v="Medical"/>
    <n v="1542"/>
    <n v="3"/>
    <x v="1"/>
    <n v="68"/>
    <n v="2"/>
    <n v="1"/>
    <x v="2"/>
    <x v="1"/>
    <x v="1"/>
    <x v="1017"/>
    <n v="24052"/>
    <n v="4"/>
    <x v="1"/>
    <n v="14"/>
    <n v="3"/>
    <n v="2"/>
    <x v="1"/>
    <n v="4"/>
    <x v="1"/>
    <n v="3"/>
    <n v="3"/>
    <x v="1"/>
    <n v="0"/>
    <n v="0"/>
    <n v="0"/>
  </r>
  <r>
    <x v="0"/>
    <x v="1"/>
    <x v="0"/>
    <n v="674"/>
    <x v="1"/>
    <n v="13"/>
    <x v="1"/>
    <n v="3"/>
    <s v="Medical"/>
    <n v="1543"/>
    <n v="1"/>
    <x v="1"/>
    <n v="47"/>
    <n v="3"/>
    <n v="2"/>
    <x v="1"/>
    <x v="0"/>
    <x v="1"/>
    <x v="1018"/>
    <n v="3031"/>
    <n v="1"/>
    <x v="1"/>
    <n v="17"/>
    <n v="3"/>
    <n v="1"/>
    <x v="0"/>
    <n v="10"/>
    <x v="0"/>
    <n v="2"/>
    <n v="3"/>
    <x v="0"/>
    <n v="8"/>
    <n v="3"/>
    <n v="7"/>
  </r>
  <r>
    <x v="2"/>
    <x v="1"/>
    <x v="0"/>
    <n v="441"/>
    <x v="1"/>
    <n v="8"/>
    <x v="1"/>
    <n v="1"/>
    <s v="Other"/>
    <n v="1544"/>
    <n v="3"/>
    <x v="0"/>
    <n v="39"/>
    <n v="1"/>
    <n v="2"/>
    <x v="4"/>
    <x v="3"/>
    <x v="1"/>
    <x v="1019"/>
    <n v="7288"/>
    <n v="3"/>
    <x v="1"/>
    <n v="13"/>
    <n v="3"/>
    <n v="3"/>
    <x v="1"/>
    <n v="9"/>
    <x v="0"/>
    <n v="3"/>
    <n v="3"/>
    <x v="0"/>
    <n v="7"/>
    <n v="0"/>
    <n v="7"/>
  </r>
  <r>
    <x v="2"/>
    <x v="1"/>
    <x v="0"/>
    <n v="575"/>
    <x v="1"/>
    <n v="25"/>
    <x v="2"/>
    <n v="3"/>
    <s v="Life Sciences"/>
    <n v="1545"/>
    <n v="4"/>
    <x v="1"/>
    <n v="44"/>
    <n v="2"/>
    <n v="2"/>
    <x v="3"/>
    <x v="1"/>
    <x v="0"/>
    <x v="1020"/>
    <n v="24152"/>
    <n v="1"/>
    <x v="1"/>
    <n v="13"/>
    <n v="3"/>
    <n v="4"/>
    <x v="0"/>
    <n v="5"/>
    <x v="1"/>
    <n v="2"/>
    <n v="3"/>
    <x v="2"/>
    <n v="3"/>
    <n v="0"/>
    <n v="2"/>
  </r>
  <r>
    <x v="0"/>
    <x v="1"/>
    <x v="0"/>
    <n v="950"/>
    <x v="1"/>
    <n v="28"/>
    <x v="2"/>
    <n v="3"/>
    <s v="Technical Degree"/>
    <n v="1546"/>
    <n v="4"/>
    <x v="1"/>
    <n v="97"/>
    <n v="3"/>
    <n v="1"/>
    <x v="1"/>
    <x v="0"/>
    <x v="1"/>
    <x v="685"/>
    <n v="4585"/>
    <n v="4"/>
    <x v="1"/>
    <n v="20"/>
    <n v="4"/>
    <n v="4"/>
    <x v="1"/>
    <n v="8"/>
    <x v="0"/>
    <n v="3"/>
    <n v="3"/>
    <x v="2"/>
    <n v="4"/>
    <n v="0"/>
    <n v="3"/>
  </r>
  <r>
    <x v="0"/>
    <x v="1"/>
    <x v="1"/>
    <n v="288"/>
    <x v="1"/>
    <n v="2"/>
    <x v="0"/>
    <n v="3"/>
    <s v="Life Sciences"/>
    <n v="1547"/>
    <n v="4"/>
    <x v="1"/>
    <n v="40"/>
    <n v="3"/>
    <n v="3"/>
    <x v="4"/>
    <x v="0"/>
    <x v="1"/>
    <x v="1021"/>
    <n v="18611"/>
    <n v="2"/>
    <x v="0"/>
    <n v="14"/>
    <n v="3"/>
    <n v="3"/>
    <x v="1"/>
    <n v="24"/>
    <x v="2"/>
    <n v="3"/>
    <n v="1"/>
    <x v="3"/>
    <n v="8"/>
    <n v="13"/>
    <n v="9"/>
  </r>
  <r>
    <x v="0"/>
    <x v="1"/>
    <x v="0"/>
    <n v="1342"/>
    <x v="0"/>
    <n v="9"/>
    <x v="1"/>
    <n v="2"/>
    <s v="Medical"/>
    <n v="1548"/>
    <n v="1"/>
    <x v="1"/>
    <n v="47"/>
    <n v="3"/>
    <n v="2"/>
    <x v="0"/>
    <x v="3"/>
    <x v="1"/>
    <x v="67"/>
    <n v="19345"/>
    <n v="0"/>
    <x v="1"/>
    <n v="12"/>
    <n v="3"/>
    <n v="4"/>
    <x v="0"/>
    <n v="9"/>
    <x v="0"/>
    <n v="5"/>
    <n v="4"/>
    <x v="0"/>
    <n v="4"/>
    <n v="7"/>
    <n v="1"/>
  </r>
  <r>
    <x v="2"/>
    <x v="1"/>
    <x v="0"/>
    <n v="589"/>
    <x v="1"/>
    <n v="28"/>
    <x v="2"/>
    <n v="4"/>
    <s v="Life Sciences"/>
    <n v="1549"/>
    <n v="2"/>
    <x v="1"/>
    <n v="79"/>
    <n v="3"/>
    <n v="2"/>
    <x v="2"/>
    <x v="2"/>
    <x v="1"/>
    <x v="1022"/>
    <n v="22949"/>
    <n v="1"/>
    <x v="0"/>
    <n v="12"/>
    <n v="3"/>
    <n v="2"/>
    <x v="1"/>
    <n v="15"/>
    <x v="0"/>
    <n v="3"/>
    <n v="3"/>
    <x v="3"/>
    <n v="14"/>
    <n v="5"/>
    <n v="7"/>
  </r>
  <r>
    <x v="0"/>
    <x v="1"/>
    <x v="0"/>
    <n v="898"/>
    <x v="2"/>
    <n v="6"/>
    <x v="1"/>
    <n v="2"/>
    <s v="Medical"/>
    <n v="1550"/>
    <n v="3"/>
    <x v="1"/>
    <n v="38"/>
    <n v="3"/>
    <n v="4"/>
    <x v="5"/>
    <x v="0"/>
    <x v="0"/>
    <x v="1023"/>
    <n v="17381"/>
    <n v="1"/>
    <x v="0"/>
    <n v="21"/>
    <n v="4"/>
    <n v="4"/>
    <x v="0"/>
    <n v="21"/>
    <x v="2"/>
    <n v="2"/>
    <n v="3"/>
    <x v="3"/>
    <n v="7"/>
    <n v="7"/>
    <n v="7"/>
  </r>
  <r>
    <x v="3"/>
    <x v="1"/>
    <x v="0"/>
    <n v="350"/>
    <x v="1"/>
    <n v="21"/>
    <x v="2"/>
    <n v="2"/>
    <s v="Technical Degree"/>
    <n v="1551"/>
    <n v="3"/>
    <x v="1"/>
    <n v="57"/>
    <n v="2"/>
    <n v="1"/>
    <x v="2"/>
    <x v="3"/>
    <x v="2"/>
    <x v="1024"/>
    <n v="10036"/>
    <n v="0"/>
    <x v="1"/>
    <n v="14"/>
    <n v="3"/>
    <n v="2"/>
    <x v="2"/>
    <n v="2"/>
    <x v="1"/>
    <n v="3"/>
    <n v="3"/>
    <x v="1"/>
    <n v="1"/>
    <n v="0"/>
    <n v="0"/>
  </r>
  <r>
    <x v="0"/>
    <x v="1"/>
    <x v="2"/>
    <n v="1142"/>
    <x v="1"/>
    <n v="8"/>
    <x v="1"/>
    <n v="2"/>
    <s v="Life Sciences"/>
    <n v="1552"/>
    <n v="4"/>
    <x v="1"/>
    <n v="72"/>
    <n v="3"/>
    <n v="2"/>
    <x v="4"/>
    <x v="0"/>
    <x v="2"/>
    <x v="1025"/>
    <n v="8841"/>
    <n v="3"/>
    <x v="0"/>
    <n v="18"/>
    <n v="3"/>
    <n v="3"/>
    <x v="0"/>
    <n v="8"/>
    <x v="0"/>
    <n v="2"/>
    <n v="3"/>
    <x v="1"/>
    <n v="2"/>
    <n v="2"/>
    <n v="2"/>
  </r>
  <r>
    <x v="0"/>
    <x v="1"/>
    <x v="0"/>
    <n v="538"/>
    <x v="1"/>
    <n v="1"/>
    <x v="0"/>
    <n v="4"/>
    <s v="Technical Degree"/>
    <n v="1553"/>
    <n v="1"/>
    <x v="1"/>
    <n v="66"/>
    <n v="3"/>
    <n v="3"/>
    <x v="4"/>
    <x v="1"/>
    <x v="2"/>
    <x v="1026"/>
    <n v="20933"/>
    <n v="1"/>
    <x v="1"/>
    <n v="12"/>
    <n v="3"/>
    <n v="1"/>
    <x v="2"/>
    <n v="10"/>
    <x v="0"/>
    <n v="4"/>
    <n v="3"/>
    <x v="0"/>
    <n v="8"/>
    <n v="7"/>
    <n v="7"/>
  </r>
  <r>
    <x v="2"/>
    <x v="1"/>
    <x v="0"/>
    <n v="1402"/>
    <x v="0"/>
    <n v="28"/>
    <x v="2"/>
    <n v="4"/>
    <s v="Life Sciences"/>
    <n v="1554"/>
    <n v="2"/>
    <x v="0"/>
    <n v="98"/>
    <n v="2"/>
    <n v="1"/>
    <x v="6"/>
    <x v="2"/>
    <x v="1"/>
    <x v="1027"/>
    <n v="26204"/>
    <n v="0"/>
    <x v="1"/>
    <n v="23"/>
    <n v="4"/>
    <n v="1"/>
    <x v="3"/>
    <n v="6"/>
    <x v="0"/>
    <n v="5"/>
    <n v="3"/>
    <x v="2"/>
    <n v="3"/>
    <n v="4"/>
    <n v="2"/>
  </r>
  <r>
    <x v="2"/>
    <x v="1"/>
    <x v="0"/>
    <n v="824"/>
    <x v="1"/>
    <n v="5"/>
    <x v="0"/>
    <n v="2"/>
    <s v="Life Sciences"/>
    <n v="1555"/>
    <n v="4"/>
    <x v="0"/>
    <n v="67"/>
    <n v="2"/>
    <n v="2"/>
    <x v="1"/>
    <x v="1"/>
    <x v="1"/>
    <x v="1028"/>
    <n v="15624"/>
    <n v="3"/>
    <x v="1"/>
    <n v="12"/>
    <n v="3"/>
    <n v="1"/>
    <x v="1"/>
    <n v="12"/>
    <x v="0"/>
    <n v="2"/>
    <n v="3"/>
    <x v="0"/>
    <n v="1"/>
    <n v="2"/>
    <n v="5"/>
  </r>
  <r>
    <x v="0"/>
    <x v="1"/>
    <x v="0"/>
    <n v="1157"/>
    <x v="0"/>
    <n v="2"/>
    <x v="0"/>
    <n v="4"/>
    <s v="Life Sciences"/>
    <n v="1556"/>
    <n v="3"/>
    <x v="1"/>
    <n v="70"/>
    <n v="3"/>
    <n v="1"/>
    <x v="6"/>
    <x v="0"/>
    <x v="0"/>
    <x v="1029"/>
    <n v="17001"/>
    <n v="3"/>
    <x v="0"/>
    <n v="21"/>
    <n v="4"/>
    <n v="4"/>
    <x v="0"/>
    <n v="7"/>
    <x v="0"/>
    <n v="3"/>
    <n v="2"/>
    <x v="2"/>
    <n v="2"/>
    <n v="1"/>
    <n v="2"/>
  </r>
  <r>
    <x v="1"/>
    <x v="1"/>
    <x v="0"/>
    <n v="492"/>
    <x v="0"/>
    <n v="16"/>
    <x v="2"/>
    <n v="4"/>
    <s v="Life Sciences"/>
    <n v="1557"/>
    <n v="3"/>
    <x v="0"/>
    <n v="96"/>
    <n v="3"/>
    <n v="2"/>
    <x v="0"/>
    <x v="2"/>
    <x v="2"/>
    <x v="1030"/>
    <n v="13693"/>
    <n v="8"/>
    <x v="1"/>
    <n v="14"/>
    <n v="3"/>
    <n v="3"/>
    <x v="1"/>
    <n v="18"/>
    <x v="2"/>
    <n v="2"/>
    <n v="3"/>
    <x v="0"/>
    <n v="7"/>
    <n v="7"/>
    <n v="7"/>
  </r>
  <r>
    <x v="2"/>
    <x v="1"/>
    <x v="0"/>
    <n v="598"/>
    <x v="1"/>
    <n v="9"/>
    <x v="1"/>
    <n v="3"/>
    <s v="Life Sciences"/>
    <n v="1558"/>
    <n v="3"/>
    <x v="1"/>
    <n v="91"/>
    <n v="4"/>
    <n v="1"/>
    <x v="1"/>
    <x v="2"/>
    <x v="1"/>
    <x v="163"/>
    <n v="22376"/>
    <n v="6"/>
    <x v="1"/>
    <n v="18"/>
    <n v="3"/>
    <n v="1"/>
    <x v="3"/>
    <n v="5"/>
    <x v="1"/>
    <n v="2"/>
    <n v="2"/>
    <x v="1"/>
    <n v="0"/>
    <n v="0"/>
    <n v="0"/>
  </r>
  <r>
    <x v="2"/>
    <x v="1"/>
    <x v="0"/>
    <n v="1242"/>
    <x v="0"/>
    <n v="8"/>
    <x v="1"/>
    <n v="4"/>
    <s v="Life Sciences"/>
    <n v="1560"/>
    <n v="1"/>
    <x v="1"/>
    <n v="46"/>
    <n v="3"/>
    <n v="2"/>
    <x v="0"/>
    <x v="3"/>
    <x v="1"/>
    <x v="1031"/>
    <n v="10589"/>
    <n v="2"/>
    <x v="1"/>
    <n v="13"/>
    <n v="3"/>
    <n v="4"/>
    <x v="1"/>
    <n v="8"/>
    <x v="0"/>
    <n v="6"/>
    <n v="1"/>
    <x v="1"/>
    <n v="2"/>
    <n v="2"/>
    <n v="2"/>
  </r>
  <r>
    <x v="2"/>
    <x v="0"/>
    <x v="0"/>
    <n v="740"/>
    <x v="0"/>
    <n v="1"/>
    <x v="0"/>
    <n v="3"/>
    <s v="Life Sciences"/>
    <n v="1562"/>
    <n v="2"/>
    <x v="1"/>
    <n v="64"/>
    <n v="2"/>
    <n v="2"/>
    <x v="0"/>
    <x v="3"/>
    <x v="1"/>
    <x v="1032"/>
    <n v="5323"/>
    <n v="1"/>
    <x v="1"/>
    <n v="11"/>
    <n v="3"/>
    <n v="4"/>
    <x v="1"/>
    <n v="10"/>
    <x v="0"/>
    <n v="4"/>
    <n v="3"/>
    <x v="0"/>
    <n v="8"/>
    <n v="6"/>
    <n v="7"/>
  </r>
  <r>
    <x v="0"/>
    <x v="1"/>
    <x v="1"/>
    <n v="888"/>
    <x v="2"/>
    <n v="10"/>
    <x v="1"/>
    <n v="4"/>
    <s v="Human Resources"/>
    <n v="1563"/>
    <n v="3"/>
    <x v="1"/>
    <n v="71"/>
    <n v="3"/>
    <n v="2"/>
    <x v="8"/>
    <x v="2"/>
    <x v="1"/>
    <x v="1033"/>
    <n v="14814"/>
    <n v="3"/>
    <x v="1"/>
    <n v="11"/>
    <n v="3"/>
    <n v="3"/>
    <x v="0"/>
    <n v="10"/>
    <x v="0"/>
    <n v="2"/>
    <n v="3"/>
    <x v="0"/>
    <n v="3"/>
    <n v="1"/>
    <n v="2"/>
  </r>
  <r>
    <x v="2"/>
    <x v="1"/>
    <x v="0"/>
    <n v="992"/>
    <x v="1"/>
    <n v="1"/>
    <x v="0"/>
    <n v="3"/>
    <s v="Medical"/>
    <n v="1564"/>
    <n v="4"/>
    <x v="1"/>
    <n v="68"/>
    <n v="2"/>
    <n v="1"/>
    <x v="2"/>
    <x v="3"/>
    <x v="0"/>
    <x v="533"/>
    <n v="21731"/>
    <n v="1"/>
    <x v="1"/>
    <n v="19"/>
    <n v="3"/>
    <n v="2"/>
    <x v="0"/>
    <n v="3"/>
    <x v="1"/>
    <n v="3"/>
    <n v="3"/>
    <x v="2"/>
    <n v="0"/>
    <n v="1"/>
    <n v="2"/>
  </r>
  <r>
    <x v="2"/>
    <x v="1"/>
    <x v="0"/>
    <n v="1288"/>
    <x v="0"/>
    <n v="29"/>
    <x v="2"/>
    <n v="4"/>
    <s v="Technical Degree"/>
    <n v="1568"/>
    <n v="3"/>
    <x v="1"/>
    <n v="33"/>
    <n v="3"/>
    <n v="3"/>
    <x v="0"/>
    <x v="1"/>
    <x v="1"/>
    <x v="1034"/>
    <n v="17799"/>
    <n v="3"/>
    <x v="1"/>
    <n v="12"/>
    <n v="3"/>
    <n v="2"/>
    <x v="1"/>
    <n v="9"/>
    <x v="0"/>
    <n v="3"/>
    <n v="3"/>
    <x v="2"/>
    <n v="2"/>
    <n v="1"/>
    <n v="3"/>
  </r>
  <r>
    <x v="2"/>
    <x v="0"/>
    <x v="0"/>
    <n v="104"/>
    <x v="1"/>
    <n v="2"/>
    <x v="0"/>
    <n v="3"/>
    <s v="Life Sciences"/>
    <n v="1569"/>
    <n v="1"/>
    <x v="0"/>
    <n v="69"/>
    <n v="3"/>
    <n v="1"/>
    <x v="2"/>
    <x v="3"/>
    <x v="2"/>
    <x v="1035"/>
    <n v="26619"/>
    <n v="1"/>
    <x v="0"/>
    <n v="12"/>
    <n v="3"/>
    <n v="4"/>
    <x v="1"/>
    <n v="1"/>
    <x v="1"/>
    <n v="2"/>
    <n v="3"/>
    <x v="1"/>
    <n v="0"/>
    <n v="0"/>
    <n v="0"/>
  </r>
  <r>
    <x v="1"/>
    <x v="0"/>
    <x v="0"/>
    <n v="607"/>
    <x v="1"/>
    <n v="2"/>
    <x v="0"/>
    <n v="5"/>
    <s v="Technical Degree"/>
    <n v="1572"/>
    <n v="3"/>
    <x v="0"/>
    <n v="78"/>
    <n v="2"/>
    <n v="3"/>
    <x v="3"/>
    <x v="0"/>
    <x v="1"/>
    <x v="1036"/>
    <n v="14618"/>
    <n v="0"/>
    <x v="1"/>
    <n v="16"/>
    <n v="3"/>
    <n v="2"/>
    <x v="1"/>
    <n v="34"/>
    <x v="2"/>
    <n v="4"/>
    <n v="3"/>
    <x v="3"/>
    <n v="7"/>
    <n v="1"/>
    <n v="9"/>
  </r>
  <r>
    <x v="0"/>
    <x v="0"/>
    <x v="0"/>
    <n v="903"/>
    <x v="1"/>
    <n v="2"/>
    <x v="0"/>
    <n v="3"/>
    <s v="Medical"/>
    <n v="1573"/>
    <n v="3"/>
    <x v="1"/>
    <n v="81"/>
    <n v="3"/>
    <n v="2"/>
    <x v="3"/>
    <x v="1"/>
    <x v="1"/>
    <x v="1037"/>
    <n v="7653"/>
    <n v="4"/>
    <x v="1"/>
    <n v="11"/>
    <n v="3"/>
    <n v="1"/>
    <x v="3"/>
    <n v="7"/>
    <x v="0"/>
    <n v="2"/>
    <n v="3"/>
    <x v="2"/>
    <n v="2"/>
    <n v="1"/>
    <n v="4"/>
  </r>
  <r>
    <x v="2"/>
    <x v="1"/>
    <x v="2"/>
    <n v="1200"/>
    <x v="1"/>
    <n v="1"/>
    <x v="0"/>
    <n v="4"/>
    <s v="Technical Degree"/>
    <n v="1574"/>
    <n v="4"/>
    <x v="1"/>
    <n v="62"/>
    <n v="3"/>
    <n v="2"/>
    <x v="1"/>
    <x v="3"/>
    <x v="1"/>
    <x v="1038"/>
    <n v="25174"/>
    <n v="4"/>
    <x v="1"/>
    <n v="14"/>
    <n v="3"/>
    <n v="2"/>
    <x v="1"/>
    <n v="9"/>
    <x v="0"/>
    <n v="3"/>
    <n v="2"/>
    <x v="0"/>
    <n v="5"/>
    <n v="1"/>
    <n v="2"/>
  </r>
  <r>
    <x v="1"/>
    <x v="1"/>
    <x v="0"/>
    <n v="1108"/>
    <x v="1"/>
    <n v="15"/>
    <x v="1"/>
    <n v="4"/>
    <s v="Other"/>
    <n v="1576"/>
    <n v="3"/>
    <x v="0"/>
    <n v="65"/>
    <n v="3"/>
    <n v="1"/>
    <x v="1"/>
    <x v="3"/>
    <x v="1"/>
    <x v="1039"/>
    <n v="16530"/>
    <n v="8"/>
    <x v="1"/>
    <n v="12"/>
    <n v="3"/>
    <n v="4"/>
    <x v="1"/>
    <n v="10"/>
    <x v="0"/>
    <n v="3"/>
    <n v="2"/>
    <x v="0"/>
    <n v="2"/>
    <n v="7"/>
    <n v="6"/>
  </r>
  <r>
    <x v="2"/>
    <x v="1"/>
    <x v="0"/>
    <n v="479"/>
    <x v="1"/>
    <n v="7"/>
    <x v="1"/>
    <n v="4"/>
    <s v="Medical"/>
    <n v="1577"/>
    <n v="1"/>
    <x v="1"/>
    <n v="35"/>
    <n v="3"/>
    <n v="1"/>
    <x v="1"/>
    <x v="0"/>
    <x v="0"/>
    <x v="1040"/>
    <n v="22061"/>
    <n v="1"/>
    <x v="1"/>
    <n v="13"/>
    <n v="3"/>
    <n v="3"/>
    <x v="0"/>
    <n v="1"/>
    <x v="1"/>
    <n v="4"/>
    <n v="1"/>
    <x v="1"/>
    <n v="0"/>
    <n v="0"/>
    <n v="0"/>
  </r>
  <r>
    <x v="1"/>
    <x v="1"/>
    <x v="0"/>
    <n v="685"/>
    <x v="0"/>
    <n v="26"/>
    <x v="2"/>
    <n v="5"/>
    <s v="Marketing"/>
    <n v="1578"/>
    <n v="3"/>
    <x v="1"/>
    <n v="60"/>
    <n v="2"/>
    <n v="5"/>
    <x v="5"/>
    <x v="0"/>
    <x v="1"/>
    <x v="1041"/>
    <n v="23037"/>
    <n v="1"/>
    <x v="1"/>
    <n v="21"/>
    <n v="4"/>
    <n v="3"/>
    <x v="1"/>
    <n v="36"/>
    <x v="2"/>
    <n v="3"/>
    <n v="3"/>
    <x v="3"/>
    <n v="6"/>
    <n v="2"/>
    <n v="13"/>
  </r>
  <r>
    <x v="2"/>
    <x v="1"/>
    <x v="0"/>
    <n v="1351"/>
    <x v="1"/>
    <n v="1"/>
    <x v="0"/>
    <n v="4"/>
    <s v="Life Sciences"/>
    <n v="1580"/>
    <n v="2"/>
    <x v="1"/>
    <n v="45"/>
    <n v="3"/>
    <n v="2"/>
    <x v="1"/>
    <x v="0"/>
    <x v="1"/>
    <x v="299"/>
    <n v="13008"/>
    <n v="9"/>
    <x v="1"/>
    <n v="17"/>
    <n v="3"/>
    <n v="2"/>
    <x v="1"/>
    <n v="9"/>
    <x v="0"/>
    <n v="3"/>
    <n v="2"/>
    <x v="1"/>
    <n v="2"/>
    <n v="2"/>
    <n v="1"/>
  </r>
  <r>
    <x v="2"/>
    <x v="1"/>
    <x v="0"/>
    <n v="474"/>
    <x v="1"/>
    <n v="3"/>
    <x v="0"/>
    <n v="3"/>
    <s v="Life Sciences"/>
    <n v="1581"/>
    <n v="1"/>
    <x v="0"/>
    <n v="89"/>
    <n v="3"/>
    <n v="1"/>
    <x v="1"/>
    <x v="0"/>
    <x v="1"/>
    <x v="1042"/>
    <n v="11133"/>
    <n v="1"/>
    <x v="1"/>
    <n v="21"/>
    <n v="4"/>
    <n v="1"/>
    <x v="0"/>
    <n v="1"/>
    <x v="1"/>
    <n v="5"/>
    <n v="3"/>
    <x v="1"/>
    <n v="0"/>
    <n v="0"/>
    <n v="0"/>
  </r>
  <r>
    <x v="0"/>
    <x v="1"/>
    <x v="0"/>
    <n v="1245"/>
    <x v="0"/>
    <n v="14"/>
    <x v="1"/>
    <n v="3"/>
    <s v="Life Sciences"/>
    <n v="1582"/>
    <n v="3"/>
    <x v="1"/>
    <n v="80"/>
    <n v="3"/>
    <n v="2"/>
    <x v="0"/>
    <x v="1"/>
    <x v="1"/>
    <x v="1043"/>
    <n v="12355"/>
    <n v="0"/>
    <x v="1"/>
    <n v="11"/>
    <n v="3"/>
    <n v="4"/>
    <x v="1"/>
    <n v="10"/>
    <x v="0"/>
    <n v="3"/>
    <n v="3"/>
    <x v="0"/>
    <n v="8"/>
    <n v="7"/>
    <n v="7"/>
  </r>
  <r>
    <x v="0"/>
    <x v="1"/>
    <x v="0"/>
    <n v="437"/>
    <x v="0"/>
    <n v="16"/>
    <x v="2"/>
    <n v="3"/>
    <s v="Life Sciences"/>
    <n v="1583"/>
    <n v="2"/>
    <x v="0"/>
    <n v="90"/>
    <n v="3"/>
    <n v="2"/>
    <x v="0"/>
    <x v="1"/>
    <x v="0"/>
    <x v="1044"/>
    <n v="16379"/>
    <n v="2"/>
    <x v="1"/>
    <n v="12"/>
    <n v="3"/>
    <n v="2"/>
    <x v="0"/>
    <n v="8"/>
    <x v="0"/>
    <n v="5"/>
    <n v="4"/>
    <x v="2"/>
    <n v="2"/>
    <n v="1"/>
    <n v="2"/>
  </r>
  <r>
    <x v="0"/>
    <x v="1"/>
    <x v="0"/>
    <n v="884"/>
    <x v="0"/>
    <n v="1"/>
    <x v="0"/>
    <n v="4"/>
    <s v="Life Sciences"/>
    <n v="1585"/>
    <n v="2"/>
    <x v="0"/>
    <n v="73"/>
    <n v="3"/>
    <n v="2"/>
    <x v="0"/>
    <x v="2"/>
    <x v="0"/>
    <x v="1045"/>
    <n v="21447"/>
    <n v="6"/>
    <x v="1"/>
    <n v="13"/>
    <n v="3"/>
    <n v="1"/>
    <x v="0"/>
    <n v="15"/>
    <x v="0"/>
    <n v="5"/>
    <n v="3"/>
    <x v="1"/>
    <n v="0"/>
    <n v="0"/>
    <n v="0"/>
  </r>
  <r>
    <x v="2"/>
    <x v="1"/>
    <x v="0"/>
    <n v="1370"/>
    <x v="1"/>
    <n v="3"/>
    <x v="0"/>
    <n v="1"/>
    <s v="Medical"/>
    <n v="1586"/>
    <n v="2"/>
    <x v="1"/>
    <n v="87"/>
    <n v="3"/>
    <n v="1"/>
    <x v="2"/>
    <x v="3"/>
    <x v="0"/>
    <x v="1046"/>
    <n v="16213"/>
    <n v="1"/>
    <x v="0"/>
    <n v="18"/>
    <n v="3"/>
    <n v="4"/>
    <x v="0"/>
    <n v="10"/>
    <x v="0"/>
    <n v="3"/>
    <n v="3"/>
    <x v="0"/>
    <n v="9"/>
    <n v="1"/>
    <n v="5"/>
  </r>
  <r>
    <x v="2"/>
    <x v="1"/>
    <x v="0"/>
    <n v="670"/>
    <x v="1"/>
    <n v="10"/>
    <x v="1"/>
    <n v="4"/>
    <s v="Medical"/>
    <n v="1587"/>
    <n v="1"/>
    <x v="0"/>
    <n v="51"/>
    <n v="3"/>
    <n v="2"/>
    <x v="4"/>
    <x v="2"/>
    <x v="0"/>
    <x v="528"/>
    <n v="4223"/>
    <n v="3"/>
    <x v="0"/>
    <n v="16"/>
    <n v="3"/>
    <n v="3"/>
    <x v="0"/>
    <n v="10"/>
    <x v="0"/>
    <n v="4"/>
    <n v="3"/>
    <x v="2"/>
    <n v="2"/>
    <n v="0"/>
    <n v="4"/>
  </r>
  <r>
    <x v="0"/>
    <x v="1"/>
    <x v="0"/>
    <n v="1462"/>
    <x v="0"/>
    <n v="6"/>
    <x v="1"/>
    <n v="3"/>
    <s v="Medical"/>
    <n v="1588"/>
    <n v="4"/>
    <x v="1"/>
    <n v="38"/>
    <n v="4"/>
    <n v="3"/>
    <x v="0"/>
    <x v="2"/>
    <x v="1"/>
    <x v="1047"/>
    <n v="4658"/>
    <n v="2"/>
    <x v="1"/>
    <n v="11"/>
    <n v="3"/>
    <n v="1"/>
    <x v="1"/>
    <n v="11"/>
    <x v="0"/>
    <n v="3"/>
    <n v="3"/>
    <x v="0"/>
    <n v="6"/>
    <n v="7"/>
    <n v="6"/>
  </r>
  <r>
    <x v="2"/>
    <x v="1"/>
    <x v="1"/>
    <n v="995"/>
    <x v="1"/>
    <n v="2"/>
    <x v="0"/>
    <n v="1"/>
    <s v="Life Sciences"/>
    <n v="1590"/>
    <n v="1"/>
    <x v="1"/>
    <n v="87"/>
    <n v="3"/>
    <n v="2"/>
    <x v="4"/>
    <x v="0"/>
    <x v="2"/>
    <x v="1048"/>
    <n v="24483"/>
    <n v="1"/>
    <x v="1"/>
    <n v="19"/>
    <n v="3"/>
    <n v="4"/>
    <x v="1"/>
    <n v="6"/>
    <x v="0"/>
    <n v="0"/>
    <n v="4"/>
    <x v="0"/>
    <n v="4"/>
    <n v="1"/>
    <n v="3"/>
  </r>
  <r>
    <x v="1"/>
    <x v="1"/>
    <x v="0"/>
    <n v="264"/>
    <x v="0"/>
    <n v="9"/>
    <x v="1"/>
    <n v="3"/>
    <s v="Marketing"/>
    <n v="1591"/>
    <n v="3"/>
    <x v="1"/>
    <n v="59"/>
    <n v="3"/>
    <n v="5"/>
    <x v="5"/>
    <x v="2"/>
    <x v="1"/>
    <x v="1049"/>
    <n v="19519"/>
    <n v="4"/>
    <x v="0"/>
    <n v="16"/>
    <n v="3"/>
    <n v="3"/>
    <x v="1"/>
    <n v="27"/>
    <x v="2"/>
    <n v="2"/>
    <n v="3"/>
    <x v="1"/>
    <n v="0"/>
    <n v="0"/>
    <n v="0"/>
  </r>
  <r>
    <x v="3"/>
    <x v="1"/>
    <x v="0"/>
    <n v="977"/>
    <x v="1"/>
    <n v="10"/>
    <x v="1"/>
    <n v="3"/>
    <s v="Technical Degree"/>
    <n v="1592"/>
    <n v="4"/>
    <x v="1"/>
    <n v="45"/>
    <n v="4"/>
    <n v="1"/>
    <x v="1"/>
    <x v="2"/>
    <x v="1"/>
    <x v="97"/>
    <n v="12826"/>
    <n v="2"/>
    <x v="1"/>
    <n v="16"/>
    <n v="3"/>
    <n v="4"/>
    <x v="1"/>
    <n v="4"/>
    <x v="1"/>
    <n v="2"/>
    <n v="3"/>
    <x v="1"/>
    <n v="2"/>
    <n v="2"/>
    <n v="2"/>
  </r>
  <r>
    <x v="0"/>
    <x v="1"/>
    <x v="1"/>
    <n v="1302"/>
    <x v="1"/>
    <n v="6"/>
    <x v="1"/>
    <n v="4"/>
    <s v="Life Sciences"/>
    <n v="1594"/>
    <n v="1"/>
    <x v="1"/>
    <n v="80"/>
    <n v="4"/>
    <n v="2"/>
    <x v="2"/>
    <x v="3"/>
    <x v="1"/>
    <x v="622"/>
    <n v="19711"/>
    <n v="3"/>
    <x v="0"/>
    <n v="13"/>
    <n v="3"/>
    <n v="4"/>
    <x v="1"/>
    <n v="9"/>
    <x v="0"/>
    <n v="3"/>
    <n v="3"/>
    <x v="2"/>
    <n v="2"/>
    <n v="0"/>
    <n v="2"/>
  </r>
  <r>
    <x v="0"/>
    <x v="1"/>
    <x v="0"/>
    <n v="1059"/>
    <x v="1"/>
    <n v="9"/>
    <x v="1"/>
    <n v="2"/>
    <s v="Other"/>
    <n v="1595"/>
    <n v="4"/>
    <x v="1"/>
    <n v="93"/>
    <n v="2"/>
    <n v="5"/>
    <x v="5"/>
    <x v="0"/>
    <x v="0"/>
    <x v="1050"/>
    <n v="26362"/>
    <n v="8"/>
    <x v="1"/>
    <n v="22"/>
    <n v="4"/>
    <n v="4"/>
    <x v="0"/>
    <n v="24"/>
    <x v="2"/>
    <n v="2"/>
    <n v="3"/>
    <x v="1"/>
    <n v="0"/>
    <n v="0"/>
    <n v="1"/>
  </r>
  <r>
    <x v="2"/>
    <x v="1"/>
    <x v="0"/>
    <n v="750"/>
    <x v="1"/>
    <n v="28"/>
    <x v="2"/>
    <n v="3"/>
    <s v="Life Sciences"/>
    <n v="1596"/>
    <n v="2"/>
    <x v="1"/>
    <n v="46"/>
    <n v="4"/>
    <n v="2"/>
    <x v="2"/>
    <x v="2"/>
    <x v="1"/>
    <x v="21"/>
    <n v="25348"/>
    <n v="1"/>
    <x v="1"/>
    <n v="17"/>
    <n v="3"/>
    <n v="4"/>
    <x v="3"/>
    <n v="10"/>
    <x v="0"/>
    <n v="3"/>
    <n v="2"/>
    <x v="0"/>
    <n v="9"/>
    <n v="6"/>
    <n v="8"/>
  </r>
  <r>
    <x v="2"/>
    <x v="1"/>
    <x v="1"/>
    <n v="653"/>
    <x v="1"/>
    <n v="10"/>
    <x v="1"/>
    <n v="4"/>
    <s v="Technical Degree"/>
    <n v="1597"/>
    <n v="4"/>
    <x v="1"/>
    <n v="92"/>
    <n v="2"/>
    <n v="2"/>
    <x v="4"/>
    <x v="2"/>
    <x v="1"/>
    <x v="1051"/>
    <n v="15332"/>
    <n v="1"/>
    <x v="1"/>
    <n v="14"/>
    <n v="3"/>
    <n v="2"/>
    <x v="1"/>
    <n v="8"/>
    <x v="0"/>
    <n v="3"/>
    <n v="2"/>
    <x v="0"/>
    <n v="2"/>
    <n v="7"/>
    <n v="7"/>
  </r>
  <r>
    <x v="0"/>
    <x v="1"/>
    <x v="0"/>
    <n v="118"/>
    <x v="0"/>
    <n v="14"/>
    <x v="1"/>
    <n v="2"/>
    <s v="Life Sciences"/>
    <n v="1598"/>
    <n v="4"/>
    <x v="0"/>
    <n v="84"/>
    <n v="3"/>
    <n v="2"/>
    <x v="0"/>
    <x v="3"/>
    <x v="1"/>
    <x v="912"/>
    <n v="11262"/>
    <n v="1"/>
    <x v="1"/>
    <n v="15"/>
    <n v="3"/>
    <n v="3"/>
    <x v="1"/>
    <n v="5"/>
    <x v="1"/>
    <n v="2"/>
    <n v="3"/>
    <x v="2"/>
    <n v="4"/>
    <n v="1"/>
    <n v="2"/>
  </r>
  <r>
    <x v="0"/>
    <x v="1"/>
    <x v="0"/>
    <n v="990"/>
    <x v="1"/>
    <n v="27"/>
    <x v="2"/>
    <n v="3"/>
    <s v="Technical Degree"/>
    <n v="1599"/>
    <n v="4"/>
    <x v="1"/>
    <n v="87"/>
    <n v="4"/>
    <n v="1"/>
    <x v="2"/>
    <x v="1"/>
    <x v="2"/>
    <x v="204"/>
    <n v="5855"/>
    <n v="5"/>
    <x v="1"/>
    <n v="12"/>
    <n v="3"/>
    <n v="3"/>
    <x v="1"/>
    <n v="8"/>
    <x v="0"/>
    <n v="0"/>
    <n v="3"/>
    <x v="0"/>
    <n v="4"/>
    <n v="0"/>
    <n v="2"/>
  </r>
  <r>
    <x v="2"/>
    <x v="1"/>
    <x v="0"/>
    <n v="1349"/>
    <x v="1"/>
    <n v="7"/>
    <x v="1"/>
    <n v="2"/>
    <s v="Life Sciences"/>
    <n v="1601"/>
    <n v="3"/>
    <x v="1"/>
    <n v="63"/>
    <n v="2"/>
    <n v="1"/>
    <x v="2"/>
    <x v="0"/>
    <x v="1"/>
    <x v="1052"/>
    <n v="7713"/>
    <n v="1"/>
    <x v="1"/>
    <n v="18"/>
    <n v="3"/>
    <n v="4"/>
    <x v="1"/>
    <n v="1"/>
    <x v="1"/>
    <n v="5"/>
    <n v="2"/>
    <x v="1"/>
    <n v="0"/>
    <n v="0"/>
    <n v="1"/>
  </r>
  <r>
    <x v="1"/>
    <x v="1"/>
    <x v="0"/>
    <n v="563"/>
    <x v="0"/>
    <n v="1"/>
    <x v="0"/>
    <n v="4"/>
    <s v="Life Sciences"/>
    <n v="1602"/>
    <n v="4"/>
    <x v="1"/>
    <n v="56"/>
    <n v="4"/>
    <n v="4"/>
    <x v="5"/>
    <x v="3"/>
    <x v="0"/>
    <x v="1053"/>
    <n v="3156"/>
    <n v="1"/>
    <x v="1"/>
    <n v="15"/>
    <n v="3"/>
    <n v="2"/>
    <x v="0"/>
    <n v="27"/>
    <x v="2"/>
    <n v="5"/>
    <n v="1"/>
    <x v="3"/>
    <n v="0"/>
    <n v="0"/>
    <n v="12"/>
  </r>
  <r>
    <x v="2"/>
    <x v="0"/>
    <x v="0"/>
    <n v="329"/>
    <x v="1"/>
    <n v="24"/>
    <x v="2"/>
    <n v="3"/>
    <s v="Medical"/>
    <n v="1604"/>
    <n v="3"/>
    <x v="1"/>
    <n v="51"/>
    <n v="3"/>
    <n v="1"/>
    <x v="2"/>
    <x v="1"/>
    <x v="1"/>
    <x v="1054"/>
    <n v="7324"/>
    <n v="1"/>
    <x v="0"/>
    <n v="17"/>
    <n v="3"/>
    <n v="3"/>
    <x v="2"/>
    <n v="1"/>
    <x v="1"/>
    <n v="3"/>
    <n v="3"/>
    <x v="1"/>
    <n v="1"/>
    <n v="0"/>
    <n v="0"/>
  </r>
  <r>
    <x v="3"/>
    <x v="1"/>
    <x v="2"/>
    <n v="457"/>
    <x v="1"/>
    <n v="26"/>
    <x v="2"/>
    <n v="2"/>
    <s v="Other"/>
    <n v="1605"/>
    <n v="2"/>
    <x v="0"/>
    <n v="85"/>
    <n v="2"/>
    <n v="1"/>
    <x v="1"/>
    <x v="2"/>
    <x v="1"/>
    <x v="1055"/>
    <n v="10293"/>
    <n v="1"/>
    <x v="0"/>
    <n v="14"/>
    <n v="3"/>
    <n v="2"/>
    <x v="0"/>
    <n v="4"/>
    <x v="1"/>
    <n v="2"/>
    <n v="2"/>
    <x v="2"/>
    <n v="2"/>
    <n v="1"/>
    <n v="3"/>
  </r>
  <r>
    <x v="1"/>
    <x v="1"/>
    <x v="1"/>
    <n v="1234"/>
    <x v="1"/>
    <n v="20"/>
    <x v="2"/>
    <n v="5"/>
    <s v="Medical"/>
    <n v="1606"/>
    <n v="2"/>
    <x v="1"/>
    <n v="41"/>
    <n v="3"/>
    <n v="4"/>
    <x v="4"/>
    <x v="2"/>
    <x v="1"/>
    <x v="1056"/>
    <n v="20689"/>
    <n v="2"/>
    <x v="0"/>
    <n v="15"/>
    <n v="3"/>
    <n v="3"/>
    <x v="1"/>
    <n v="32"/>
    <x v="2"/>
    <n v="3"/>
    <n v="3"/>
    <x v="3"/>
    <n v="8"/>
    <n v="12"/>
    <n v="13"/>
  </r>
  <r>
    <x v="2"/>
    <x v="1"/>
    <x v="0"/>
    <n v="634"/>
    <x v="1"/>
    <n v="5"/>
    <x v="0"/>
    <n v="4"/>
    <s v="Other"/>
    <n v="1607"/>
    <n v="2"/>
    <x v="0"/>
    <n v="35"/>
    <n v="4"/>
    <n v="1"/>
    <x v="1"/>
    <x v="0"/>
    <x v="1"/>
    <x v="1057"/>
    <n v="18783"/>
    <n v="3"/>
    <x v="1"/>
    <n v="17"/>
    <n v="3"/>
    <n v="4"/>
    <x v="3"/>
    <n v="6"/>
    <x v="0"/>
    <n v="3"/>
    <n v="3"/>
    <x v="2"/>
    <n v="2"/>
    <n v="0"/>
    <n v="2"/>
  </r>
  <r>
    <x v="0"/>
    <x v="1"/>
    <x v="0"/>
    <n v="1313"/>
    <x v="1"/>
    <n v="7"/>
    <x v="1"/>
    <n v="3"/>
    <s v="Medical"/>
    <n v="1608"/>
    <n v="2"/>
    <x v="0"/>
    <n v="31"/>
    <n v="3"/>
    <n v="5"/>
    <x v="7"/>
    <x v="0"/>
    <x v="2"/>
    <x v="1058"/>
    <n v="3549"/>
    <n v="0"/>
    <x v="0"/>
    <n v="14"/>
    <n v="3"/>
    <n v="4"/>
    <x v="1"/>
    <n v="23"/>
    <x v="2"/>
    <n v="4"/>
    <n v="2"/>
    <x v="3"/>
    <n v="7"/>
    <n v="1"/>
    <n v="10"/>
  </r>
  <r>
    <x v="2"/>
    <x v="1"/>
    <x v="0"/>
    <n v="241"/>
    <x v="1"/>
    <n v="7"/>
    <x v="1"/>
    <n v="3"/>
    <s v="Medical"/>
    <n v="1609"/>
    <n v="2"/>
    <x v="1"/>
    <n v="48"/>
    <n v="2"/>
    <n v="1"/>
    <x v="1"/>
    <x v="1"/>
    <x v="1"/>
    <x v="1059"/>
    <n v="5348"/>
    <n v="1"/>
    <x v="1"/>
    <n v="12"/>
    <n v="3"/>
    <n v="2"/>
    <x v="1"/>
    <n v="6"/>
    <x v="0"/>
    <n v="3"/>
    <n v="2"/>
    <x v="0"/>
    <n v="4"/>
    <n v="1"/>
    <n v="1"/>
  </r>
  <r>
    <x v="0"/>
    <x v="1"/>
    <x v="0"/>
    <n v="1015"/>
    <x v="1"/>
    <n v="5"/>
    <x v="0"/>
    <n v="5"/>
    <s v="Medical"/>
    <n v="1611"/>
    <n v="3"/>
    <x v="0"/>
    <n v="50"/>
    <n v="1"/>
    <n v="2"/>
    <x v="2"/>
    <x v="3"/>
    <x v="0"/>
    <x v="939"/>
    <n v="23447"/>
    <n v="1"/>
    <x v="0"/>
    <n v="14"/>
    <n v="3"/>
    <n v="1"/>
    <x v="0"/>
    <n v="10"/>
    <x v="0"/>
    <n v="3"/>
    <n v="3"/>
    <x v="0"/>
    <n v="7"/>
    <n v="1"/>
    <n v="4"/>
  </r>
  <r>
    <x v="0"/>
    <x v="1"/>
    <x v="2"/>
    <n v="336"/>
    <x v="0"/>
    <n v="26"/>
    <x v="2"/>
    <n v="3"/>
    <s v="Marketing"/>
    <n v="1612"/>
    <n v="1"/>
    <x v="1"/>
    <n v="52"/>
    <n v="2"/>
    <n v="2"/>
    <x v="0"/>
    <x v="3"/>
    <x v="1"/>
    <x v="1060"/>
    <n v="24162"/>
    <n v="1"/>
    <x v="1"/>
    <n v="15"/>
    <n v="3"/>
    <n v="1"/>
    <x v="1"/>
    <n v="10"/>
    <x v="0"/>
    <n v="2"/>
    <n v="3"/>
    <x v="0"/>
    <n v="7"/>
    <n v="4"/>
    <n v="5"/>
  </r>
  <r>
    <x v="2"/>
    <x v="1"/>
    <x v="1"/>
    <n v="715"/>
    <x v="0"/>
    <n v="2"/>
    <x v="0"/>
    <n v="4"/>
    <s v="Other"/>
    <n v="1613"/>
    <n v="4"/>
    <x v="1"/>
    <n v="54"/>
    <n v="3"/>
    <n v="2"/>
    <x v="0"/>
    <x v="3"/>
    <x v="0"/>
    <x v="1061"/>
    <n v="21602"/>
    <n v="7"/>
    <x v="1"/>
    <n v="13"/>
    <n v="3"/>
    <n v="4"/>
    <x v="0"/>
    <n v="10"/>
    <x v="0"/>
    <n v="3"/>
    <n v="3"/>
    <x v="2"/>
    <n v="2"/>
    <n v="0"/>
    <n v="3"/>
  </r>
  <r>
    <x v="0"/>
    <x v="1"/>
    <x v="0"/>
    <n v="559"/>
    <x v="1"/>
    <n v="12"/>
    <x v="1"/>
    <n v="4"/>
    <s v="Life Sciences"/>
    <n v="1614"/>
    <n v="3"/>
    <x v="0"/>
    <n v="76"/>
    <n v="3"/>
    <n v="2"/>
    <x v="3"/>
    <x v="2"/>
    <x v="1"/>
    <x v="1062"/>
    <n v="12421"/>
    <n v="9"/>
    <x v="0"/>
    <n v="12"/>
    <n v="3"/>
    <n v="2"/>
    <x v="3"/>
    <n v="7"/>
    <x v="0"/>
    <n v="2"/>
    <n v="3"/>
    <x v="2"/>
    <n v="2"/>
    <n v="1"/>
    <n v="1"/>
  </r>
  <r>
    <x v="2"/>
    <x v="1"/>
    <x v="1"/>
    <n v="426"/>
    <x v="1"/>
    <n v="10"/>
    <x v="1"/>
    <n v="4"/>
    <s v="Life Sciences"/>
    <n v="1615"/>
    <n v="3"/>
    <x v="1"/>
    <n v="42"/>
    <n v="4"/>
    <n v="2"/>
    <x v="3"/>
    <x v="0"/>
    <x v="2"/>
    <x v="927"/>
    <n v="17000"/>
    <n v="1"/>
    <x v="1"/>
    <n v="13"/>
    <n v="3"/>
    <n v="1"/>
    <x v="1"/>
    <n v="9"/>
    <x v="0"/>
    <n v="3"/>
    <n v="3"/>
    <x v="0"/>
    <n v="7"/>
    <n v="7"/>
    <n v="2"/>
  </r>
  <r>
    <x v="1"/>
    <x v="1"/>
    <x v="0"/>
    <n v="722"/>
    <x v="1"/>
    <n v="25"/>
    <x v="2"/>
    <n v="4"/>
    <s v="Life Sciences"/>
    <n v="1617"/>
    <n v="3"/>
    <x v="0"/>
    <n v="84"/>
    <n v="3"/>
    <n v="1"/>
    <x v="2"/>
    <x v="3"/>
    <x v="1"/>
    <x v="1063"/>
    <n v="22102"/>
    <n v="1"/>
    <x v="1"/>
    <n v="14"/>
    <n v="3"/>
    <n v="4"/>
    <x v="1"/>
    <n v="10"/>
    <x v="0"/>
    <n v="3"/>
    <n v="2"/>
    <x v="0"/>
    <n v="6"/>
    <n v="1"/>
    <n v="4"/>
  </r>
  <r>
    <x v="0"/>
    <x v="1"/>
    <x v="0"/>
    <n v="1387"/>
    <x v="1"/>
    <n v="10"/>
    <x v="1"/>
    <n v="5"/>
    <s v="Medical"/>
    <n v="1618"/>
    <n v="2"/>
    <x v="1"/>
    <n v="76"/>
    <n v="3"/>
    <n v="2"/>
    <x v="3"/>
    <x v="3"/>
    <x v="1"/>
    <x v="1064"/>
    <n v="3835"/>
    <n v="2"/>
    <x v="1"/>
    <n v="13"/>
    <n v="3"/>
    <n v="4"/>
    <x v="2"/>
    <n v="10"/>
    <x v="0"/>
    <n v="3"/>
    <n v="3"/>
    <x v="0"/>
    <n v="7"/>
    <n v="7"/>
    <n v="7"/>
  </r>
  <r>
    <x v="2"/>
    <x v="1"/>
    <x v="0"/>
    <n v="1302"/>
    <x v="1"/>
    <n v="19"/>
    <x v="2"/>
    <n v="3"/>
    <s v="Other"/>
    <n v="1619"/>
    <n v="4"/>
    <x v="1"/>
    <n v="67"/>
    <n v="2"/>
    <n v="1"/>
    <x v="2"/>
    <x v="3"/>
    <x v="2"/>
    <x v="1065"/>
    <n v="16290"/>
    <n v="1"/>
    <x v="1"/>
    <n v="11"/>
    <n v="3"/>
    <n v="1"/>
    <x v="3"/>
    <n v="7"/>
    <x v="0"/>
    <n v="3"/>
    <n v="3"/>
    <x v="0"/>
    <n v="7"/>
    <n v="0"/>
    <n v="7"/>
  </r>
  <r>
    <x v="2"/>
    <x v="1"/>
    <x v="0"/>
    <n v="819"/>
    <x v="1"/>
    <n v="18"/>
    <x v="2"/>
    <n v="5"/>
    <s v="Life Sciences"/>
    <n v="1621"/>
    <n v="2"/>
    <x v="1"/>
    <n v="48"/>
    <n v="4"/>
    <n v="2"/>
    <x v="1"/>
    <x v="3"/>
    <x v="1"/>
    <x v="1066"/>
    <n v="26312"/>
    <n v="1"/>
    <x v="1"/>
    <n v="11"/>
    <n v="3"/>
    <n v="4"/>
    <x v="0"/>
    <n v="16"/>
    <x v="2"/>
    <n v="2"/>
    <n v="3"/>
    <x v="3"/>
    <n v="15"/>
    <n v="1"/>
    <n v="10"/>
  </r>
  <r>
    <x v="2"/>
    <x v="1"/>
    <x v="0"/>
    <n v="580"/>
    <x v="1"/>
    <n v="27"/>
    <x v="2"/>
    <n v="3"/>
    <s v="Medical"/>
    <n v="1622"/>
    <n v="2"/>
    <x v="0"/>
    <n v="39"/>
    <n v="1"/>
    <n v="2"/>
    <x v="3"/>
    <x v="3"/>
    <x v="2"/>
    <x v="1067"/>
    <n v="20460"/>
    <n v="0"/>
    <x v="1"/>
    <n v="21"/>
    <n v="4"/>
    <n v="2"/>
    <x v="1"/>
    <n v="6"/>
    <x v="0"/>
    <n v="5"/>
    <n v="2"/>
    <x v="2"/>
    <n v="3"/>
    <n v="0"/>
    <n v="0"/>
  </r>
  <r>
    <x v="3"/>
    <x v="1"/>
    <x v="0"/>
    <n v="546"/>
    <x v="1"/>
    <n v="5"/>
    <x v="0"/>
    <n v="1"/>
    <s v="Medical"/>
    <n v="1623"/>
    <n v="3"/>
    <x v="1"/>
    <n v="97"/>
    <n v="3"/>
    <n v="1"/>
    <x v="1"/>
    <x v="0"/>
    <x v="0"/>
    <x v="1068"/>
    <n v="26009"/>
    <n v="1"/>
    <x v="1"/>
    <n v="18"/>
    <n v="3"/>
    <n v="3"/>
    <x v="0"/>
    <n v="3"/>
    <x v="1"/>
    <n v="2"/>
    <n v="3"/>
    <x v="1"/>
    <n v="2"/>
    <n v="2"/>
    <n v="2"/>
  </r>
  <r>
    <x v="3"/>
    <x v="0"/>
    <x v="1"/>
    <n v="544"/>
    <x v="0"/>
    <n v="3"/>
    <x v="0"/>
    <n v="2"/>
    <s v="Medical"/>
    <n v="1624"/>
    <n v="2"/>
    <x v="0"/>
    <n v="70"/>
    <n v="3"/>
    <n v="1"/>
    <x v="6"/>
    <x v="0"/>
    <x v="0"/>
    <x v="1069"/>
    <n v="18420"/>
    <n v="1"/>
    <x v="0"/>
    <n v="12"/>
    <n v="3"/>
    <n v="3"/>
    <x v="0"/>
    <n v="0"/>
    <x v="1"/>
    <n v="2"/>
    <n v="4"/>
    <x v="1"/>
    <n v="0"/>
    <n v="0"/>
    <n v="0"/>
  </r>
  <r>
    <x v="1"/>
    <x v="1"/>
    <x v="0"/>
    <n v="1176"/>
    <x v="2"/>
    <n v="26"/>
    <x v="2"/>
    <n v="4"/>
    <s v="Life Sciences"/>
    <n v="1625"/>
    <n v="4"/>
    <x v="0"/>
    <n v="98"/>
    <n v="3"/>
    <n v="5"/>
    <x v="5"/>
    <x v="2"/>
    <x v="1"/>
    <x v="1070"/>
    <n v="5220"/>
    <n v="3"/>
    <x v="1"/>
    <n v="11"/>
    <n v="3"/>
    <n v="3"/>
    <x v="1"/>
    <n v="27"/>
    <x v="2"/>
    <n v="2"/>
    <n v="3"/>
    <x v="2"/>
    <n v="2"/>
    <n v="1"/>
    <n v="0"/>
  </r>
  <r>
    <x v="0"/>
    <x v="1"/>
    <x v="0"/>
    <n v="170"/>
    <x v="1"/>
    <n v="3"/>
    <x v="0"/>
    <n v="2"/>
    <s v="Medical"/>
    <n v="1627"/>
    <n v="3"/>
    <x v="1"/>
    <n v="76"/>
    <n v="2"/>
    <n v="2"/>
    <x v="2"/>
    <x v="2"/>
    <x v="2"/>
    <x v="1071"/>
    <n v="10302"/>
    <n v="0"/>
    <x v="1"/>
    <n v="15"/>
    <n v="3"/>
    <n v="4"/>
    <x v="1"/>
    <n v="11"/>
    <x v="0"/>
    <n v="3"/>
    <n v="3"/>
    <x v="0"/>
    <n v="8"/>
    <n v="0"/>
    <n v="7"/>
  </r>
  <r>
    <x v="0"/>
    <x v="1"/>
    <x v="0"/>
    <n v="884"/>
    <x v="1"/>
    <n v="15"/>
    <x v="1"/>
    <n v="3"/>
    <s v="Life Sciences"/>
    <n v="1628"/>
    <n v="1"/>
    <x v="0"/>
    <n v="80"/>
    <n v="2"/>
    <n v="3"/>
    <x v="3"/>
    <x v="2"/>
    <x v="1"/>
    <x v="1072"/>
    <n v="25800"/>
    <n v="1"/>
    <x v="1"/>
    <n v="13"/>
    <n v="3"/>
    <n v="4"/>
    <x v="3"/>
    <n v="18"/>
    <x v="2"/>
    <n v="2"/>
    <n v="3"/>
    <x v="3"/>
    <n v="15"/>
    <n v="14"/>
    <n v="12"/>
  </r>
  <r>
    <x v="2"/>
    <x v="1"/>
    <x v="2"/>
    <n v="208"/>
    <x v="1"/>
    <n v="8"/>
    <x v="1"/>
    <n v="4"/>
    <s v="Life Sciences"/>
    <n v="1630"/>
    <n v="3"/>
    <x v="0"/>
    <n v="52"/>
    <n v="3"/>
    <n v="2"/>
    <x v="4"/>
    <x v="2"/>
    <x v="1"/>
    <x v="691"/>
    <n v="12250"/>
    <n v="1"/>
    <x v="1"/>
    <n v="12"/>
    <n v="3"/>
    <n v="4"/>
    <x v="1"/>
    <n v="15"/>
    <x v="0"/>
    <n v="5"/>
    <n v="3"/>
    <x v="3"/>
    <n v="11"/>
    <n v="2"/>
    <n v="9"/>
  </r>
  <r>
    <x v="0"/>
    <x v="1"/>
    <x v="0"/>
    <n v="671"/>
    <x v="1"/>
    <n v="19"/>
    <x v="2"/>
    <n v="3"/>
    <s v="Life Sciences"/>
    <n v="1631"/>
    <n v="3"/>
    <x v="1"/>
    <n v="85"/>
    <n v="3"/>
    <n v="2"/>
    <x v="3"/>
    <x v="2"/>
    <x v="1"/>
    <x v="1073"/>
    <n v="26493"/>
    <n v="3"/>
    <x v="1"/>
    <n v="17"/>
    <n v="3"/>
    <n v="1"/>
    <x v="2"/>
    <n v="9"/>
    <x v="0"/>
    <n v="2"/>
    <n v="2"/>
    <x v="2"/>
    <n v="3"/>
    <n v="0"/>
    <n v="2"/>
  </r>
  <r>
    <x v="0"/>
    <x v="1"/>
    <x v="1"/>
    <n v="711"/>
    <x v="1"/>
    <n v="4"/>
    <x v="0"/>
    <n v="3"/>
    <s v="Medical"/>
    <n v="1633"/>
    <n v="1"/>
    <x v="0"/>
    <n v="81"/>
    <n v="3"/>
    <n v="2"/>
    <x v="3"/>
    <x v="2"/>
    <x v="0"/>
    <x v="1074"/>
    <n v="3140"/>
    <n v="0"/>
    <x v="1"/>
    <n v="13"/>
    <n v="3"/>
    <n v="4"/>
    <x v="0"/>
    <n v="10"/>
    <x v="0"/>
    <n v="2"/>
    <n v="1"/>
    <x v="0"/>
    <n v="2"/>
    <n v="3"/>
    <n v="8"/>
  </r>
  <r>
    <x v="0"/>
    <x v="1"/>
    <x v="0"/>
    <n v="1329"/>
    <x v="1"/>
    <n v="2"/>
    <x v="0"/>
    <n v="2"/>
    <s v="Other"/>
    <n v="1635"/>
    <n v="4"/>
    <x v="0"/>
    <n v="59"/>
    <n v="2"/>
    <n v="2"/>
    <x v="3"/>
    <x v="0"/>
    <x v="2"/>
    <x v="1075"/>
    <n v="5388"/>
    <n v="1"/>
    <x v="1"/>
    <n v="19"/>
    <n v="3"/>
    <n v="1"/>
    <x v="3"/>
    <n v="10"/>
    <x v="0"/>
    <n v="3"/>
    <n v="3"/>
    <x v="0"/>
    <n v="7"/>
    <n v="3"/>
    <n v="9"/>
  </r>
  <r>
    <x v="0"/>
    <x v="1"/>
    <x v="0"/>
    <n v="397"/>
    <x v="1"/>
    <n v="2"/>
    <x v="0"/>
    <n v="2"/>
    <s v="Medical"/>
    <n v="1638"/>
    <n v="4"/>
    <x v="0"/>
    <n v="54"/>
    <n v="2"/>
    <n v="3"/>
    <x v="3"/>
    <x v="2"/>
    <x v="1"/>
    <x v="751"/>
    <n v="14199"/>
    <n v="3"/>
    <x v="0"/>
    <n v="19"/>
    <n v="3"/>
    <n v="4"/>
    <x v="1"/>
    <n v="10"/>
    <x v="0"/>
    <n v="6"/>
    <n v="4"/>
    <x v="2"/>
    <n v="4"/>
    <n v="0"/>
    <n v="2"/>
  </r>
  <r>
    <x v="2"/>
    <x v="0"/>
    <x v="0"/>
    <n v="737"/>
    <x v="0"/>
    <n v="10"/>
    <x v="1"/>
    <n v="3"/>
    <s v="Medical"/>
    <n v="1639"/>
    <n v="4"/>
    <x v="1"/>
    <n v="55"/>
    <n v="2"/>
    <n v="3"/>
    <x v="0"/>
    <x v="3"/>
    <x v="1"/>
    <x v="1076"/>
    <n v="21530"/>
    <n v="9"/>
    <x v="1"/>
    <n v="17"/>
    <n v="3"/>
    <n v="3"/>
    <x v="0"/>
    <n v="15"/>
    <x v="0"/>
    <n v="3"/>
    <n v="3"/>
    <x v="3"/>
    <n v="12"/>
    <n v="6"/>
    <n v="0"/>
  </r>
  <r>
    <x v="0"/>
    <x v="1"/>
    <x v="0"/>
    <n v="1470"/>
    <x v="1"/>
    <n v="10"/>
    <x v="1"/>
    <n v="3"/>
    <s v="Medical"/>
    <n v="1640"/>
    <n v="2"/>
    <x v="0"/>
    <n v="71"/>
    <n v="3"/>
    <n v="1"/>
    <x v="1"/>
    <x v="1"/>
    <x v="1"/>
    <x v="1077"/>
    <n v="9953"/>
    <n v="1"/>
    <x v="1"/>
    <n v="11"/>
    <n v="3"/>
    <n v="1"/>
    <x v="1"/>
    <n v="8"/>
    <x v="0"/>
    <n v="2"/>
    <n v="1"/>
    <x v="0"/>
    <n v="4"/>
    <n v="7"/>
    <n v="7"/>
  </r>
  <r>
    <x v="0"/>
    <x v="1"/>
    <x v="0"/>
    <n v="448"/>
    <x v="1"/>
    <n v="16"/>
    <x v="2"/>
    <n v="3"/>
    <s v="Life Sciences"/>
    <n v="1641"/>
    <n v="3"/>
    <x v="0"/>
    <n v="84"/>
    <n v="3"/>
    <n v="3"/>
    <x v="3"/>
    <x v="0"/>
    <x v="0"/>
    <x v="1078"/>
    <n v="19948"/>
    <n v="6"/>
    <x v="0"/>
    <n v="15"/>
    <n v="3"/>
    <n v="4"/>
    <x v="0"/>
    <n v="18"/>
    <x v="2"/>
    <n v="2"/>
    <n v="2"/>
    <x v="2"/>
    <n v="2"/>
    <n v="3"/>
    <n v="3"/>
  </r>
  <r>
    <x v="0"/>
    <x v="1"/>
    <x v="1"/>
    <n v="602"/>
    <x v="2"/>
    <n v="1"/>
    <x v="0"/>
    <n v="5"/>
    <s v="Human Resources"/>
    <n v="1642"/>
    <n v="1"/>
    <x v="1"/>
    <n v="37"/>
    <n v="3"/>
    <n v="2"/>
    <x v="8"/>
    <x v="0"/>
    <x v="1"/>
    <x v="1079"/>
    <n v="10503"/>
    <n v="4"/>
    <x v="0"/>
    <n v="11"/>
    <n v="3"/>
    <n v="3"/>
    <x v="0"/>
    <n v="14"/>
    <x v="0"/>
    <n v="3"/>
    <n v="3"/>
    <x v="0"/>
    <n v="7"/>
    <n v="0"/>
    <n v="2"/>
  </r>
  <r>
    <x v="1"/>
    <x v="1"/>
    <x v="1"/>
    <n v="365"/>
    <x v="1"/>
    <n v="4"/>
    <x v="0"/>
    <n v="5"/>
    <s v="Medical"/>
    <n v="1644"/>
    <n v="3"/>
    <x v="1"/>
    <n v="89"/>
    <n v="2"/>
    <n v="4"/>
    <x v="5"/>
    <x v="0"/>
    <x v="1"/>
    <x v="1080"/>
    <n v="5602"/>
    <n v="2"/>
    <x v="1"/>
    <n v="25"/>
    <n v="4"/>
    <n v="2"/>
    <x v="1"/>
    <n v="23"/>
    <x v="2"/>
    <n v="3"/>
    <n v="3"/>
    <x v="1"/>
    <n v="2"/>
    <n v="2"/>
    <n v="2"/>
  </r>
  <r>
    <x v="2"/>
    <x v="0"/>
    <x v="0"/>
    <n v="763"/>
    <x v="0"/>
    <n v="15"/>
    <x v="1"/>
    <n v="2"/>
    <s v="Medical"/>
    <n v="1645"/>
    <n v="1"/>
    <x v="1"/>
    <n v="59"/>
    <n v="1"/>
    <n v="2"/>
    <x v="0"/>
    <x v="0"/>
    <x v="2"/>
    <x v="1081"/>
    <n v="22098"/>
    <n v="6"/>
    <x v="0"/>
    <n v="14"/>
    <n v="3"/>
    <n v="4"/>
    <x v="3"/>
    <n v="7"/>
    <x v="0"/>
    <n v="2"/>
    <n v="2"/>
    <x v="1"/>
    <n v="2"/>
    <n v="2"/>
    <n v="2"/>
  </r>
  <r>
    <x v="3"/>
    <x v="1"/>
    <x v="1"/>
    <n v="567"/>
    <x v="1"/>
    <n v="2"/>
    <x v="0"/>
    <n v="1"/>
    <s v="Technical Degree"/>
    <n v="1646"/>
    <n v="1"/>
    <x v="0"/>
    <n v="32"/>
    <n v="3"/>
    <n v="1"/>
    <x v="1"/>
    <x v="0"/>
    <x v="0"/>
    <x v="841"/>
    <n v="17218"/>
    <n v="1"/>
    <x v="0"/>
    <n v="13"/>
    <n v="3"/>
    <n v="3"/>
    <x v="0"/>
    <n v="6"/>
    <x v="0"/>
    <n v="2"/>
    <n v="3"/>
    <x v="0"/>
    <n v="3"/>
    <n v="1"/>
    <n v="3"/>
  </r>
  <r>
    <x v="2"/>
    <x v="1"/>
    <x v="0"/>
    <n v="486"/>
    <x v="1"/>
    <n v="8"/>
    <x v="1"/>
    <n v="3"/>
    <s v="Medical"/>
    <n v="1647"/>
    <n v="2"/>
    <x v="0"/>
    <n v="86"/>
    <n v="4"/>
    <n v="1"/>
    <x v="1"/>
    <x v="2"/>
    <x v="1"/>
    <x v="1082"/>
    <n v="22490"/>
    <n v="7"/>
    <x v="1"/>
    <n v="17"/>
    <n v="3"/>
    <n v="1"/>
    <x v="0"/>
    <n v="5"/>
    <x v="1"/>
    <n v="0"/>
    <n v="3"/>
    <x v="2"/>
    <n v="2"/>
    <n v="0"/>
    <n v="2"/>
  </r>
  <r>
    <x v="2"/>
    <x v="1"/>
    <x v="1"/>
    <n v="591"/>
    <x v="1"/>
    <n v="2"/>
    <x v="0"/>
    <n v="3"/>
    <s v="Medical"/>
    <n v="1648"/>
    <n v="4"/>
    <x v="1"/>
    <n v="87"/>
    <n v="3"/>
    <n v="1"/>
    <x v="1"/>
    <x v="0"/>
    <x v="0"/>
    <x v="1083"/>
    <n v="6297"/>
    <n v="2"/>
    <x v="1"/>
    <n v="13"/>
    <n v="3"/>
    <n v="3"/>
    <x v="0"/>
    <n v="6"/>
    <x v="0"/>
    <n v="0"/>
    <n v="2"/>
    <x v="2"/>
    <n v="2"/>
    <n v="1"/>
    <n v="2"/>
  </r>
  <r>
    <x v="0"/>
    <x v="0"/>
    <x v="0"/>
    <n v="1329"/>
    <x v="1"/>
    <n v="7"/>
    <x v="1"/>
    <n v="3"/>
    <s v="Life Sciences"/>
    <n v="1649"/>
    <n v="1"/>
    <x v="1"/>
    <n v="73"/>
    <n v="3"/>
    <n v="1"/>
    <x v="2"/>
    <x v="3"/>
    <x v="0"/>
    <x v="1084"/>
    <n v="3339"/>
    <n v="3"/>
    <x v="0"/>
    <n v="14"/>
    <n v="3"/>
    <n v="2"/>
    <x v="0"/>
    <n v="10"/>
    <x v="0"/>
    <n v="3"/>
    <n v="1"/>
    <x v="2"/>
    <n v="2"/>
    <n v="0"/>
    <n v="3"/>
  </r>
  <r>
    <x v="2"/>
    <x v="1"/>
    <x v="0"/>
    <n v="469"/>
    <x v="0"/>
    <n v="10"/>
    <x v="1"/>
    <n v="3"/>
    <s v="Medical"/>
    <n v="1650"/>
    <n v="3"/>
    <x v="1"/>
    <n v="42"/>
    <n v="2"/>
    <n v="2"/>
    <x v="0"/>
    <x v="2"/>
    <x v="0"/>
    <x v="1085"/>
    <n v="23413"/>
    <n v="9"/>
    <x v="1"/>
    <n v="11"/>
    <n v="3"/>
    <n v="3"/>
    <x v="0"/>
    <n v="8"/>
    <x v="0"/>
    <n v="2"/>
    <n v="3"/>
    <x v="2"/>
    <n v="2"/>
    <n v="1"/>
    <n v="4"/>
  </r>
  <r>
    <x v="0"/>
    <x v="1"/>
    <x v="0"/>
    <n v="711"/>
    <x v="1"/>
    <n v="5"/>
    <x v="0"/>
    <n v="4"/>
    <s v="Life Sciences"/>
    <n v="1651"/>
    <n v="2"/>
    <x v="0"/>
    <n v="42"/>
    <n v="3"/>
    <n v="3"/>
    <x v="4"/>
    <x v="3"/>
    <x v="1"/>
    <x v="1086"/>
    <n v="22792"/>
    <n v="4"/>
    <x v="1"/>
    <n v="12"/>
    <n v="3"/>
    <n v="3"/>
    <x v="3"/>
    <n v="9"/>
    <x v="0"/>
    <n v="6"/>
    <n v="3"/>
    <x v="2"/>
    <n v="2"/>
    <n v="0"/>
    <n v="2"/>
  </r>
  <r>
    <x v="3"/>
    <x v="1"/>
    <x v="1"/>
    <n v="772"/>
    <x v="1"/>
    <n v="2"/>
    <x v="0"/>
    <n v="1"/>
    <s v="Life Sciences"/>
    <n v="1653"/>
    <n v="4"/>
    <x v="1"/>
    <n v="77"/>
    <n v="4"/>
    <n v="2"/>
    <x v="3"/>
    <x v="2"/>
    <x v="2"/>
    <x v="1087"/>
    <n v="4973"/>
    <n v="1"/>
    <x v="1"/>
    <n v="17"/>
    <n v="3"/>
    <n v="3"/>
    <x v="3"/>
    <n v="7"/>
    <x v="0"/>
    <n v="6"/>
    <n v="3"/>
    <x v="0"/>
    <n v="7"/>
    <n v="0"/>
    <n v="7"/>
  </r>
  <r>
    <x v="0"/>
    <x v="1"/>
    <x v="0"/>
    <n v="492"/>
    <x v="1"/>
    <n v="12"/>
    <x v="1"/>
    <n v="3"/>
    <s v="Medical"/>
    <n v="1654"/>
    <n v="4"/>
    <x v="1"/>
    <n v="66"/>
    <n v="3"/>
    <n v="2"/>
    <x v="3"/>
    <x v="1"/>
    <x v="1"/>
    <x v="1088"/>
    <n v="7693"/>
    <n v="4"/>
    <x v="1"/>
    <n v="21"/>
    <n v="4"/>
    <n v="3"/>
    <x v="0"/>
    <n v="7"/>
    <x v="0"/>
    <n v="3"/>
    <n v="3"/>
    <x v="2"/>
    <n v="4"/>
    <n v="1"/>
    <n v="0"/>
  </r>
  <r>
    <x v="1"/>
    <x v="1"/>
    <x v="0"/>
    <n v="301"/>
    <x v="1"/>
    <n v="22"/>
    <x v="2"/>
    <n v="4"/>
    <s v="Other"/>
    <n v="1655"/>
    <n v="1"/>
    <x v="0"/>
    <n v="72"/>
    <n v="3"/>
    <n v="4"/>
    <x v="7"/>
    <x v="1"/>
    <x v="1"/>
    <x v="1089"/>
    <n v="3498"/>
    <n v="3"/>
    <x v="1"/>
    <n v="16"/>
    <n v="3"/>
    <n v="2"/>
    <x v="3"/>
    <n v="27"/>
    <x v="2"/>
    <n v="2"/>
    <n v="3"/>
    <x v="2"/>
    <n v="2"/>
    <n v="1"/>
    <n v="2"/>
  </r>
  <r>
    <x v="1"/>
    <x v="1"/>
    <x v="0"/>
    <n v="813"/>
    <x v="1"/>
    <n v="17"/>
    <x v="2"/>
    <n v="5"/>
    <s v="Life Sciences"/>
    <n v="1656"/>
    <n v="4"/>
    <x v="0"/>
    <n v="50"/>
    <n v="2"/>
    <n v="3"/>
    <x v="7"/>
    <x v="3"/>
    <x v="2"/>
    <x v="1090"/>
    <n v="21981"/>
    <n v="5"/>
    <x v="1"/>
    <n v="15"/>
    <n v="3"/>
    <n v="3"/>
    <x v="2"/>
    <n v="19"/>
    <x v="2"/>
    <n v="3"/>
    <n v="3"/>
    <x v="3"/>
    <n v="11"/>
    <n v="1"/>
    <n v="11"/>
  </r>
  <r>
    <x v="3"/>
    <x v="1"/>
    <x v="0"/>
    <n v="1141"/>
    <x v="0"/>
    <n v="2"/>
    <x v="0"/>
    <n v="3"/>
    <s v="Medical"/>
    <n v="1657"/>
    <n v="3"/>
    <x v="0"/>
    <n v="31"/>
    <n v="3"/>
    <n v="1"/>
    <x v="6"/>
    <x v="2"/>
    <x v="0"/>
    <x v="1091"/>
    <n v="13251"/>
    <n v="1"/>
    <x v="1"/>
    <n v="19"/>
    <n v="3"/>
    <n v="1"/>
    <x v="0"/>
    <n v="2"/>
    <x v="1"/>
    <n v="3"/>
    <n v="3"/>
    <x v="1"/>
    <n v="2"/>
    <n v="2"/>
    <n v="2"/>
  </r>
  <r>
    <x v="2"/>
    <x v="1"/>
    <x v="0"/>
    <n v="1130"/>
    <x v="1"/>
    <n v="3"/>
    <x v="0"/>
    <n v="3"/>
    <s v="Life Sciences"/>
    <n v="1658"/>
    <n v="4"/>
    <x v="0"/>
    <n v="66"/>
    <n v="3"/>
    <n v="2"/>
    <x v="1"/>
    <x v="1"/>
    <x v="2"/>
    <x v="1092"/>
    <n v="19332"/>
    <n v="1"/>
    <x v="1"/>
    <n v="12"/>
    <n v="3"/>
    <n v="3"/>
    <x v="1"/>
    <n v="11"/>
    <x v="0"/>
    <n v="2"/>
    <n v="3"/>
    <x v="3"/>
    <n v="8"/>
    <n v="7"/>
    <n v="9"/>
  </r>
  <r>
    <x v="0"/>
    <x v="1"/>
    <x v="0"/>
    <n v="311"/>
    <x v="1"/>
    <n v="7"/>
    <x v="1"/>
    <n v="3"/>
    <s v="Life Sciences"/>
    <n v="1659"/>
    <n v="1"/>
    <x v="1"/>
    <n v="77"/>
    <n v="3"/>
    <n v="1"/>
    <x v="2"/>
    <x v="1"/>
    <x v="0"/>
    <x v="1093"/>
    <n v="10950"/>
    <n v="2"/>
    <x v="1"/>
    <n v="11"/>
    <n v="3"/>
    <n v="3"/>
    <x v="0"/>
    <n v="15"/>
    <x v="0"/>
    <n v="4"/>
    <n v="3"/>
    <x v="2"/>
    <n v="3"/>
    <n v="1"/>
    <n v="3"/>
  </r>
  <r>
    <x v="1"/>
    <x v="1"/>
    <x v="0"/>
    <n v="465"/>
    <x v="1"/>
    <n v="6"/>
    <x v="1"/>
    <n v="1"/>
    <s v="Life Sciences"/>
    <n v="1661"/>
    <n v="3"/>
    <x v="0"/>
    <n v="41"/>
    <n v="2"/>
    <n v="4"/>
    <x v="4"/>
    <x v="2"/>
    <x v="1"/>
    <x v="1094"/>
    <n v="11652"/>
    <n v="2"/>
    <x v="0"/>
    <n v="19"/>
    <n v="3"/>
    <n v="2"/>
    <x v="1"/>
    <n v="30"/>
    <x v="2"/>
    <n v="3"/>
    <n v="3"/>
    <x v="3"/>
    <n v="11"/>
    <n v="2"/>
    <n v="12"/>
  </r>
  <r>
    <x v="0"/>
    <x v="1"/>
    <x v="2"/>
    <n v="894"/>
    <x v="1"/>
    <n v="1"/>
    <x v="0"/>
    <n v="4"/>
    <s v="Medical"/>
    <n v="1662"/>
    <n v="4"/>
    <x v="0"/>
    <n v="33"/>
    <n v="2"/>
    <n v="2"/>
    <x v="3"/>
    <x v="2"/>
    <x v="1"/>
    <x v="1095"/>
    <n v="15411"/>
    <n v="0"/>
    <x v="1"/>
    <n v="15"/>
    <n v="3"/>
    <n v="3"/>
    <x v="0"/>
    <n v="4"/>
    <x v="1"/>
    <n v="6"/>
    <n v="3"/>
    <x v="2"/>
    <n v="2"/>
    <n v="1"/>
    <n v="2"/>
  </r>
  <r>
    <x v="0"/>
    <x v="1"/>
    <x v="0"/>
    <n v="1040"/>
    <x v="1"/>
    <n v="3"/>
    <x v="0"/>
    <n v="2"/>
    <s v="Life Sciences"/>
    <n v="1664"/>
    <n v="4"/>
    <x v="1"/>
    <n v="79"/>
    <n v="4"/>
    <n v="2"/>
    <x v="4"/>
    <x v="3"/>
    <x v="2"/>
    <x v="1096"/>
    <n v="26308"/>
    <n v="6"/>
    <x v="1"/>
    <n v="20"/>
    <n v="4"/>
    <n v="1"/>
    <x v="1"/>
    <n v="13"/>
    <x v="0"/>
    <n v="3"/>
    <n v="3"/>
    <x v="2"/>
    <n v="4"/>
    <n v="0"/>
    <n v="4"/>
  </r>
  <r>
    <x v="1"/>
    <x v="1"/>
    <x v="0"/>
    <n v="584"/>
    <x v="1"/>
    <n v="22"/>
    <x v="2"/>
    <n v="5"/>
    <s v="Medical"/>
    <n v="1665"/>
    <n v="2"/>
    <x v="0"/>
    <n v="91"/>
    <n v="3"/>
    <n v="4"/>
    <x v="5"/>
    <x v="2"/>
    <x v="1"/>
    <x v="1097"/>
    <n v="18685"/>
    <n v="3"/>
    <x v="1"/>
    <n v="25"/>
    <n v="4"/>
    <n v="3"/>
    <x v="1"/>
    <n v="36"/>
    <x v="2"/>
    <n v="6"/>
    <n v="3"/>
    <x v="0"/>
    <n v="8"/>
    <n v="4"/>
    <n v="7"/>
  </r>
  <r>
    <x v="0"/>
    <x v="1"/>
    <x v="0"/>
    <n v="1291"/>
    <x v="1"/>
    <n v="15"/>
    <x v="1"/>
    <n v="2"/>
    <s v="Life Sciences"/>
    <n v="1666"/>
    <n v="3"/>
    <x v="1"/>
    <n v="65"/>
    <n v="2"/>
    <n v="4"/>
    <x v="7"/>
    <x v="2"/>
    <x v="1"/>
    <x v="1098"/>
    <n v="3525"/>
    <n v="1"/>
    <x v="1"/>
    <n v="24"/>
    <n v="4"/>
    <n v="1"/>
    <x v="1"/>
    <n v="14"/>
    <x v="0"/>
    <n v="3"/>
    <n v="3"/>
    <x v="3"/>
    <n v="10"/>
    <n v="6"/>
    <n v="11"/>
  </r>
  <r>
    <x v="2"/>
    <x v="0"/>
    <x v="1"/>
    <n v="880"/>
    <x v="0"/>
    <n v="12"/>
    <x v="1"/>
    <n v="4"/>
    <s v="Other"/>
    <n v="1667"/>
    <n v="4"/>
    <x v="1"/>
    <n v="36"/>
    <n v="3"/>
    <n v="2"/>
    <x v="0"/>
    <x v="0"/>
    <x v="0"/>
    <x v="1099"/>
    <n v="10414"/>
    <n v="3"/>
    <x v="0"/>
    <n v="24"/>
    <n v="4"/>
    <n v="1"/>
    <x v="0"/>
    <n v="13"/>
    <x v="0"/>
    <n v="2"/>
    <n v="4"/>
    <x v="3"/>
    <n v="9"/>
    <n v="6"/>
    <n v="7"/>
  </r>
  <r>
    <x v="0"/>
    <x v="1"/>
    <x v="1"/>
    <n v="1189"/>
    <x v="1"/>
    <n v="1"/>
    <x v="0"/>
    <n v="3"/>
    <s v="Life Sciences"/>
    <n v="1668"/>
    <n v="4"/>
    <x v="1"/>
    <n v="90"/>
    <n v="3"/>
    <n v="2"/>
    <x v="1"/>
    <x v="0"/>
    <x v="1"/>
    <x v="1100"/>
    <n v="9867"/>
    <n v="7"/>
    <x v="1"/>
    <n v="15"/>
    <n v="3"/>
    <n v="4"/>
    <x v="3"/>
    <n v="19"/>
    <x v="2"/>
    <n v="4"/>
    <n v="4"/>
    <x v="3"/>
    <n v="11"/>
    <n v="2"/>
    <n v="9"/>
  </r>
  <r>
    <x v="2"/>
    <x v="1"/>
    <x v="0"/>
    <n v="991"/>
    <x v="0"/>
    <n v="5"/>
    <x v="0"/>
    <n v="3"/>
    <s v="Medical"/>
    <n v="1669"/>
    <n v="1"/>
    <x v="1"/>
    <n v="43"/>
    <n v="2"/>
    <n v="2"/>
    <x v="0"/>
    <x v="1"/>
    <x v="2"/>
    <x v="1101"/>
    <n v="3356"/>
    <n v="1"/>
    <x v="0"/>
    <n v="13"/>
    <n v="3"/>
    <n v="2"/>
    <x v="1"/>
    <n v="10"/>
    <x v="0"/>
    <n v="3"/>
    <n v="2"/>
    <x v="0"/>
    <n v="0"/>
    <n v="0"/>
    <n v="9"/>
  </r>
  <r>
    <x v="2"/>
    <x v="1"/>
    <x v="0"/>
    <n v="392"/>
    <x v="0"/>
    <n v="2"/>
    <x v="0"/>
    <n v="4"/>
    <s v="Medical"/>
    <n v="1670"/>
    <n v="4"/>
    <x v="1"/>
    <n v="93"/>
    <n v="3"/>
    <n v="2"/>
    <x v="0"/>
    <x v="0"/>
    <x v="2"/>
    <x v="1102"/>
    <n v="3921"/>
    <n v="1"/>
    <x v="1"/>
    <n v="14"/>
    <n v="3"/>
    <n v="3"/>
    <x v="3"/>
    <n v="6"/>
    <x v="0"/>
    <n v="5"/>
    <n v="3"/>
    <x v="0"/>
    <n v="2"/>
    <n v="0"/>
    <n v="4"/>
  </r>
  <r>
    <x v="2"/>
    <x v="1"/>
    <x v="0"/>
    <n v="977"/>
    <x v="1"/>
    <n v="2"/>
    <x v="0"/>
    <n v="3"/>
    <s v="Medical"/>
    <n v="1671"/>
    <n v="4"/>
    <x v="1"/>
    <n v="45"/>
    <n v="3"/>
    <n v="2"/>
    <x v="1"/>
    <x v="1"/>
    <x v="2"/>
    <x v="1103"/>
    <n v="25518"/>
    <n v="0"/>
    <x v="1"/>
    <n v="13"/>
    <n v="3"/>
    <n v="3"/>
    <x v="3"/>
    <n v="10"/>
    <x v="0"/>
    <n v="4"/>
    <n v="2"/>
    <x v="0"/>
    <n v="5"/>
    <n v="1"/>
    <n v="6"/>
  </r>
  <r>
    <x v="2"/>
    <x v="1"/>
    <x v="0"/>
    <n v="1112"/>
    <x v="0"/>
    <n v="5"/>
    <x v="0"/>
    <n v="4"/>
    <s v="Life Sciences"/>
    <n v="1673"/>
    <n v="1"/>
    <x v="0"/>
    <n v="67"/>
    <n v="3"/>
    <n v="2"/>
    <x v="0"/>
    <x v="0"/>
    <x v="1"/>
    <x v="1104"/>
    <n v="22589"/>
    <n v="1"/>
    <x v="1"/>
    <n v="11"/>
    <n v="3"/>
    <n v="1"/>
    <x v="3"/>
    <n v="10"/>
    <x v="0"/>
    <n v="2"/>
    <n v="3"/>
    <x v="0"/>
    <n v="0"/>
    <n v="0"/>
    <n v="2"/>
  </r>
  <r>
    <x v="1"/>
    <x v="1"/>
    <x v="0"/>
    <n v="464"/>
    <x v="1"/>
    <n v="16"/>
    <x v="2"/>
    <n v="3"/>
    <s v="Medical"/>
    <n v="1674"/>
    <n v="4"/>
    <x v="0"/>
    <n v="74"/>
    <n v="3"/>
    <n v="1"/>
    <x v="2"/>
    <x v="3"/>
    <x v="2"/>
    <x v="1105"/>
    <n v="24941"/>
    <n v="4"/>
    <x v="0"/>
    <n v="16"/>
    <n v="3"/>
    <n v="2"/>
    <x v="1"/>
    <n v="17"/>
    <x v="2"/>
    <n v="2"/>
    <n v="2"/>
    <x v="1"/>
    <n v="2"/>
    <n v="2"/>
    <n v="2"/>
  </r>
  <r>
    <x v="0"/>
    <x v="1"/>
    <x v="1"/>
    <n v="148"/>
    <x v="1"/>
    <n v="2"/>
    <x v="0"/>
    <n v="3"/>
    <s v="Medical"/>
    <n v="1675"/>
    <n v="4"/>
    <x v="0"/>
    <n v="42"/>
    <n v="2"/>
    <n v="1"/>
    <x v="2"/>
    <x v="1"/>
    <x v="0"/>
    <x v="1106"/>
    <n v="23826"/>
    <n v="1"/>
    <x v="1"/>
    <n v="22"/>
    <n v="4"/>
    <n v="2"/>
    <x v="0"/>
    <n v="4"/>
    <x v="1"/>
    <n v="3"/>
    <n v="3"/>
    <x v="2"/>
    <n v="3"/>
    <n v="3"/>
    <n v="3"/>
  </r>
  <r>
    <x v="1"/>
    <x v="1"/>
    <x v="0"/>
    <n v="1225"/>
    <x v="0"/>
    <n v="2"/>
    <x v="0"/>
    <n v="4"/>
    <s v="Life Sciences"/>
    <n v="1676"/>
    <n v="2"/>
    <x v="0"/>
    <n v="47"/>
    <n v="4"/>
    <n v="4"/>
    <x v="5"/>
    <x v="1"/>
    <x v="2"/>
    <x v="1107"/>
    <n v="21086"/>
    <n v="6"/>
    <x v="1"/>
    <n v="14"/>
    <n v="3"/>
    <n v="3"/>
    <x v="2"/>
    <n v="29"/>
    <x v="2"/>
    <n v="2"/>
    <n v="3"/>
    <x v="2"/>
    <n v="2"/>
    <n v="1"/>
    <n v="2"/>
  </r>
  <r>
    <x v="1"/>
    <x v="1"/>
    <x v="0"/>
    <n v="809"/>
    <x v="1"/>
    <n v="1"/>
    <x v="0"/>
    <n v="3"/>
    <s v="Life Sciences"/>
    <n v="1677"/>
    <n v="3"/>
    <x v="1"/>
    <n v="36"/>
    <n v="3"/>
    <n v="4"/>
    <x v="5"/>
    <x v="2"/>
    <x v="0"/>
    <x v="1108"/>
    <n v="22384"/>
    <n v="4"/>
    <x v="1"/>
    <n v="14"/>
    <n v="3"/>
    <n v="1"/>
    <x v="0"/>
    <n v="23"/>
    <x v="2"/>
    <n v="2"/>
    <n v="3"/>
    <x v="0"/>
    <n v="7"/>
    <n v="0"/>
    <n v="0"/>
  </r>
  <r>
    <x v="0"/>
    <x v="1"/>
    <x v="0"/>
    <n v="1206"/>
    <x v="0"/>
    <n v="23"/>
    <x v="2"/>
    <n v="2"/>
    <s v="Life Sciences"/>
    <n v="1678"/>
    <n v="4"/>
    <x v="1"/>
    <n v="80"/>
    <n v="3"/>
    <n v="3"/>
    <x v="0"/>
    <x v="2"/>
    <x v="0"/>
    <x v="1109"/>
    <n v="11591"/>
    <n v="3"/>
    <x v="0"/>
    <n v="16"/>
    <n v="3"/>
    <n v="4"/>
    <x v="0"/>
    <n v="21"/>
    <x v="2"/>
    <n v="2"/>
    <n v="3"/>
    <x v="1"/>
    <n v="0"/>
    <n v="0"/>
    <n v="2"/>
  </r>
  <r>
    <x v="3"/>
    <x v="1"/>
    <x v="0"/>
    <n v="727"/>
    <x v="0"/>
    <n v="9"/>
    <x v="1"/>
    <n v="1"/>
    <s v="Life Sciences"/>
    <n v="1680"/>
    <n v="4"/>
    <x v="1"/>
    <n v="54"/>
    <n v="3"/>
    <n v="1"/>
    <x v="6"/>
    <x v="3"/>
    <x v="0"/>
    <x v="1110"/>
    <n v="21082"/>
    <n v="1"/>
    <x v="1"/>
    <n v="11"/>
    <n v="3"/>
    <n v="1"/>
    <x v="0"/>
    <n v="2"/>
    <x v="1"/>
    <n v="3"/>
    <n v="3"/>
    <x v="1"/>
    <n v="2"/>
    <n v="0"/>
    <n v="2"/>
  </r>
  <r>
    <x v="2"/>
    <x v="1"/>
    <x v="2"/>
    <n v="530"/>
    <x v="0"/>
    <n v="16"/>
    <x v="2"/>
    <n v="3"/>
    <s v="Life Sciences"/>
    <n v="1681"/>
    <n v="3"/>
    <x v="0"/>
    <n v="36"/>
    <n v="3"/>
    <n v="2"/>
    <x v="0"/>
    <x v="0"/>
    <x v="2"/>
    <x v="1111"/>
    <n v="16130"/>
    <n v="1"/>
    <x v="0"/>
    <n v="25"/>
    <n v="4"/>
    <n v="3"/>
    <x v="1"/>
    <n v="7"/>
    <x v="0"/>
    <n v="2"/>
    <n v="3"/>
    <x v="0"/>
    <n v="5"/>
    <n v="1"/>
    <n v="2"/>
  </r>
  <r>
    <x v="0"/>
    <x v="1"/>
    <x v="0"/>
    <n v="1351"/>
    <x v="1"/>
    <n v="26"/>
    <x v="2"/>
    <n v="4"/>
    <s v="Life Sciences"/>
    <n v="1682"/>
    <n v="1"/>
    <x v="1"/>
    <n v="80"/>
    <n v="3"/>
    <n v="2"/>
    <x v="4"/>
    <x v="2"/>
    <x v="1"/>
    <x v="1112"/>
    <n v="7419"/>
    <n v="6"/>
    <x v="1"/>
    <n v="14"/>
    <n v="3"/>
    <n v="2"/>
    <x v="3"/>
    <n v="10"/>
    <x v="0"/>
    <n v="2"/>
    <n v="2"/>
    <x v="2"/>
    <n v="2"/>
    <n v="0"/>
    <n v="2"/>
  </r>
  <r>
    <x v="0"/>
    <x v="1"/>
    <x v="0"/>
    <n v="528"/>
    <x v="2"/>
    <n v="1"/>
    <x v="0"/>
    <n v="3"/>
    <s v="Life Sciences"/>
    <n v="1683"/>
    <n v="3"/>
    <x v="0"/>
    <n v="44"/>
    <n v="3"/>
    <n v="1"/>
    <x v="8"/>
    <x v="0"/>
    <x v="2"/>
    <x v="1113"/>
    <n v="4167"/>
    <n v="4"/>
    <x v="0"/>
    <n v="18"/>
    <n v="3"/>
    <n v="1"/>
    <x v="2"/>
    <n v="8"/>
    <x v="0"/>
    <n v="2"/>
    <n v="3"/>
    <x v="1"/>
    <n v="2"/>
    <n v="2"/>
    <n v="2"/>
  </r>
  <r>
    <x v="3"/>
    <x v="0"/>
    <x v="0"/>
    <n v="1320"/>
    <x v="1"/>
    <n v="8"/>
    <x v="1"/>
    <n v="1"/>
    <s v="Medical"/>
    <n v="1684"/>
    <n v="4"/>
    <x v="1"/>
    <n v="93"/>
    <n v="2"/>
    <n v="1"/>
    <x v="2"/>
    <x v="2"/>
    <x v="0"/>
    <x v="1114"/>
    <n v="20586"/>
    <n v="1"/>
    <x v="0"/>
    <n v="11"/>
    <n v="3"/>
    <n v="1"/>
    <x v="0"/>
    <n v="5"/>
    <x v="1"/>
    <n v="2"/>
    <n v="3"/>
    <x v="2"/>
    <n v="4"/>
    <n v="1"/>
    <n v="2"/>
  </r>
  <r>
    <x v="0"/>
    <x v="1"/>
    <x v="0"/>
    <n v="1495"/>
    <x v="1"/>
    <n v="4"/>
    <x v="0"/>
    <n v="2"/>
    <s v="Medical"/>
    <n v="1687"/>
    <n v="4"/>
    <x v="0"/>
    <n v="87"/>
    <n v="3"/>
    <n v="1"/>
    <x v="2"/>
    <x v="2"/>
    <x v="1"/>
    <x v="1115"/>
    <n v="26176"/>
    <n v="7"/>
    <x v="1"/>
    <n v="19"/>
    <n v="3"/>
    <n v="4"/>
    <x v="1"/>
    <n v="7"/>
    <x v="0"/>
    <n v="5"/>
    <n v="2"/>
    <x v="1"/>
    <n v="0"/>
    <n v="0"/>
    <n v="0"/>
  </r>
  <r>
    <x v="1"/>
    <x v="1"/>
    <x v="0"/>
    <n v="1395"/>
    <x v="1"/>
    <n v="24"/>
    <x v="2"/>
    <n v="4"/>
    <s v="Medical"/>
    <n v="1689"/>
    <n v="2"/>
    <x v="1"/>
    <n v="48"/>
    <n v="4"/>
    <n v="3"/>
    <x v="4"/>
    <x v="0"/>
    <x v="1"/>
    <x v="1116"/>
    <n v="3458"/>
    <n v="3"/>
    <x v="1"/>
    <n v="15"/>
    <n v="3"/>
    <n v="3"/>
    <x v="0"/>
    <n v="11"/>
    <x v="0"/>
    <n v="2"/>
    <n v="3"/>
    <x v="2"/>
    <n v="3"/>
    <n v="1"/>
    <n v="2"/>
  </r>
  <r>
    <x v="1"/>
    <x v="0"/>
    <x v="1"/>
    <n v="708"/>
    <x v="0"/>
    <n v="7"/>
    <x v="1"/>
    <n v="2"/>
    <s v="Medical"/>
    <n v="1691"/>
    <n v="4"/>
    <x v="0"/>
    <n v="95"/>
    <n v="3"/>
    <n v="1"/>
    <x v="6"/>
    <x v="2"/>
    <x v="1"/>
    <x v="1117"/>
    <n v="11740"/>
    <n v="2"/>
    <x v="0"/>
    <n v="11"/>
    <n v="3"/>
    <n v="3"/>
    <x v="3"/>
    <n v="19"/>
    <x v="2"/>
    <n v="3"/>
    <n v="3"/>
    <x v="0"/>
    <n v="7"/>
    <n v="7"/>
    <n v="7"/>
  </r>
  <r>
    <x v="2"/>
    <x v="0"/>
    <x v="0"/>
    <n v="1259"/>
    <x v="1"/>
    <n v="2"/>
    <x v="0"/>
    <n v="4"/>
    <s v="Life Sciences"/>
    <n v="1692"/>
    <n v="4"/>
    <x v="1"/>
    <n v="95"/>
    <n v="3"/>
    <n v="1"/>
    <x v="2"/>
    <x v="1"/>
    <x v="0"/>
    <x v="1118"/>
    <n v="24852"/>
    <n v="1"/>
    <x v="1"/>
    <n v="12"/>
    <n v="3"/>
    <n v="1"/>
    <x v="0"/>
    <n v="1"/>
    <x v="1"/>
    <n v="2"/>
    <n v="3"/>
    <x v="1"/>
    <n v="0"/>
    <n v="0"/>
    <n v="0"/>
  </r>
  <r>
    <x v="2"/>
    <x v="1"/>
    <x v="2"/>
    <n v="786"/>
    <x v="1"/>
    <n v="7"/>
    <x v="1"/>
    <n v="3"/>
    <s v="Medical"/>
    <n v="1693"/>
    <n v="4"/>
    <x v="1"/>
    <n v="76"/>
    <n v="3"/>
    <n v="1"/>
    <x v="2"/>
    <x v="0"/>
    <x v="0"/>
    <x v="1119"/>
    <n v="11925"/>
    <n v="1"/>
    <x v="1"/>
    <n v="20"/>
    <n v="4"/>
    <n v="3"/>
    <x v="0"/>
    <n v="7"/>
    <x v="0"/>
    <n v="5"/>
    <n v="3"/>
    <x v="0"/>
    <n v="7"/>
    <n v="5"/>
    <n v="7"/>
  </r>
  <r>
    <x v="1"/>
    <x v="1"/>
    <x v="0"/>
    <n v="1441"/>
    <x v="1"/>
    <n v="22"/>
    <x v="2"/>
    <n v="3"/>
    <s v="Technical Degree"/>
    <n v="1694"/>
    <n v="1"/>
    <x v="1"/>
    <n v="94"/>
    <n v="2"/>
    <n v="1"/>
    <x v="1"/>
    <x v="1"/>
    <x v="2"/>
    <x v="1120"/>
    <n v="23737"/>
    <n v="5"/>
    <x v="1"/>
    <n v="12"/>
    <n v="3"/>
    <n v="4"/>
    <x v="1"/>
    <n v="8"/>
    <x v="0"/>
    <n v="1"/>
    <n v="3"/>
    <x v="2"/>
    <n v="2"/>
    <n v="1"/>
    <n v="2"/>
  </r>
  <r>
    <x v="2"/>
    <x v="1"/>
    <x v="0"/>
    <n v="1157"/>
    <x v="1"/>
    <n v="5"/>
    <x v="0"/>
    <n v="2"/>
    <s v="Medical"/>
    <n v="1696"/>
    <n v="2"/>
    <x v="1"/>
    <n v="57"/>
    <n v="2"/>
    <n v="2"/>
    <x v="2"/>
    <x v="0"/>
    <x v="1"/>
    <x v="1121"/>
    <n v="11912"/>
    <n v="1"/>
    <x v="1"/>
    <n v="14"/>
    <n v="3"/>
    <n v="3"/>
    <x v="1"/>
    <n v="15"/>
    <x v="0"/>
    <n v="3"/>
    <n v="4"/>
    <x v="3"/>
    <n v="10"/>
    <n v="4"/>
    <n v="13"/>
  </r>
  <r>
    <x v="1"/>
    <x v="1"/>
    <x v="0"/>
    <n v="370"/>
    <x v="1"/>
    <n v="1"/>
    <x v="0"/>
    <n v="4"/>
    <s v="Medical"/>
    <n v="1697"/>
    <n v="3"/>
    <x v="1"/>
    <n v="92"/>
    <n v="1"/>
    <n v="3"/>
    <x v="4"/>
    <x v="0"/>
    <x v="2"/>
    <x v="1122"/>
    <n v="20467"/>
    <n v="3"/>
    <x v="1"/>
    <n v="20"/>
    <n v="4"/>
    <n v="3"/>
    <x v="1"/>
    <n v="19"/>
    <x v="2"/>
    <n v="2"/>
    <n v="4"/>
    <x v="1"/>
    <n v="0"/>
    <n v="0"/>
    <n v="0"/>
  </r>
  <r>
    <x v="2"/>
    <x v="1"/>
    <x v="0"/>
    <n v="267"/>
    <x v="1"/>
    <n v="21"/>
    <x v="2"/>
    <n v="3"/>
    <s v="Medical"/>
    <n v="1698"/>
    <n v="2"/>
    <x v="1"/>
    <n v="79"/>
    <n v="4"/>
    <n v="1"/>
    <x v="2"/>
    <x v="1"/>
    <x v="1"/>
    <x v="14"/>
    <n v="13637"/>
    <n v="1"/>
    <x v="1"/>
    <n v="18"/>
    <n v="3"/>
    <n v="4"/>
    <x v="2"/>
    <n v="14"/>
    <x v="0"/>
    <n v="6"/>
    <n v="3"/>
    <x v="3"/>
    <n v="11"/>
    <n v="2"/>
    <n v="13"/>
  </r>
  <r>
    <x v="0"/>
    <x v="1"/>
    <x v="1"/>
    <n v="1278"/>
    <x v="0"/>
    <n v="1"/>
    <x v="0"/>
    <n v="4"/>
    <s v="Medical"/>
    <n v="1700"/>
    <n v="3"/>
    <x v="1"/>
    <n v="31"/>
    <n v="1"/>
    <n v="2"/>
    <x v="0"/>
    <x v="0"/>
    <x v="2"/>
    <x v="1123"/>
    <n v="7677"/>
    <n v="1"/>
    <x v="1"/>
    <n v="14"/>
    <n v="3"/>
    <n v="3"/>
    <x v="3"/>
    <n v="6"/>
    <x v="0"/>
    <n v="2"/>
    <n v="2"/>
    <x v="0"/>
    <n v="3"/>
    <n v="1"/>
    <n v="3"/>
  </r>
  <r>
    <x v="2"/>
    <x v="1"/>
    <x v="0"/>
    <n v="678"/>
    <x v="1"/>
    <n v="19"/>
    <x v="2"/>
    <n v="3"/>
    <s v="Life Sciences"/>
    <n v="1701"/>
    <n v="2"/>
    <x v="0"/>
    <n v="35"/>
    <n v="2"/>
    <n v="1"/>
    <x v="1"/>
    <x v="0"/>
    <x v="1"/>
    <x v="1124"/>
    <n v="20338"/>
    <n v="1"/>
    <x v="1"/>
    <n v="12"/>
    <n v="3"/>
    <n v="2"/>
    <x v="0"/>
    <n v="10"/>
    <x v="0"/>
    <n v="3"/>
    <n v="3"/>
    <x v="0"/>
    <n v="9"/>
    <n v="8"/>
    <n v="7"/>
  </r>
  <r>
    <x v="3"/>
    <x v="0"/>
    <x v="0"/>
    <n v="427"/>
    <x v="0"/>
    <n v="7"/>
    <x v="1"/>
    <n v="3"/>
    <s v="Life Sciences"/>
    <n v="1702"/>
    <n v="3"/>
    <x v="1"/>
    <n v="99"/>
    <n v="3"/>
    <n v="1"/>
    <x v="6"/>
    <x v="0"/>
    <x v="2"/>
    <x v="1125"/>
    <n v="25103"/>
    <n v="1"/>
    <x v="0"/>
    <n v="21"/>
    <n v="4"/>
    <n v="2"/>
    <x v="1"/>
    <n v="3"/>
    <x v="1"/>
    <n v="2"/>
    <n v="3"/>
    <x v="2"/>
    <n v="2"/>
    <n v="0"/>
    <n v="2"/>
  </r>
  <r>
    <x v="0"/>
    <x v="1"/>
    <x v="0"/>
    <n v="921"/>
    <x v="1"/>
    <n v="2"/>
    <x v="0"/>
    <n v="3"/>
    <s v="Life Sciences"/>
    <n v="1703"/>
    <n v="3"/>
    <x v="0"/>
    <n v="96"/>
    <n v="4"/>
    <n v="3"/>
    <x v="4"/>
    <x v="0"/>
    <x v="1"/>
    <x v="1126"/>
    <n v="14810"/>
    <n v="1"/>
    <x v="0"/>
    <n v="19"/>
    <n v="3"/>
    <n v="2"/>
    <x v="1"/>
    <n v="9"/>
    <x v="0"/>
    <n v="2"/>
    <n v="3"/>
    <x v="0"/>
    <n v="7"/>
    <n v="6"/>
    <n v="7"/>
  </r>
  <r>
    <x v="2"/>
    <x v="1"/>
    <x v="1"/>
    <n v="146"/>
    <x v="1"/>
    <n v="2"/>
    <x v="0"/>
    <n v="4"/>
    <s v="Medical"/>
    <n v="1704"/>
    <n v="1"/>
    <x v="1"/>
    <n v="79"/>
    <n v="2"/>
    <n v="1"/>
    <x v="1"/>
    <x v="0"/>
    <x v="0"/>
    <x v="1127"/>
    <n v="13970"/>
    <n v="0"/>
    <x v="0"/>
    <n v="14"/>
    <n v="3"/>
    <n v="3"/>
    <x v="0"/>
    <n v="6"/>
    <x v="0"/>
    <n v="2"/>
    <n v="4"/>
    <x v="2"/>
    <n v="4"/>
    <n v="1"/>
    <n v="4"/>
  </r>
  <r>
    <x v="0"/>
    <x v="1"/>
    <x v="0"/>
    <n v="1179"/>
    <x v="0"/>
    <n v="2"/>
    <x v="0"/>
    <n v="3"/>
    <s v="Medical"/>
    <n v="1706"/>
    <n v="4"/>
    <x v="1"/>
    <n v="73"/>
    <n v="3"/>
    <n v="2"/>
    <x v="0"/>
    <x v="0"/>
    <x v="1"/>
    <x v="1128"/>
    <n v="6069"/>
    <n v="1"/>
    <x v="0"/>
    <n v="17"/>
    <n v="3"/>
    <n v="1"/>
    <x v="1"/>
    <n v="10"/>
    <x v="0"/>
    <n v="3"/>
    <n v="3"/>
    <x v="0"/>
    <n v="9"/>
    <n v="8"/>
    <n v="8"/>
  </r>
  <r>
    <x v="3"/>
    <x v="1"/>
    <x v="0"/>
    <n v="581"/>
    <x v="1"/>
    <n v="9"/>
    <x v="1"/>
    <n v="3"/>
    <s v="Medical"/>
    <n v="1707"/>
    <n v="3"/>
    <x v="1"/>
    <n v="62"/>
    <n v="4"/>
    <n v="1"/>
    <x v="1"/>
    <x v="2"/>
    <x v="1"/>
    <x v="1129"/>
    <n v="17616"/>
    <n v="1"/>
    <x v="1"/>
    <n v="16"/>
    <n v="3"/>
    <n v="4"/>
    <x v="1"/>
    <n v="5"/>
    <x v="1"/>
    <n v="1"/>
    <n v="3"/>
    <x v="2"/>
    <n v="3"/>
    <n v="0"/>
    <n v="4"/>
  </r>
  <r>
    <x v="0"/>
    <x v="1"/>
    <x v="0"/>
    <n v="918"/>
    <x v="0"/>
    <n v="6"/>
    <x v="1"/>
    <n v="3"/>
    <s v="Marketing"/>
    <n v="1708"/>
    <n v="4"/>
    <x v="1"/>
    <n v="35"/>
    <n v="3"/>
    <n v="3"/>
    <x v="0"/>
    <x v="2"/>
    <x v="0"/>
    <x v="1130"/>
    <n v="15869"/>
    <n v="1"/>
    <x v="1"/>
    <n v="12"/>
    <n v="3"/>
    <n v="2"/>
    <x v="0"/>
    <n v="10"/>
    <x v="0"/>
    <n v="3"/>
    <n v="3"/>
    <x v="0"/>
    <n v="8"/>
    <n v="8"/>
    <n v="7"/>
  </r>
  <r>
    <x v="2"/>
    <x v="1"/>
    <x v="0"/>
    <n v="1082"/>
    <x v="1"/>
    <n v="9"/>
    <x v="1"/>
    <n v="4"/>
    <s v="Medical"/>
    <n v="1709"/>
    <n v="4"/>
    <x v="0"/>
    <n v="43"/>
    <n v="3"/>
    <n v="1"/>
    <x v="2"/>
    <x v="2"/>
    <x v="1"/>
    <x v="1131"/>
    <n v="25412"/>
    <n v="9"/>
    <x v="1"/>
    <n v="17"/>
    <n v="3"/>
    <n v="3"/>
    <x v="1"/>
    <n v="9"/>
    <x v="0"/>
    <n v="2"/>
    <n v="3"/>
    <x v="2"/>
    <n v="3"/>
    <n v="1"/>
    <n v="2"/>
  </r>
  <r>
    <x v="0"/>
    <x v="1"/>
    <x v="0"/>
    <n v="530"/>
    <x v="0"/>
    <n v="2"/>
    <x v="0"/>
    <n v="4"/>
    <s v="Life Sciences"/>
    <n v="1710"/>
    <n v="3"/>
    <x v="0"/>
    <n v="51"/>
    <n v="3"/>
    <n v="2"/>
    <x v="6"/>
    <x v="0"/>
    <x v="0"/>
    <x v="1132"/>
    <n v="7439"/>
    <n v="3"/>
    <x v="1"/>
    <n v="15"/>
    <n v="3"/>
    <n v="3"/>
    <x v="0"/>
    <n v="17"/>
    <x v="2"/>
    <n v="2"/>
    <n v="2"/>
    <x v="3"/>
    <n v="7"/>
    <n v="6"/>
    <n v="7"/>
  </r>
  <r>
    <x v="0"/>
    <x v="1"/>
    <x v="2"/>
    <n v="1238"/>
    <x v="1"/>
    <n v="1"/>
    <x v="0"/>
    <n v="1"/>
    <s v="Life Sciences"/>
    <n v="1712"/>
    <n v="3"/>
    <x v="1"/>
    <n v="74"/>
    <n v="2"/>
    <n v="3"/>
    <x v="4"/>
    <x v="2"/>
    <x v="1"/>
    <x v="1133"/>
    <n v="3395"/>
    <n v="3"/>
    <x v="1"/>
    <n v="23"/>
    <n v="4"/>
    <n v="4"/>
    <x v="1"/>
    <n v="25"/>
    <x v="2"/>
    <n v="3"/>
    <n v="2"/>
    <x v="3"/>
    <n v="15"/>
    <n v="14"/>
    <n v="4"/>
  </r>
  <r>
    <x v="3"/>
    <x v="0"/>
    <x v="0"/>
    <n v="240"/>
    <x v="2"/>
    <n v="22"/>
    <x v="2"/>
    <n v="1"/>
    <s v="Human Resources"/>
    <n v="1714"/>
    <n v="4"/>
    <x v="1"/>
    <n v="58"/>
    <n v="1"/>
    <n v="1"/>
    <x v="8"/>
    <x v="2"/>
    <x v="1"/>
    <x v="1134"/>
    <n v="11585"/>
    <n v="1"/>
    <x v="1"/>
    <n v="11"/>
    <n v="3"/>
    <n v="3"/>
    <x v="1"/>
    <n v="1"/>
    <x v="1"/>
    <n v="2"/>
    <n v="3"/>
    <x v="1"/>
    <n v="0"/>
    <n v="0"/>
    <n v="0"/>
  </r>
  <r>
    <x v="1"/>
    <x v="0"/>
    <x v="1"/>
    <n v="1093"/>
    <x v="0"/>
    <n v="9"/>
    <x v="1"/>
    <n v="3"/>
    <s v="Life Sciences"/>
    <n v="1716"/>
    <n v="3"/>
    <x v="1"/>
    <n v="82"/>
    <n v="1"/>
    <n v="4"/>
    <x v="0"/>
    <x v="2"/>
    <x v="1"/>
    <x v="1135"/>
    <n v="24164"/>
    <n v="7"/>
    <x v="1"/>
    <n v="11"/>
    <n v="3"/>
    <n v="3"/>
    <x v="0"/>
    <n v="25"/>
    <x v="2"/>
    <n v="3"/>
    <n v="1"/>
    <x v="3"/>
    <n v="5"/>
    <n v="14"/>
    <n v="10"/>
  </r>
  <r>
    <x v="2"/>
    <x v="1"/>
    <x v="0"/>
    <n v="390"/>
    <x v="1"/>
    <n v="17"/>
    <x v="2"/>
    <n v="4"/>
    <s v="Medical"/>
    <n v="1718"/>
    <n v="4"/>
    <x v="1"/>
    <n v="62"/>
    <n v="1"/>
    <n v="1"/>
    <x v="2"/>
    <x v="2"/>
    <x v="1"/>
    <x v="1136"/>
    <n v="6217"/>
    <n v="1"/>
    <x v="1"/>
    <n v="15"/>
    <n v="3"/>
    <n v="3"/>
    <x v="2"/>
    <n v="3"/>
    <x v="1"/>
    <n v="3"/>
    <n v="4"/>
    <x v="2"/>
    <n v="2"/>
    <n v="0"/>
    <n v="2"/>
  </r>
  <r>
    <x v="0"/>
    <x v="1"/>
    <x v="0"/>
    <n v="1005"/>
    <x v="1"/>
    <n v="28"/>
    <x v="2"/>
    <n v="2"/>
    <s v="Technical Degree"/>
    <n v="1719"/>
    <n v="4"/>
    <x v="0"/>
    <n v="48"/>
    <n v="2"/>
    <n v="4"/>
    <x v="7"/>
    <x v="1"/>
    <x v="0"/>
    <x v="1137"/>
    <n v="17119"/>
    <n v="1"/>
    <x v="1"/>
    <n v="11"/>
    <n v="3"/>
    <n v="3"/>
    <x v="0"/>
    <n v="21"/>
    <x v="2"/>
    <n v="2"/>
    <n v="3"/>
    <x v="3"/>
    <n v="6"/>
    <n v="8"/>
    <n v="6"/>
  </r>
  <r>
    <x v="2"/>
    <x v="1"/>
    <x v="1"/>
    <n v="585"/>
    <x v="1"/>
    <n v="10"/>
    <x v="1"/>
    <n v="3"/>
    <s v="Life Sciences"/>
    <n v="1720"/>
    <n v="1"/>
    <x v="1"/>
    <n v="56"/>
    <n v="3"/>
    <n v="1"/>
    <x v="1"/>
    <x v="2"/>
    <x v="1"/>
    <x v="1138"/>
    <n v="17360"/>
    <n v="6"/>
    <x v="1"/>
    <n v="13"/>
    <n v="3"/>
    <n v="1"/>
    <x v="1"/>
    <n v="10"/>
    <x v="0"/>
    <n v="3"/>
    <n v="2"/>
    <x v="2"/>
    <n v="2"/>
    <n v="1"/>
    <n v="3"/>
  </r>
  <r>
    <x v="2"/>
    <x v="1"/>
    <x v="0"/>
    <n v="741"/>
    <x v="1"/>
    <n v="2"/>
    <x v="0"/>
    <n v="4"/>
    <s v="Life Sciences"/>
    <n v="1721"/>
    <n v="2"/>
    <x v="1"/>
    <n v="69"/>
    <n v="3"/>
    <n v="1"/>
    <x v="2"/>
    <x v="2"/>
    <x v="1"/>
    <x v="1139"/>
    <n v="18103"/>
    <n v="1"/>
    <x v="1"/>
    <n v="14"/>
    <n v="3"/>
    <n v="4"/>
    <x v="1"/>
    <n v="6"/>
    <x v="0"/>
    <n v="2"/>
    <n v="4"/>
    <x v="2"/>
    <n v="2"/>
    <n v="0"/>
    <n v="3"/>
  </r>
  <r>
    <x v="0"/>
    <x v="1"/>
    <x v="2"/>
    <n v="552"/>
    <x v="2"/>
    <n v="4"/>
    <x v="0"/>
    <n v="3"/>
    <s v="Human Resources"/>
    <n v="1722"/>
    <n v="3"/>
    <x v="1"/>
    <n v="60"/>
    <n v="1"/>
    <n v="2"/>
    <x v="8"/>
    <x v="1"/>
    <x v="1"/>
    <x v="1140"/>
    <n v="20794"/>
    <n v="6"/>
    <x v="1"/>
    <n v="19"/>
    <n v="3"/>
    <n v="2"/>
    <x v="1"/>
    <n v="10"/>
    <x v="0"/>
    <n v="4"/>
    <n v="3"/>
    <x v="2"/>
    <n v="2"/>
    <n v="1"/>
    <n v="2"/>
  </r>
  <r>
    <x v="0"/>
    <x v="1"/>
    <x v="0"/>
    <n v="369"/>
    <x v="1"/>
    <n v="8"/>
    <x v="1"/>
    <n v="2"/>
    <s v="Life Sciences"/>
    <n v="1724"/>
    <n v="2"/>
    <x v="0"/>
    <n v="92"/>
    <n v="3"/>
    <n v="2"/>
    <x v="3"/>
    <x v="3"/>
    <x v="1"/>
    <x v="1141"/>
    <n v="5041"/>
    <n v="2"/>
    <x v="0"/>
    <n v="16"/>
    <n v="3"/>
    <n v="2"/>
    <x v="1"/>
    <n v="18"/>
    <x v="2"/>
    <n v="3"/>
    <n v="3"/>
    <x v="1"/>
    <n v="0"/>
    <n v="0"/>
    <n v="0"/>
  </r>
  <r>
    <x v="3"/>
    <x v="1"/>
    <x v="0"/>
    <n v="506"/>
    <x v="1"/>
    <n v="29"/>
    <x v="2"/>
    <n v="1"/>
    <s v="Medical"/>
    <n v="1725"/>
    <n v="2"/>
    <x v="1"/>
    <n v="91"/>
    <n v="3"/>
    <n v="1"/>
    <x v="2"/>
    <x v="3"/>
    <x v="2"/>
    <x v="1142"/>
    <n v="3622"/>
    <n v="1"/>
    <x v="1"/>
    <n v="13"/>
    <n v="3"/>
    <n v="2"/>
    <x v="2"/>
    <n v="6"/>
    <x v="0"/>
    <n v="2"/>
    <n v="4"/>
    <x v="0"/>
    <n v="2"/>
    <n v="1"/>
    <n v="2"/>
  </r>
  <r>
    <x v="1"/>
    <x v="1"/>
    <x v="0"/>
    <n v="717"/>
    <x v="1"/>
    <n v="13"/>
    <x v="1"/>
    <n v="4"/>
    <s v="Life Sciences"/>
    <n v="1727"/>
    <n v="3"/>
    <x v="1"/>
    <n v="34"/>
    <n v="3"/>
    <n v="2"/>
    <x v="4"/>
    <x v="1"/>
    <x v="0"/>
    <x v="622"/>
    <n v="9697"/>
    <n v="6"/>
    <x v="1"/>
    <n v="14"/>
    <n v="3"/>
    <n v="4"/>
    <x v="0"/>
    <n v="19"/>
    <x v="2"/>
    <n v="3"/>
    <n v="3"/>
    <x v="0"/>
    <n v="7"/>
    <n v="0"/>
    <n v="9"/>
  </r>
  <r>
    <x v="2"/>
    <x v="1"/>
    <x v="0"/>
    <n v="1370"/>
    <x v="1"/>
    <n v="27"/>
    <x v="2"/>
    <n v="4"/>
    <s v="Life Sciences"/>
    <n v="1728"/>
    <n v="4"/>
    <x v="1"/>
    <n v="49"/>
    <n v="3"/>
    <n v="2"/>
    <x v="3"/>
    <x v="2"/>
    <x v="1"/>
    <x v="1143"/>
    <n v="5151"/>
    <n v="2"/>
    <x v="1"/>
    <n v="16"/>
    <n v="3"/>
    <n v="2"/>
    <x v="1"/>
    <n v="17"/>
    <x v="2"/>
    <n v="3"/>
    <n v="3"/>
    <x v="0"/>
    <n v="7"/>
    <n v="0"/>
    <n v="7"/>
  </r>
  <r>
    <x v="2"/>
    <x v="1"/>
    <x v="0"/>
    <n v="793"/>
    <x v="1"/>
    <n v="16"/>
    <x v="2"/>
    <n v="1"/>
    <s v="Life Sciences"/>
    <n v="1729"/>
    <n v="2"/>
    <x v="1"/>
    <n v="33"/>
    <n v="3"/>
    <n v="1"/>
    <x v="1"/>
    <x v="0"/>
    <x v="1"/>
    <x v="1144"/>
    <n v="3811"/>
    <n v="1"/>
    <x v="1"/>
    <n v="12"/>
    <n v="3"/>
    <n v="2"/>
    <x v="1"/>
    <n v="10"/>
    <x v="0"/>
    <n v="2"/>
    <n v="2"/>
    <x v="0"/>
    <n v="0"/>
    <n v="0"/>
    <n v="8"/>
  </r>
  <r>
    <x v="1"/>
    <x v="1"/>
    <x v="2"/>
    <n v="543"/>
    <x v="0"/>
    <n v="2"/>
    <x v="0"/>
    <n v="4"/>
    <s v="Marketing"/>
    <n v="1731"/>
    <n v="3"/>
    <x v="1"/>
    <n v="87"/>
    <n v="3"/>
    <n v="2"/>
    <x v="0"/>
    <x v="1"/>
    <x v="1"/>
    <x v="1145"/>
    <n v="3536"/>
    <n v="7"/>
    <x v="1"/>
    <n v="11"/>
    <n v="3"/>
    <n v="4"/>
    <x v="1"/>
    <n v="4"/>
    <x v="1"/>
    <n v="3"/>
    <n v="1"/>
    <x v="1"/>
    <n v="0"/>
    <n v="0"/>
    <n v="0"/>
  </r>
  <r>
    <x v="1"/>
    <x v="1"/>
    <x v="0"/>
    <n v="1277"/>
    <x v="0"/>
    <n v="2"/>
    <x v="0"/>
    <n v="3"/>
    <s v="Life Sciences"/>
    <n v="1732"/>
    <n v="3"/>
    <x v="1"/>
    <n v="74"/>
    <n v="3"/>
    <n v="3"/>
    <x v="0"/>
    <x v="0"/>
    <x v="2"/>
    <x v="1146"/>
    <n v="5596"/>
    <n v="4"/>
    <x v="0"/>
    <n v="12"/>
    <n v="3"/>
    <n v="2"/>
    <x v="1"/>
    <n v="13"/>
    <x v="0"/>
    <n v="5"/>
    <n v="2"/>
    <x v="0"/>
    <n v="6"/>
    <n v="0"/>
    <n v="3"/>
  </r>
  <r>
    <x v="0"/>
    <x v="0"/>
    <x v="0"/>
    <n v="1456"/>
    <x v="0"/>
    <n v="13"/>
    <x v="1"/>
    <n v="5"/>
    <s v="Marketing"/>
    <n v="1733"/>
    <n v="2"/>
    <x v="1"/>
    <n v="96"/>
    <n v="2"/>
    <n v="2"/>
    <x v="0"/>
    <x v="3"/>
    <x v="2"/>
    <x v="1147"/>
    <n v="8658"/>
    <n v="5"/>
    <x v="0"/>
    <n v="13"/>
    <n v="3"/>
    <n v="2"/>
    <x v="2"/>
    <n v="16"/>
    <x v="2"/>
    <n v="3"/>
    <n v="3"/>
    <x v="1"/>
    <n v="2"/>
    <n v="2"/>
    <n v="2"/>
  </r>
  <r>
    <x v="2"/>
    <x v="0"/>
    <x v="0"/>
    <n v="964"/>
    <x v="0"/>
    <n v="1"/>
    <x v="0"/>
    <n v="2"/>
    <s v="Life Sciences"/>
    <n v="1734"/>
    <n v="1"/>
    <x v="1"/>
    <n v="34"/>
    <n v="1"/>
    <n v="2"/>
    <x v="0"/>
    <x v="1"/>
    <x v="0"/>
    <x v="1148"/>
    <n v="12147"/>
    <n v="6"/>
    <x v="1"/>
    <n v="15"/>
    <n v="3"/>
    <n v="2"/>
    <x v="0"/>
    <n v="10"/>
    <x v="0"/>
    <n v="2"/>
    <n v="3"/>
    <x v="1"/>
    <n v="0"/>
    <n v="0"/>
    <n v="0"/>
  </r>
  <r>
    <x v="3"/>
    <x v="1"/>
    <x v="0"/>
    <n v="160"/>
    <x v="1"/>
    <n v="4"/>
    <x v="0"/>
    <n v="1"/>
    <s v="Medical"/>
    <n v="1735"/>
    <n v="3"/>
    <x v="0"/>
    <n v="51"/>
    <n v="3"/>
    <n v="1"/>
    <x v="2"/>
    <x v="1"/>
    <x v="0"/>
    <x v="1149"/>
    <n v="12862"/>
    <n v="1"/>
    <x v="1"/>
    <n v="13"/>
    <n v="3"/>
    <n v="3"/>
    <x v="0"/>
    <n v="3"/>
    <x v="1"/>
    <n v="3"/>
    <n v="1"/>
    <x v="2"/>
    <n v="2"/>
    <n v="1"/>
    <n v="2"/>
  </r>
  <r>
    <x v="2"/>
    <x v="1"/>
    <x v="1"/>
    <n v="163"/>
    <x v="1"/>
    <n v="24"/>
    <x v="2"/>
    <n v="1"/>
    <s v="Technical Degree"/>
    <n v="1736"/>
    <n v="4"/>
    <x v="0"/>
    <n v="30"/>
    <n v="3"/>
    <n v="2"/>
    <x v="3"/>
    <x v="0"/>
    <x v="0"/>
    <x v="319"/>
    <n v="6670"/>
    <n v="2"/>
    <x v="1"/>
    <n v="20"/>
    <n v="4"/>
    <n v="4"/>
    <x v="0"/>
    <n v="9"/>
    <x v="0"/>
    <n v="3"/>
    <n v="2"/>
    <x v="2"/>
    <n v="4"/>
    <n v="1"/>
    <n v="4"/>
  </r>
  <r>
    <x v="0"/>
    <x v="1"/>
    <x v="2"/>
    <n v="792"/>
    <x v="1"/>
    <n v="1"/>
    <x v="0"/>
    <n v="3"/>
    <s v="Life Sciences"/>
    <n v="1737"/>
    <n v="4"/>
    <x v="1"/>
    <n v="77"/>
    <n v="3"/>
    <n v="2"/>
    <x v="2"/>
    <x v="0"/>
    <x v="1"/>
    <x v="1150"/>
    <n v="8989"/>
    <n v="1"/>
    <x v="0"/>
    <n v="15"/>
    <n v="3"/>
    <n v="4"/>
    <x v="1"/>
    <n v="9"/>
    <x v="0"/>
    <n v="2"/>
    <n v="3"/>
    <x v="0"/>
    <n v="8"/>
    <n v="5"/>
    <n v="8"/>
  </r>
  <r>
    <x v="2"/>
    <x v="1"/>
    <x v="0"/>
    <n v="371"/>
    <x v="0"/>
    <n v="19"/>
    <x v="2"/>
    <n v="3"/>
    <s v="Life Sciences"/>
    <n v="1739"/>
    <n v="4"/>
    <x v="1"/>
    <n v="80"/>
    <n v="1"/>
    <n v="3"/>
    <x v="0"/>
    <x v="2"/>
    <x v="1"/>
    <x v="1151"/>
    <n v="3840"/>
    <n v="3"/>
    <x v="1"/>
    <n v="13"/>
    <n v="3"/>
    <n v="3"/>
    <x v="1"/>
    <n v="10"/>
    <x v="0"/>
    <n v="2"/>
    <n v="1"/>
    <x v="2"/>
    <n v="3"/>
    <n v="0"/>
    <n v="2"/>
  </r>
  <r>
    <x v="0"/>
    <x v="1"/>
    <x v="0"/>
    <n v="611"/>
    <x v="0"/>
    <n v="7"/>
    <x v="1"/>
    <n v="4"/>
    <s v="Medical"/>
    <n v="1740"/>
    <n v="2"/>
    <x v="1"/>
    <n v="88"/>
    <n v="3"/>
    <n v="5"/>
    <x v="5"/>
    <x v="1"/>
    <x v="0"/>
    <x v="1152"/>
    <n v="4349"/>
    <n v="1"/>
    <x v="1"/>
    <n v="14"/>
    <n v="3"/>
    <n v="2"/>
    <x v="0"/>
    <n v="21"/>
    <x v="2"/>
    <n v="3"/>
    <n v="2"/>
    <x v="3"/>
    <n v="8"/>
    <n v="12"/>
    <n v="8"/>
  </r>
  <r>
    <x v="0"/>
    <x v="1"/>
    <x v="0"/>
    <n v="176"/>
    <x v="2"/>
    <n v="4"/>
    <x v="0"/>
    <n v="3"/>
    <s v="Life Sciences"/>
    <n v="1744"/>
    <n v="3"/>
    <x v="0"/>
    <n v="56"/>
    <n v="1"/>
    <n v="3"/>
    <x v="8"/>
    <x v="2"/>
    <x v="1"/>
    <x v="1153"/>
    <n v="6595"/>
    <n v="4"/>
    <x v="1"/>
    <n v="21"/>
    <n v="4"/>
    <n v="3"/>
    <x v="3"/>
    <n v="9"/>
    <x v="0"/>
    <n v="2"/>
    <n v="4"/>
    <x v="2"/>
    <n v="0"/>
    <n v="0"/>
    <n v="3"/>
  </r>
  <r>
    <x v="2"/>
    <x v="1"/>
    <x v="1"/>
    <n v="1312"/>
    <x v="1"/>
    <n v="2"/>
    <x v="0"/>
    <n v="4"/>
    <s v="Technical Degree"/>
    <n v="1745"/>
    <n v="4"/>
    <x v="0"/>
    <n v="78"/>
    <n v="2"/>
    <n v="1"/>
    <x v="1"/>
    <x v="3"/>
    <x v="0"/>
    <x v="775"/>
    <n v="26427"/>
    <n v="0"/>
    <x v="1"/>
    <n v="16"/>
    <n v="3"/>
    <n v="4"/>
    <x v="0"/>
    <n v="10"/>
    <x v="0"/>
    <n v="2"/>
    <n v="3"/>
    <x v="0"/>
    <n v="7"/>
    <n v="0"/>
    <n v="7"/>
  </r>
  <r>
    <x v="3"/>
    <x v="1"/>
    <x v="1"/>
    <n v="897"/>
    <x v="2"/>
    <n v="10"/>
    <x v="1"/>
    <n v="3"/>
    <s v="Medical"/>
    <n v="1746"/>
    <n v="1"/>
    <x v="1"/>
    <n v="59"/>
    <n v="3"/>
    <n v="1"/>
    <x v="8"/>
    <x v="0"/>
    <x v="1"/>
    <x v="1154"/>
    <n v="2097"/>
    <n v="0"/>
    <x v="1"/>
    <n v="14"/>
    <n v="3"/>
    <n v="4"/>
    <x v="1"/>
    <n v="3"/>
    <x v="1"/>
    <n v="2"/>
    <n v="3"/>
    <x v="1"/>
    <n v="2"/>
    <n v="2"/>
    <n v="1"/>
  </r>
  <r>
    <x v="2"/>
    <x v="0"/>
    <x v="1"/>
    <n v="600"/>
    <x v="2"/>
    <n v="8"/>
    <x v="1"/>
    <n v="3"/>
    <s v="Human Resources"/>
    <n v="1747"/>
    <n v="3"/>
    <x v="0"/>
    <n v="66"/>
    <n v="2"/>
    <n v="1"/>
    <x v="8"/>
    <x v="0"/>
    <x v="2"/>
    <x v="1155"/>
    <n v="9732"/>
    <n v="6"/>
    <x v="1"/>
    <n v="11"/>
    <n v="3"/>
    <n v="3"/>
    <x v="1"/>
    <n v="6"/>
    <x v="0"/>
    <n v="0"/>
    <n v="2"/>
    <x v="2"/>
    <n v="2"/>
    <n v="1"/>
    <n v="2"/>
  </r>
  <r>
    <x v="2"/>
    <x v="1"/>
    <x v="0"/>
    <n v="1003"/>
    <x v="0"/>
    <n v="5"/>
    <x v="0"/>
    <n v="3"/>
    <s v="Technical Degree"/>
    <n v="1749"/>
    <n v="1"/>
    <x v="1"/>
    <n v="51"/>
    <n v="3"/>
    <n v="2"/>
    <x v="0"/>
    <x v="2"/>
    <x v="1"/>
    <x v="1156"/>
    <n v="20943"/>
    <n v="1"/>
    <x v="1"/>
    <n v="19"/>
    <n v="3"/>
    <n v="3"/>
    <x v="1"/>
    <n v="6"/>
    <x v="0"/>
    <n v="3"/>
    <n v="3"/>
    <x v="2"/>
    <n v="2"/>
    <n v="0"/>
    <n v="2"/>
  </r>
  <r>
    <x v="2"/>
    <x v="1"/>
    <x v="0"/>
    <n v="1054"/>
    <x v="1"/>
    <n v="8"/>
    <x v="1"/>
    <n v="3"/>
    <s v="Medical"/>
    <n v="1751"/>
    <n v="3"/>
    <x v="0"/>
    <n v="67"/>
    <n v="3"/>
    <n v="1"/>
    <x v="1"/>
    <x v="0"/>
    <x v="0"/>
    <x v="1157"/>
    <n v="6152"/>
    <n v="1"/>
    <x v="1"/>
    <n v="11"/>
    <n v="3"/>
    <n v="3"/>
    <x v="0"/>
    <n v="6"/>
    <x v="0"/>
    <n v="5"/>
    <n v="2"/>
    <x v="0"/>
    <n v="2"/>
    <n v="1"/>
    <n v="4"/>
  </r>
  <r>
    <x v="2"/>
    <x v="0"/>
    <x v="0"/>
    <n v="428"/>
    <x v="0"/>
    <n v="9"/>
    <x v="1"/>
    <n v="3"/>
    <s v="Marketing"/>
    <n v="1752"/>
    <n v="2"/>
    <x v="0"/>
    <n v="52"/>
    <n v="1"/>
    <n v="1"/>
    <x v="6"/>
    <x v="1"/>
    <x v="0"/>
    <x v="1158"/>
    <n v="14630"/>
    <n v="1"/>
    <x v="1"/>
    <n v="13"/>
    <n v="3"/>
    <n v="3"/>
    <x v="0"/>
    <n v="2"/>
    <x v="1"/>
    <n v="3"/>
    <n v="3"/>
    <x v="1"/>
    <n v="2"/>
    <n v="2"/>
    <n v="2"/>
  </r>
  <r>
    <x v="2"/>
    <x v="1"/>
    <x v="1"/>
    <n v="461"/>
    <x v="1"/>
    <n v="1"/>
    <x v="0"/>
    <n v="3"/>
    <s v="Life Sciences"/>
    <n v="1753"/>
    <n v="4"/>
    <x v="1"/>
    <n v="70"/>
    <n v="4"/>
    <n v="2"/>
    <x v="4"/>
    <x v="2"/>
    <x v="0"/>
    <x v="1159"/>
    <n v="23060"/>
    <n v="8"/>
    <x v="0"/>
    <n v="12"/>
    <n v="3"/>
    <n v="4"/>
    <x v="0"/>
    <n v="10"/>
    <x v="0"/>
    <n v="5"/>
    <n v="4"/>
    <x v="2"/>
    <n v="2"/>
    <n v="0"/>
    <n v="2"/>
  </r>
  <r>
    <x v="2"/>
    <x v="1"/>
    <x v="0"/>
    <n v="979"/>
    <x v="0"/>
    <n v="15"/>
    <x v="1"/>
    <n v="2"/>
    <s v="Marketing"/>
    <n v="1754"/>
    <n v="3"/>
    <x v="1"/>
    <n v="94"/>
    <n v="2"/>
    <n v="3"/>
    <x v="0"/>
    <x v="3"/>
    <x v="2"/>
    <x v="1160"/>
    <n v="3088"/>
    <n v="2"/>
    <x v="1"/>
    <n v="11"/>
    <n v="3"/>
    <n v="1"/>
    <x v="1"/>
    <n v="12"/>
    <x v="0"/>
    <n v="2"/>
    <n v="3"/>
    <x v="0"/>
    <n v="7"/>
    <n v="1"/>
    <n v="7"/>
  </r>
  <r>
    <x v="2"/>
    <x v="1"/>
    <x v="0"/>
    <n v="181"/>
    <x v="1"/>
    <n v="2"/>
    <x v="0"/>
    <n v="4"/>
    <s v="Medical"/>
    <n v="1755"/>
    <n v="4"/>
    <x v="1"/>
    <n v="97"/>
    <n v="4"/>
    <n v="1"/>
    <x v="1"/>
    <x v="0"/>
    <x v="1"/>
    <x v="1161"/>
    <n v="5586"/>
    <n v="0"/>
    <x v="0"/>
    <n v="14"/>
    <n v="3"/>
    <n v="1"/>
    <x v="2"/>
    <n v="6"/>
    <x v="0"/>
    <n v="3"/>
    <n v="3"/>
    <x v="2"/>
    <n v="0"/>
    <n v="1"/>
    <n v="2"/>
  </r>
  <r>
    <x v="2"/>
    <x v="1"/>
    <x v="2"/>
    <n v="1283"/>
    <x v="0"/>
    <n v="2"/>
    <x v="0"/>
    <n v="3"/>
    <s v="Marketing"/>
    <n v="1756"/>
    <n v="4"/>
    <x v="0"/>
    <n v="62"/>
    <n v="3"/>
    <n v="2"/>
    <x v="0"/>
    <x v="1"/>
    <x v="0"/>
    <x v="1162"/>
    <n v="10697"/>
    <n v="8"/>
    <x v="1"/>
    <n v="15"/>
    <n v="3"/>
    <n v="4"/>
    <x v="0"/>
    <n v="13"/>
    <x v="0"/>
    <n v="2"/>
    <n v="2"/>
    <x v="3"/>
    <n v="7"/>
    <n v="1"/>
    <n v="7"/>
  </r>
  <r>
    <x v="1"/>
    <x v="1"/>
    <x v="0"/>
    <n v="1313"/>
    <x v="0"/>
    <n v="11"/>
    <x v="1"/>
    <n v="4"/>
    <s v="Marketing"/>
    <n v="1757"/>
    <n v="4"/>
    <x v="0"/>
    <n v="80"/>
    <n v="3"/>
    <n v="2"/>
    <x v="0"/>
    <x v="0"/>
    <x v="0"/>
    <x v="1163"/>
    <n v="8191"/>
    <n v="3"/>
    <x v="1"/>
    <n v="12"/>
    <n v="3"/>
    <n v="3"/>
    <x v="0"/>
    <n v="8"/>
    <x v="0"/>
    <n v="1"/>
    <n v="4"/>
    <x v="2"/>
    <n v="1"/>
    <n v="0"/>
    <n v="4"/>
  </r>
  <r>
    <x v="2"/>
    <x v="0"/>
    <x v="0"/>
    <n v="211"/>
    <x v="0"/>
    <n v="16"/>
    <x v="2"/>
    <n v="3"/>
    <s v="Life Sciences"/>
    <n v="1758"/>
    <n v="1"/>
    <x v="0"/>
    <n v="74"/>
    <n v="3"/>
    <n v="3"/>
    <x v="0"/>
    <x v="3"/>
    <x v="0"/>
    <x v="1164"/>
    <n v="10092"/>
    <n v="2"/>
    <x v="0"/>
    <n v="20"/>
    <n v="4"/>
    <n v="3"/>
    <x v="0"/>
    <n v="11"/>
    <x v="0"/>
    <n v="2"/>
    <n v="2"/>
    <x v="1"/>
    <n v="0"/>
    <n v="0"/>
    <n v="0"/>
  </r>
  <r>
    <x v="0"/>
    <x v="1"/>
    <x v="1"/>
    <n v="594"/>
    <x v="1"/>
    <n v="2"/>
    <x v="0"/>
    <n v="2"/>
    <s v="Medical"/>
    <n v="1760"/>
    <n v="3"/>
    <x v="0"/>
    <n v="75"/>
    <n v="2"/>
    <n v="1"/>
    <x v="2"/>
    <x v="1"/>
    <x v="1"/>
    <x v="1165"/>
    <n v="15963"/>
    <n v="4"/>
    <x v="1"/>
    <n v="14"/>
    <n v="3"/>
    <n v="2"/>
    <x v="1"/>
    <n v="9"/>
    <x v="0"/>
    <n v="4"/>
    <n v="2"/>
    <x v="0"/>
    <n v="1"/>
    <n v="0"/>
    <n v="5"/>
  </r>
  <r>
    <x v="2"/>
    <x v="0"/>
    <x v="0"/>
    <n v="1079"/>
    <x v="0"/>
    <n v="16"/>
    <x v="2"/>
    <n v="4"/>
    <s v="Marketing"/>
    <n v="1761"/>
    <n v="1"/>
    <x v="1"/>
    <n v="70"/>
    <n v="3"/>
    <n v="3"/>
    <x v="0"/>
    <x v="2"/>
    <x v="1"/>
    <x v="1166"/>
    <n v="19002"/>
    <n v="2"/>
    <x v="1"/>
    <n v="13"/>
    <n v="3"/>
    <n v="1"/>
    <x v="2"/>
    <n v="10"/>
    <x v="0"/>
    <n v="2"/>
    <n v="3"/>
    <x v="1"/>
    <n v="0"/>
    <n v="0"/>
    <n v="0"/>
  </r>
  <r>
    <x v="2"/>
    <x v="1"/>
    <x v="0"/>
    <n v="590"/>
    <x v="1"/>
    <n v="4"/>
    <x v="0"/>
    <n v="3"/>
    <s v="Technical Degree"/>
    <n v="1762"/>
    <n v="4"/>
    <x v="0"/>
    <n v="91"/>
    <n v="2"/>
    <n v="1"/>
    <x v="1"/>
    <x v="3"/>
    <x v="2"/>
    <x v="971"/>
    <n v="10007"/>
    <n v="1"/>
    <x v="1"/>
    <n v="13"/>
    <n v="3"/>
    <n v="3"/>
    <x v="1"/>
    <n v="1"/>
    <x v="1"/>
    <n v="2"/>
    <n v="3"/>
    <x v="1"/>
    <n v="0"/>
    <n v="0"/>
    <n v="0"/>
  </r>
  <r>
    <x v="2"/>
    <x v="1"/>
    <x v="0"/>
    <n v="305"/>
    <x v="1"/>
    <n v="16"/>
    <x v="2"/>
    <n v="3"/>
    <s v="Life Sciences"/>
    <n v="1763"/>
    <n v="3"/>
    <x v="1"/>
    <n v="58"/>
    <n v="4"/>
    <n v="2"/>
    <x v="4"/>
    <x v="2"/>
    <x v="1"/>
    <x v="1167"/>
    <n v="9128"/>
    <n v="3"/>
    <x v="1"/>
    <n v="16"/>
    <n v="3"/>
    <n v="3"/>
    <x v="1"/>
    <n v="10"/>
    <x v="0"/>
    <n v="3"/>
    <n v="3"/>
    <x v="0"/>
    <n v="0"/>
    <n v="1"/>
    <n v="7"/>
  </r>
  <r>
    <x v="2"/>
    <x v="1"/>
    <x v="2"/>
    <n v="953"/>
    <x v="1"/>
    <n v="5"/>
    <x v="0"/>
    <n v="4"/>
    <s v="Technical Degree"/>
    <n v="1764"/>
    <n v="2"/>
    <x v="1"/>
    <n v="65"/>
    <n v="3"/>
    <n v="1"/>
    <x v="1"/>
    <x v="1"/>
    <x v="0"/>
    <x v="1168"/>
    <n v="17674"/>
    <n v="2"/>
    <x v="1"/>
    <n v="14"/>
    <n v="3"/>
    <n v="2"/>
    <x v="0"/>
    <n v="12"/>
    <x v="0"/>
    <n v="3"/>
    <n v="3"/>
    <x v="0"/>
    <n v="7"/>
    <n v="0"/>
    <n v="7"/>
  </r>
  <r>
    <x v="0"/>
    <x v="1"/>
    <x v="0"/>
    <n v="833"/>
    <x v="1"/>
    <n v="18"/>
    <x v="2"/>
    <n v="3"/>
    <s v="Medical"/>
    <n v="1766"/>
    <n v="2"/>
    <x v="1"/>
    <n v="60"/>
    <n v="1"/>
    <n v="2"/>
    <x v="4"/>
    <x v="0"/>
    <x v="1"/>
    <x v="1169"/>
    <n v="24539"/>
    <n v="3"/>
    <x v="0"/>
    <n v="16"/>
    <n v="3"/>
    <n v="3"/>
    <x v="1"/>
    <n v="15"/>
    <x v="0"/>
    <n v="2"/>
    <n v="3"/>
    <x v="1"/>
    <n v="0"/>
    <n v="1"/>
    <n v="0"/>
  </r>
  <r>
    <x v="0"/>
    <x v="0"/>
    <x v="1"/>
    <n v="807"/>
    <x v="1"/>
    <n v="17"/>
    <x v="2"/>
    <n v="3"/>
    <s v="Technical Degree"/>
    <n v="1767"/>
    <n v="3"/>
    <x v="1"/>
    <n v="38"/>
    <n v="2"/>
    <n v="1"/>
    <x v="1"/>
    <x v="2"/>
    <x v="1"/>
    <x v="1170"/>
    <n v="15587"/>
    <n v="9"/>
    <x v="0"/>
    <n v="16"/>
    <n v="3"/>
    <n v="4"/>
    <x v="1"/>
    <n v="6"/>
    <x v="0"/>
    <n v="4"/>
    <n v="3"/>
    <x v="1"/>
    <n v="0"/>
    <n v="0"/>
    <n v="0"/>
  </r>
  <r>
    <x v="0"/>
    <x v="1"/>
    <x v="0"/>
    <n v="855"/>
    <x v="1"/>
    <n v="12"/>
    <x v="1"/>
    <n v="3"/>
    <s v="Medical"/>
    <n v="1768"/>
    <n v="2"/>
    <x v="1"/>
    <n v="57"/>
    <n v="3"/>
    <n v="1"/>
    <x v="2"/>
    <x v="1"/>
    <x v="2"/>
    <x v="1171"/>
    <n v="8952"/>
    <n v="8"/>
    <x v="1"/>
    <n v="22"/>
    <n v="4"/>
    <n v="2"/>
    <x v="2"/>
    <n v="7"/>
    <x v="0"/>
    <n v="6"/>
    <n v="2"/>
    <x v="2"/>
    <n v="3"/>
    <n v="0"/>
    <n v="4"/>
  </r>
  <r>
    <x v="1"/>
    <x v="1"/>
    <x v="0"/>
    <n v="478"/>
    <x v="1"/>
    <n v="2"/>
    <x v="0"/>
    <n v="3"/>
    <s v="Medical"/>
    <n v="1770"/>
    <n v="3"/>
    <x v="1"/>
    <n v="60"/>
    <n v="2"/>
    <n v="5"/>
    <x v="7"/>
    <x v="3"/>
    <x v="1"/>
    <x v="1172"/>
    <n v="19805"/>
    <n v="8"/>
    <x v="1"/>
    <n v="12"/>
    <n v="3"/>
    <n v="2"/>
    <x v="2"/>
    <n v="34"/>
    <x v="2"/>
    <n v="2"/>
    <n v="3"/>
    <x v="1"/>
    <n v="0"/>
    <n v="0"/>
    <n v="0"/>
  </r>
  <r>
    <x v="2"/>
    <x v="1"/>
    <x v="2"/>
    <n v="775"/>
    <x v="1"/>
    <n v="4"/>
    <x v="0"/>
    <n v="3"/>
    <s v="Technical Degree"/>
    <n v="1771"/>
    <n v="4"/>
    <x v="1"/>
    <n v="90"/>
    <n v="3"/>
    <n v="2"/>
    <x v="1"/>
    <x v="1"/>
    <x v="2"/>
    <x v="1173"/>
    <n v="6194"/>
    <n v="5"/>
    <x v="1"/>
    <n v="15"/>
    <n v="3"/>
    <n v="4"/>
    <x v="3"/>
    <n v="11"/>
    <x v="0"/>
    <n v="2"/>
    <n v="2"/>
    <x v="0"/>
    <n v="8"/>
    <n v="1"/>
    <n v="7"/>
  </r>
  <r>
    <x v="0"/>
    <x v="1"/>
    <x v="0"/>
    <n v="548"/>
    <x v="1"/>
    <n v="9"/>
    <x v="1"/>
    <n v="4"/>
    <s v="Life Sciences"/>
    <n v="1772"/>
    <n v="3"/>
    <x v="1"/>
    <n v="94"/>
    <n v="3"/>
    <n v="1"/>
    <x v="2"/>
    <x v="3"/>
    <x v="2"/>
    <x v="1174"/>
    <n v="20520"/>
    <n v="1"/>
    <x v="1"/>
    <n v="20"/>
    <n v="4"/>
    <n v="2"/>
    <x v="3"/>
    <n v="5"/>
    <x v="1"/>
    <n v="2"/>
    <n v="3"/>
    <x v="2"/>
    <n v="3"/>
    <n v="0"/>
    <n v="4"/>
  </r>
  <r>
    <x v="2"/>
    <x v="1"/>
    <x v="2"/>
    <n v="1375"/>
    <x v="0"/>
    <n v="10"/>
    <x v="1"/>
    <n v="3"/>
    <s v="Life Sciences"/>
    <n v="1774"/>
    <n v="4"/>
    <x v="1"/>
    <n v="87"/>
    <n v="3"/>
    <n v="2"/>
    <x v="0"/>
    <x v="2"/>
    <x v="2"/>
    <x v="1175"/>
    <n v="12313"/>
    <n v="1"/>
    <x v="0"/>
    <n v="14"/>
    <n v="3"/>
    <n v="3"/>
    <x v="1"/>
    <n v="15"/>
    <x v="0"/>
    <n v="3"/>
    <n v="3"/>
    <x v="3"/>
    <n v="14"/>
    <n v="0"/>
    <n v="7"/>
  </r>
  <r>
    <x v="1"/>
    <x v="1"/>
    <x v="2"/>
    <n v="661"/>
    <x v="1"/>
    <n v="1"/>
    <x v="0"/>
    <n v="4"/>
    <s v="Medical"/>
    <n v="1775"/>
    <n v="1"/>
    <x v="0"/>
    <n v="60"/>
    <n v="2"/>
    <n v="4"/>
    <x v="3"/>
    <x v="2"/>
    <x v="1"/>
    <x v="1176"/>
    <n v="22308"/>
    <n v="4"/>
    <x v="0"/>
    <n v="20"/>
    <n v="4"/>
    <n v="4"/>
    <x v="2"/>
    <n v="27"/>
    <x v="2"/>
    <n v="2"/>
    <n v="2"/>
    <x v="2"/>
    <n v="2"/>
    <n v="0"/>
    <n v="2"/>
  </r>
  <r>
    <x v="0"/>
    <x v="1"/>
    <x v="0"/>
    <n v="244"/>
    <x v="2"/>
    <n v="2"/>
    <x v="0"/>
    <n v="3"/>
    <s v="Life Sciences"/>
    <n v="1778"/>
    <n v="2"/>
    <x v="1"/>
    <n v="97"/>
    <n v="3"/>
    <n v="1"/>
    <x v="8"/>
    <x v="0"/>
    <x v="0"/>
    <x v="1177"/>
    <n v="5033"/>
    <n v="0"/>
    <x v="1"/>
    <n v="13"/>
    <n v="3"/>
    <n v="2"/>
    <x v="0"/>
    <n v="10"/>
    <x v="0"/>
    <n v="5"/>
    <n v="3"/>
    <x v="0"/>
    <n v="7"/>
    <n v="1"/>
    <n v="8"/>
  </r>
  <r>
    <x v="2"/>
    <x v="1"/>
    <x v="0"/>
    <n v="511"/>
    <x v="0"/>
    <n v="3"/>
    <x v="0"/>
    <n v="2"/>
    <s v="Life Sciences"/>
    <n v="1779"/>
    <n v="4"/>
    <x v="0"/>
    <n v="32"/>
    <n v="1"/>
    <n v="2"/>
    <x v="0"/>
    <x v="0"/>
    <x v="0"/>
    <x v="1178"/>
    <n v="25353"/>
    <n v="5"/>
    <x v="1"/>
    <n v="12"/>
    <n v="3"/>
    <n v="1"/>
    <x v="0"/>
    <n v="6"/>
    <x v="0"/>
    <n v="3"/>
    <n v="3"/>
    <x v="1"/>
    <n v="2"/>
    <n v="2"/>
    <n v="2"/>
  </r>
  <r>
    <x v="3"/>
    <x v="0"/>
    <x v="0"/>
    <n v="337"/>
    <x v="0"/>
    <n v="7"/>
    <x v="1"/>
    <n v="1"/>
    <s v="Marketing"/>
    <n v="1780"/>
    <n v="2"/>
    <x v="1"/>
    <n v="31"/>
    <n v="3"/>
    <n v="1"/>
    <x v="6"/>
    <x v="1"/>
    <x v="0"/>
    <x v="1179"/>
    <n v="4567"/>
    <n v="1"/>
    <x v="1"/>
    <n v="13"/>
    <n v="3"/>
    <n v="2"/>
    <x v="0"/>
    <n v="1"/>
    <x v="1"/>
    <n v="3"/>
    <n v="3"/>
    <x v="1"/>
    <n v="0"/>
    <n v="1"/>
    <n v="0"/>
  </r>
  <r>
    <x v="0"/>
    <x v="1"/>
    <x v="0"/>
    <n v="1153"/>
    <x v="1"/>
    <n v="6"/>
    <x v="1"/>
    <n v="2"/>
    <s v="Other"/>
    <n v="1782"/>
    <n v="4"/>
    <x v="0"/>
    <n v="40"/>
    <n v="2"/>
    <n v="1"/>
    <x v="2"/>
    <x v="2"/>
    <x v="1"/>
    <x v="1180"/>
    <n v="16376"/>
    <n v="1"/>
    <x v="1"/>
    <n v="11"/>
    <n v="3"/>
    <n v="2"/>
    <x v="1"/>
    <n v="5"/>
    <x v="1"/>
    <n v="3"/>
    <n v="3"/>
    <x v="2"/>
    <n v="4"/>
    <n v="0"/>
    <n v="4"/>
  </r>
  <r>
    <x v="3"/>
    <x v="0"/>
    <x v="0"/>
    <n v="1294"/>
    <x v="1"/>
    <n v="8"/>
    <x v="1"/>
    <n v="1"/>
    <s v="Medical"/>
    <n v="1783"/>
    <n v="3"/>
    <x v="0"/>
    <n v="79"/>
    <n v="3"/>
    <n v="1"/>
    <x v="2"/>
    <x v="3"/>
    <x v="1"/>
    <x v="1181"/>
    <n v="15999"/>
    <n v="1"/>
    <x v="0"/>
    <n v="17"/>
    <n v="3"/>
    <n v="3"/>
    <x v="0"/>
    <n v="1"/>
    <x v="1"/>
    <n v="6"/>
    <n v="3"/>
    <x v="1"/>
    <n v="0"/>
    <n v="0"/>
    <n v="0"/>
  </r>
  <r>
    <x v="2"/>
    <x v="1"/>
    <x v="0"/>
    <n v="196"/>
    <x v="0"/>
    <n v="29"/>
    <x v="2"/>
    <n v="4"/>
    <s v="Marketing"/>
    <n v="1784"/>
    <n v="1"/>
    <x v="0"/>
    <n v="91"/>
    <n v="2"/>
    <n v="2"/>
    <x v="0"/>
    <x v="0"/>
    <x v="1"/>
    <x v="1182"/>
    <n v="13402"/>
    <n v="1"/>
    <x v="1"/>
    <n v="14"/>
    <n v="3"/>
    <n v="1"/>
    <x v="3"/>
    <n v="13"/>
    <x v="0"/>
    <n v="3"/>
    <n v="3"/>
    <x v="3"/>
    <n v="7"/>
    <n v="5"/>
    <n v="7"/>
  </r>
  <r>
    <x v="1"/>
    <x v="1"/>
    <x v="0"/>
    <n v="942"/>
    <x v="1"/>
    <n v="3"/>
    <x v="0"/>
    <n v="3"/>
    <s v="Technical Degree"/>
    <n v="1786"/>
    <n v="1"/>
    <x v="0"/>
    <n v="53"/>
    <n v="3"/>
    <n v="3"/>
    <x v="5"/>
    <x v="2"/>
    <x v="1"/>
    <x v="1183"/>
    <n v="22984"/>
    <n v="2"/>
    <x v="1"/>
    <n v="11"/>
    <n v="3"/>
    <n v="4"/>
    <x v="0"/>
    <n v="15"/>
    <x v="0"/>
    <n v="2"/>
    <n v="3"/>
    <x v="1"/>
    <n v="2"/>
    <n v="2"/>
    <n v="2"/>
  </r>
  <r>
    <x v="0"/>
    <x v="1"/>
    <x v="0"/>
    <n v="589"/>
    <x v="0"/>
    <n v="9"/>
    <x v="1"/>
    <n v="2"/>
    <s v="Marketing"/>
    <n v="1787"/>
    <n v="2"/>
    <x v="1"/>
    <n v="46"/>
    <n v="2"/>
    <n v="2"/>
    <x v="0"/>
    <x v="1"/>
    <x v="1"/>
    <x v="1184"/>
    <n v="8800"/>
    <n v="1"/>
    <x v="1"/>
    <n v="14"/>
    <n v="3"/>
    <n v="1"/>
    <x v="3"/>
    <n v="5"/>
    <x v="1"/>
    <n v="2"/>
    <n v="3"/>
    <x v="2"/>
    <n v="2"/>
    <n v="0"/>
    <n v="3"/>
  </r>
  <r>
    <x v="1"/>
    <x v="1"/>
    <x v="0"/>
    <n v="734"/>
    <x v="1"/>
    <n v="2"/>
    <x v="0"/>
    <n v="4"/>
    <s v="Medical"/>
    <n v="1789"/>
    <n v="3"/>
    <x v="1"/>
    <n v="46"/>
    <n v="3"/>
    <n v="5"/>
    <x v="7"/>
    <x v="0"/>
    <x v="2"/>
    <x v="1185"/>
    <n v="14218"/>
    <n v="7"/>
    <x v="0"/>
    <n v="17"/>
    <n v="3"/>
    <n v="3"/>
    <x v="1"/>
    <n v="24"/>
    <x v="2"/>
    <n v="3"/>
    <n v="3"/>
    <x v="1"/>
    <n v="1"/>
    <n v="2"/>
    <n v="2"/>
  </r>
  <r>
    <x v="0"/>
    <x v="1"/>
    <x v="0"/>
    <n v="1383"/>
    <x v="1"/>
    <n v="10"/>
    <x v="1"/>
    <n v="3"/>
    <s v="Life Sciences"/>
    <n v="1790"/>
    <n v="4"/>
    <x v="1"/>
    <n v="90"/>
    <n v="3"/>
    <n v="3"/>
    <x v="4"/>
    <x v="3"/>
    <x v="1"/>
    <x v="1186"/>
    <n v="25949"/>
    <n v="7"/>
    <x v="0"/>
    <n v="13"/>
    <n v="3"/>
    <n v="4"/>
    <x v="1"/>
    <n v="15"/>
    <x v="0"/>
    <n v="1"/>
    <n v="3"/>
    <x v="3"/>
    <n v="8"/>
    <n v="5"/>
    <n v="7"/>
  </r>
  <r>
    <x v="0"/>
    <x v="0"/>
    <x v="1"/>
    <n v="429"/>
    <x v="1"/>
    <n v="1"/>
    <x v="0"/>
    <n v="2"/>
    <s v="Medical"/>
    <n v="1792"/>
    <n v="3"/>
    <x v="1"/>
    <n v="99"/>
    <n v="3"/>
    <n v="1"/>
    <x v="1"/>
    <x v="1"/>
    <x v="2"/>
    <x v="531"/>
    <n v="11092"/>
    <n v="1"/>
    <x v="0"/>
    <n v="12"/>
    <n v="3"/>
    <n v="3"/>
    <x v="2"/>
    <n v="6"/>
    <x v="0"/>
    <n v="2"/>
    <n v="2"/>
    <x v="2"/>
    <n v="3"/>
    <n v="2"/>
    <n v="3"/>
  </r>
  <r>
    <x v="0"/>
    <x v="1"/>
    <x v="0"/>
    <n v="1239"/>
    <x v="2"/>
    <n v="8"/>
    <x v="1"/>
    <n v="2"/>
    <s v="Other"/>
    <n v="1794"/>
    <n v="3"/>
    <x v="1"/>
    <n v="89"/>
    <n v="3"/>
    <n v="2"/>
    <x v="8"/>
    <x v="1"/>
    <x v="2"/>
    <x v="1187"/>
    <n v="12832"/>
    <n v="2"/>
    <x v="1"/>
    <n v="13"/>
    <n v="3"/>
    <n v="3"/>
    <x v="0"/>
    <n v="19"/>
    <x v="2"/>
    <n v="4"/>
    <n v="2"/>
    <x v="0"/>
    <n v="0"/>
    <n v="4"/>
    <n v="7"/>
  </r>
  <r>
    <x v="2"/>
    <x v="0"/>
    <x v="0"/>
    <n v="303"/>
    <x v="0"/>
    <n v="27"/>
    <x v="2"/>
    <n v="3"/>
    <s v="Life Sciences"/>
    <n v="1797"/>
    <n v="3"/>
    <x v="1"/>
    <n v="84"/>
    <n v="3"/>
    <n v="2"/>
    <x v="0"/>
    <x v="0"/>
    <x v="0"/>
    <x v="1188"/>
    <n v="13492"/>
    <n v="1"/>
    <x v="0"/>
    <n v="18"/>
    <n v="3"/>
    <n v="4"/>
    <x v="0"/>
    <n v="10"/>
    <x v="0"/>
    <n v="2"/>
    <n v="3"/>
    <x v="0"/>
    <n v="7"/>
    <n v="7"/>
    <n v="7"/>
  </r>
  <r>
    <x v="2"/>
    <x v="1"/>
    <x v="0"/>
    <n v="867"/>
    <x v="1"/>
    <n v="8"/>
    <x v="1"/>
    <n v="4"/>
    <s v="Life Sciences"/>
    <n v="1798"/>
    <n v="4"/>
    <x v="1"/>
    <n v="90"/>
    <n v="4"/>
    <n v="1"/>
    <x v="1"/>
    <x v="3"/>
    <x v="1"/>
    <x v="1189"/>
    <n v="6076"/>
    <n v="6"/>
    <x v="1"/>
    <n v="19"/>
    <n v="3"/>
    <n v="2"/>
    <x v="1"/>
    <n v="14"/>
    <x v="0"/>
    <n v="1"/>
    <n v="3"/>
    <x v="0"/>
    <n v="8"/>
    <n v="7"/>
    <n v="6"/>
  </r>
  <r>
    <x v="2"/>
    <x v="1"/>
    <x v="0"/>
    <n v="1181"/>
    <x v="1"/>
    <n v="1"/>
    <x v="0"/>
    <n v="3"/>
    <s v="Life Sciences"/>
    <n v="1799"/>
    <n v="3"/>
    <x v="1"/>
    <n v="82"/>
    <n v="3"/>
    <n v="1"/>
    <x v="1"/>
    <x v="0"/>
    <x v="1"/>
    <x v="633"/>
    <n v="5531"/>
    <n v="1"/>
    <x v="1"/>
    <n v="11"/>
    <n v="3"/>
    <n v="3"/>
    <x v="1"/>
    <n v="5"/>
    <x v="1"/>
    <n v="6"/>
    <n v="4"/>
    <x v="2"/>
    <n v="3"/>
    <n v="0"/>
    <n v="3"/>
  </r>
  <r>
    <x v="0"/>
    <x v="1"/>
    <x v="0"/>
    <n v="1253"/>
    <x v="1"/>
    <n v="10"/>
    <x v="1"/>
    <n v="1"/>
    <s v="Medical"/>
    <n v="1800"/>
    <n v="3"/>
    <x v="1"/>
    <n v="65"/>
    <n v="3"/>
    <n v="3"/>
    <x v="7"/>
    <x v="2"/>
    <x v="0"/>
    <x v="1190"/>
    <n v="7914"/>
    <n v="7"/>
    <x v="1"/>
    <n v="21"/>
    <n v="4"/>
    <n v="3"/>
    <x v="0"/>
    <n v="9"/>
    <x v="0"/>
    <n v="3"/>
    <n v="3"/>
    <x v="2"/>
    <n v="3"/>
    <n v="2"/>
    <n v="2"/>
  </r>
  <r>
    <x v="1"/>
    <x v="1"/>
    <x v="2"/>
    <n v="849"/>
    <x v="0"/>
    <n v="26"/>
    <x v="2"/>
    <n v="2"/>
    <s v="Life Sciences"/>
    <n v="1801"/>
    <n v="2"/>
    <x v="1"/>
    <n v="98"/>
    <n v="2"/>
    <n v="2"/>
    <x v="0"/>
    <x v="1"/>
    <x v="0"/>
    <x v="1191"/>
    <n v="25166"/>
    <n v="8"/>
    <x v="1"/>
    <n v="15"/>
    <n v="3"/>
    <n v="3"/>
    <x v="0"/>
    <n v="6"/>
    <x v="0"/>
    <n v="3"/>
    <n v="3"/>
    <x v="1"/>
    <n v="2"/>
    <n v="2"/>
    <n v="2"/>
  </r>
  <r>
    <x v="0"/>
    <x v="1"/>
    <x v="0"/>
    <n v="616"/>
    <x v="1"/>
    <n v="2"/>
    <x v="0"/>
    <n v="2"/>
    <s v="Life Sciences"/>
    <n v="1802"/>
    <n v="3"/>
    <x v="0"/>
    <n v="99"/>
    <n v="3"/>
    <n v="1"/>
    <x v="2"/>
    <x v="3"/>
    <x v="1"/>
    <x v="1192"/>
    <n v="25605"/>
    <n v="4"/>
    <x v="1"/>
    <n v="17"/>
    <n v="3"/>
    <n v="4"/>
    <x v="1"/>
    <n v="7"/>
    <x v="0"/>
    <n v="5"/>
    <n v="2"/>
    <x v="2"/>
    <n v="3"/>
    <n v="0"/>
    <n v="2"/>
  </r>
  <r>
    <x v="0"/>
    <x v="1"/>
    <x v="0"/>
    <n v="1128"/>
    <x v="1"/>
    <n v="13"/>
    <x v="1"/>
    <n v="3"/>
    <s v="Medical"/>
    <n v="1803"/>
    <n v="2"/>
    <x v="1"/>
    <n v="95"/>
    <n v="4"/>
    <n v="2"/>
    <x v="4"/>
    <x v="3"/>
    <x v="1"/>
    <x v="1193"/>
    <n v="5696"/>
    <n v="5"/>
    <x v="1"/>
    <n v="18"/>
    <n v="3"/>
    <n v="3"/>
    <x v="3"/>
    <n v="10"/>
    <x v="0"/>
    <n v="2"/>
    <n v="2"/>
    <x v="1"/>
    <n v="0"/>
    <n v="0"/>
    <n v="0"/>
  </r>
  <r>
    <x v="2"/>
    <x v="1"/>
    <x v="2"/>
    <n v="1180"/>
    <x v="1"/>
    <n v="2"/>
    <x v="0"/>
    <n v="2"/>
    <s v="Medical"/>
    <n v="1804"/>
    <n v="2"/>
    <x v="1"/>
    <n v="90"/>
    <n v="3"/>
    <n v="2"/>
    <x v="3"/>
    <x v="0"/>
    <x v="2"/>
    <x v="1194"/>
    <n v="24442"/>
    <n v="2"/>
    <x v="1"/>
    <n v="14"/>
    <n v="3"/>
    <n v="3"/>
    <x v="1"/>
    <n v="15"/>
    <x v="0"/>
    <n v="6"/>
    <n v="3"/>
    <x v="0"/>
    <n v="7"/>
    <n v="1"/>
    <n v="7"/>
  </r>
  <r>
    <x v="0"/>
    <x v="1"/>
    <x v="2"/>
    <n v="1336"/>
    <x v="2"/>
    <n v="2"/>
    <x v="0"/>
    <n v="3"/>
    <s v="Human Resources"/>
    <n v="1805"/>
    <n v="1"/>
    <x v="1"/>
    <n v="100"/>
    <n v="3"/>
    <n v="1"/>
    <x v="8"/>
    <x v="1"/>
    <x v="2"/>
    <x v="1195"/>
    <n v="7129"/>
    <n v="5"/>
    <x v="1"/>
    <n v="13"/>
    <n v="3"/>
    <n v="4"/>
    <x v="2"/>
    <n v="13"/>
    <x v="0"/>
    <n v="3"/>
    <n v="3"/>
    <x v="3"/>
    <n v="10"/>
    <n v="3"/>
    <n v="8"/>
  </r>
  <r>
    <x v="2"/>
    <x v="0"/>
    <x v="1"/>
    <n v="234"/>
    <x v="1"/>
    <n v="9"/>
    <x v="1"/>
    <n v="4"/>
    <s v="Life Sciences"/>
    <n v="1807"/>
    <n v="4"/>
    <x v="1"/>
    <n v="93"/>
    <n v="3"/>
    <n v="2"/>
    <x v="2"/>
    <x v="3"/>
    <x v="1"/>
    <x v="800"/>
    <n v="6208"/>
    <n v="4"/>
    <x v="1"/>
    <n v="17"/>
    <n v="3"/>
    <n v="3"/>
    <x v="1"/>
    <n v="11"/>
    <x v="0"/>
    <n v="3"/>
    <n v="2"/>
    <x v="0"/>
    <n v="1"/>
    <n v="0"/>
    <n v="7"/>
  </r>
  <r>
    <x v="0"/>
    <x v="0"/>
    <x v="0"/>
    <n v="370"/>
    <x v="1"/>
    <n v="10"/>
    <x v="1"/>
    <n v="4"/>
    <s v="Medical"/>
    <n v="1809"/>
    <n v="4"/>
    <x v="1"/>
    <n v="58"/>
    <n v="3"/>
    <n v="2"/>
    <x v="3"/>
    <x v="3"/>
    <x v="0"/>
    <x v="1196"/>
    <n v="4992"/>
    <n v="1"/>
    <x v="1"/>
    <n v="15"/>
    <n v="3"/>
    <n v="2"/>
    <x v="0"/>
    <n v="10"/>
    <x v="0"/>
    <n v="4"/>
    <n v="1"/>
    <x v="0"/>
    <n v="3"/>
    <n v="0"/>
    <n v="8"/>
  </r>
  <r>
    <x v="0"/>
    <x v="1"/>
    <x v="1"/>
    <n v="766"/>
    <x v="0"/>
    <n v="20"/>
    <x v="2"/>
    <n v="3"/>
    <s v="Life Sciences"/>
    <n v="1812"/>
    <n v="3"/>
    <x v="1"/>
    <n v="83"/>
    <n v="3"/>
    <n v="2"/>
    <x v="0"/>
    <x v="0"/>
    <x v="2"/>
    <x v="1197"/>
    <n v="19188"/>
    <n v="2"/>
    <x v="1"/>
    <n v="18"/>
    <n v="3"/>
    <n v="4"/>
    <x v="1"/>
    <n v="7"/>
    <x v="0"/>
    <n v="6"/>
    <n v="3"/>
    <x v="1"/>
    <n v="1"/>
    <n v="2"/>
    <n v="2"/>
  </r>
  <r>
    <x v="0"/>
    <x v="1"/>
    <x v="2"/>
    <n v="343"/>
    <x v="1"/>
    <n v="9"/>
    <x v="1"/>
    <n v="3"/>
    <s v="Life Sciences"/>
    <n v="1813"/>
    <n v="1"/>
    <x v="1"/>
    <n v="52"/>
    <n v="3"/>
    <n v="1"/>
    <x v="1"/>
    <x v="2"/>
    <x v="0"/>
    <x v="1198"/>
    <n v="24978"/>
    <n v="4"/>
    <x v="1"/>
    <n v="13"/>
    <n v="3"/>
    <n v="3"/>
    <x v="0"/>
    <n v="7"/>
    <x v="0"/>
    <n v="2"/>
    <n v="2"/>
    <x v="2"/>
    <n v="2"/>
    <n v="1"/>
    <n v="2"/>
  </r>
  <r>
    <x v="0"/>
    <x v="1"/>
    <x v="0"/>
    <n v="447"/>
    <x v="1"/>
    <n v="5"/>
    <x v="0"/>
    <n v="3"/>
    <s v="Life Sciences"/>
    <n v="1814"/>
    <n v="2"/>
    <x v="1"/>
    <n v="85"/>
    <n v="4"/>
    <n v="2"/>
    <x v="4"/>
    <x v="1"/>
    <x v="0"/>
    <x v="1199"/>
    <n v="15530"/>
    <n v="3"/>
    <x v="1"/>
    <n v="12"/>
    <n v="3"/>
    <n v="1"/>
    <x v="0"/>
    <n v="11"/>
    <x v="0"/>
    <n v="3"/>
    <n v="1"/>
    <x v="2"/>
    <n v="2"/>
    <n v="1"/>
    <n v="2"/>
  </r>
  <r>
    <x v="0"/>
    <x v="1"/>
    <x v="0"/>
    <n v="796"/>
    <x v="0"/>
    <n v="4"/>
    <x v="0"/>
    <n v="1"/>
    <s v="Marketing"/>
    <n v="1815"/>
    <n v="3"/>
    <x v="0"/>
    <n v="81"/>
    <n v="3"/>
    <n v="3"/>
    <x v="0"/>
    <x v="2"/>
    <x v="2"/>
    <x v="1200"/>
    <n v="26458"/>
    <n v="0"/>
    <x v="0"/>
    <n v="13"/>
    <n v="3"/>
    <n v="4"/>
    <x v="1"/>
    <n v="23"/>
    <x v="2"/>
    <n v="3"/>
    <n v="4"/>
    <x v="3"/>
    <n v="14"/>
    <n v="13"/>
    <n v="5"/>
  </r>
  <r>
    <x v="2"/>
    <x v="1"/>
    <x v="0"/>
    <n v="1092"/>
    <x v="1"/>
    <n v="10"/>
    <x v="1"/>
    <n v="3"/>
    <s v="Medical"/>
    <n v="1816"/>
    <n v="1"/>
    <x v="0"/>
    <n v="64"/>
    <n v="3"/>
    <n v="3"/>
    <x v="3"/>
    <x v="2"/>
    <x v="0"/>
    <x v="1201"/>
    <n v="2739"/>
    <n v="9"/>
    <x v="1"/>
    <n v="14"/>
    <n v="3"/>
    <n v="2"/>
    <x v="0"/>
    <n v="9"/>
    <x v="0"/>
    <n v="3"/>
    <n v="3"/>
    <x v="0"/>
    <n v="7"/>
    <n v="0"/>
    <n v="2"/>
  </r>
  <r>
    <x v="2"/>
    <x v="0"/>
    <x v="0"/>
    <n v="920"/>
    <x v="2"/>
    <n v="20"/>
    <x v="2"/>
    <n v="2"/>
    <s v="Medical"/>
    <n v="1818"/>
    <n v="4"/>
    <x v="0"/>
    <n v="69"/>
    <n v="3"/>
    <n v="1"/>
    <x v="8"/>
    <x v="1"/>
    <x v="1"/>
    <x v="1202"/>
    <n v="6889"/>
    <n v="0"/>
    <x v="0"/>
    <n v="11"/>
    <n v="3"/>
    <n v="3"/>
    <x v="0"/>
    <n v="6"/>
    <x v="0"/>
    <n v="3"/>
    <n v="3"/>
    <x v="2"/>
    <n v="1"/>
    <n v="1"/>
    <n v="4"/>
  </r>
  <r>
    <x v="1"/>
    <x v="0"/>
    <x v="0"/>
    <n v="261"/>
    <x v="1"/>
    <n v="21"/>
    <x v="2"/>
    <n v="2"/>
    <s v="Medical"/>
    <n v="1821"/>
    <n v="4"/>
    <x v="0"/>
    <n v="66"/>
    <n v="3"/>
    <n v="2"/>
    <x v="4"/>
    <x v="1"/>
    <x v="1"/>
    <x v="1203"/>
    <n v="10842"/>
    <n v="4"/>
    <x v="1"/>
    <n v="22"/>
    <n v="4"/>
    <n v="4"/>
    <x v="1"/>
    <n v="13"/>
    <x v="0"/>
    <n v="2"/>
    <n v="4"/>
    <x v="0"/>
    <n v="7"/>
    <n v="3"/>
    <n v="7"/>
  </r>
  <r>
    <x v="0"/>
    <x v="1"/>
    <x v="0"/>
    <n v="1194"/>
    <x v="1"/>
    <n v="1"/>
    <x v="0"/>
    <n v="3"/>
    <s v="Life Sciences"/>
    <n v="1822"/>
    <n v="3"/>
    <x v="0"/>
    <n v="52"/>
    <n v="3"/>
    <n v="2"/>
    <x v="4"/>
    <x v="0"/>
    <x v="2"/>
    <x v="1204"/>
    <n v="9060"/>
    <n v="4"/>
    <x v="1"/>
    <n v="17"/>
    <n v="3"/>
    <n v="4"/>
    <x v="1"/>
    <n v="12"/>
    <x v="0"/>
    <n v="3"/>
    <n v="3"/>
    <x v="2"/>
    <n v="3"/>
    <n v="0"/>
    <n v="3"/>
  </r>
  <r>
    <x v="2"/>
    <x v="1"/>
    <x v="0"/>
    <n v="810"/>
    <x v="0"/>
    <n v="8"/>
    <x v="1"/>
    <n v="2"/>
    <s v="Technical Degree"/>
    <n v="1823"/>
    <n v="2"/>
    <x v="1"/>
    <n v="92"/>
    <n v="4"/>
    <n v="2"/>
    <x v="0"/>
    <x v="2"/>
    <x v="1"/>
    <x v="1205"/>
    <n v="22128"/>
    <n v="1"/>
    <x v="1"/>
    <n v="21"/>
    <n v="4"/>
    <n v="3"/>
    <x v="3"/>
    <n v="10"/>
    <x v="0"/>
    <n v="5"/>
    <n v="3"/>
    <x v="0"/>
    <n v="8"/>
    <n v="4"/>
    <n v="8"/>
  </r>
  <r>
    <x v="1"/>
    <x v="1"/>
    <x v="2"/>
    <n v="350"/>
    <x v="0"/>
    <n v="2"/>
    <x v="0"/>
    <n v="3"/>
    <s v="Medical"/>
    <n v="1824"/>
    <n v="2"/>
    <x v="1"/>
    <n v="52"/>
    <n v="3"/>
    <n v="4"/>
    <x v="5"/>
    <x v="1"/>
    <x v="2"/>
    <x v="1206"/>
    <n v="22577"/>
    <n v="4"/>
    <x v="1"/>
    <n v="22"/>
    <n v="4"/>
    <n v="4"/>
    <x v="1"/>
    <n v="37"/>
    <x v="2"/>
    <n v="0"/>
    <n v="2"/>
    <x v="3"/>
    <n v="9"/>
    <n v="14"/>
    <n v="14"/>
  </r>
  <r>
    <x v="2"/>
    <x v="1"/>
    <x v="0"/>
    <n v="185"/>
    <x v="1"/>
    <n v="23"/>
    <x v="2"/>
    <n v="4"/>
    <s v="Medical"/>
    <n v="1826"/>
    <n v="2"/>
    <x v="1"/>
    <n v="91"/>
    <n v="1"/>
    <n v="1"/>
    <x v="2"/>
    <x v="2"/>
    <x v="1"/>
    <x v="1207"/>
    <n v="9696"/>
    <n v="0"/>
    <x v="1"/>
    <n v="16"/>
    <n v="3"/>
    <n v="2"/>
    <x v="1"/>
    <n v="6"/>
    <x v="0"/>
    <n v="2"/>
    <n v="4"/>
    <x v="2"/>
    <n v="4"/>
    <n v="0"/>
    <n v="3"/>
  </r>
  <r>
    <x v="1"/>
    <x v="1"/>
    <x v="0"/>
    <n v="1001"/>
    <x v="1"/>
    <n v="4"/>
    <x v="0"/>
    <n v="3"/>
    <s v="Life Sciences"/>
    <n v="1827"/>
    <n v="3"/>
    <x v="0"/>
    <n v="92"/>
    <n v="2"/>
    <n v="3"/>
    <x v="3"/>
    <x v="1"/>
    <x v="2"/>
    <x v="1208"/>
    <n v="19271"/>
    <n v="8"/>
    <x v="0"/>
    <n v="12"/>
    <n v="3"/>
    <n v="3"/>
    <x v="1"/>
    <n v="28"/>
    <x v="2"/>
    <n v="4"/>
    <n v="3"/>
    <x v="3"/>
    <n v="11"/>
    <n v="14"/>
    <n v="10"/>
  </r>
  <r>
    <x v="0"/>
    <x v="1"/>
    <x v="0"/>
    <n v="750"/>
    <x v="1"/>
    <n v="12"/>
    <x v="1"/>
    <n v="3"/>
    <s v="Life Sciences"/>
    <n v="1829"/>
    <n v="2"/>
    <x v="0"/>
    <n v="47"/>
    <n v="3"/>
    <n v="2"/>
    <x v="4"/>
    <x v="3"/>
    <x v="2"/>
    <x v="1209"/>
    <n v="10748"/>
    <n v="2"/>
    <x v="1"/>
    <n v="12"/>
    <n v="3"/>
    <n v="2"/>
    <x v="1"/>
    <n v="15"/>
    <x v="0"/>
    <n v="3"/>
    <n v="3"/>
    <x v="0"/>
    <n v="4"/>
    <n v="7"/>
    <n v="7"/>
  </r>
  <r>
    <x v="1"/>
    <x v="1"/>
    <x v="0"/>
    <n v="431"/>
    <x v="1"/>
    <n v="7"/>
    <x v="1"/>
    <n v="4"/>
    <s v="Medical"/>
    <n v="1830"/>
    <n v="4"/>
    <x v="0"/>
    <n v="68"/>
    <n v="3"/>
    <n v="2"/>
    <x v="1"/>
    <x v="0"/>
    <x v="1"/>
    <x v="1210"/>
    <n v="15696"/>
    <n v="4"/>
    <x v="1"/>
    <n v="15"/>
    <n v="3"/>
    <n v="2"/>
    <x v="1"/>
    <n v="14"/>
    <x v="0"/>
    <n v="2"/>
    <n v="2"/>
    <x v="0"/>
    <n v="1"/>
    <n v="1"/>
    <n v="7"/>
  </r>
  <r>
    <x v="2"/>
    <x v="1"/>
    <x v="1"/>
    <n v="1125"/>
    <x v="0"/>
    <n v="7"/>
    <x v="1"/>
    <n v="4"/>
    <s v="Marketing"/>
    <n v="1833"/>
    <n v="1"/>
    <x v="0"/>
    <n v="68"/>
    <n v="3"/>
    <n v="3"/>
    <x v="0"/>
    <x v="3"/>
    <x v="1"/>
    <x v="1211"/>
    <n v="8277"/>
    <n v="2"/>
    <x v="1"/>
    <n v="14"/>
    <n v="3"/>
    <n v="4"/>
    <x v="3"/>
    <n v="9"/>
    <x v="0"/>
    <n v="3"/>
    <n v="3"/>
    <x v="2"/>
    <n v="2"/>
    <n v="2"/>
    <n v="2"/>
  </r>
  <r>
    <x v="2"/>
    <x v="1"/>
    <x v="0"/>
    <n v="1217"/>
    <x v="1"/>
    <n v="1"/>
    <x v="0"/>
    <n v="3"/>
    <s v="Medical"/>
    <n v="1834"/>
    <n v="3"/>
    <x v="0"/>
    <n v="67"/>
    <n v="3"/>
    <n v="1"/>
    <x v="1"/>
    <x v="3"/>
    <x v="1"/>
    <x v="1212"/>
    <n v="12719"/>
    <n v="1"/>
    <x v="1"/>
    <n v="25"/>
    <n v="4"/>
    <n v="3"/>
    <x v="1"/>
    <n v="3"/>
    <x v="1"/>
    <n v="3"/>
    <n v="3"/>
    <x v="2"/>
    <n v="2"/>
    <n v="1"/>
    <n v="2"/>
  </r>
  <r>
    <x v="0"/>
    <x v="1"/>
    <x v="0"/>
    <n v="723"/>
    <x v="0"/>
    <n v="2"/>
    <x v="0"/>
    <n v="4"/>
    <s v="Marketing"/>
    <n v="1835"/>
    <n v="2"/>
    <x v="0"/>
    <n v="77"/>
    <n v="1"/>
    <n v="2"/>
    <x v="6"/>
    <x v="0"/>
    <x v="1"/>
    <x v="517"/>
    <n v="4244"/>
    <n v="2"/>
    <x v="0"/>
    <n v="20"/>
    <n v="4"/>
    <n v="1"/>
    <x v="3"/>
    <n v="20"/>
    <x v="2"/>
    <n v="4"/>
    <n v="2"/>
    <x v="2"/>
    <n v="2"/>
    <n v="0"/>
    <n v="3"/>
  </r>
  <r>
    <x v="2"/>
    <x v="1"/>
    <x v="0"/>
    <n v="572"/>
    <x v="0"/>
    <n v="10"/>
    <x v="1"/>
    <n v="3"/>
    <s v="Medical"/>
    <n v="1836"/>
    <n v="3"/>
    <x v="1"/>
    <n v="46"/>
    <n v="3"/>
    <n v="2"/>
    <x v="0"/>
    <x v="0"/>
    <x v="0"/>
    <x v="1213"/>
    <n v="9125"/>
    <n v="1"/>
    <x v="1"/>
    <n v="13"/>
    <n v="3"/>
    <n v="1"/>
    <x v="0"/>
    <n v="5"/>
    <x v="1"/>
    <n v="4"/>
    <n v="3"/>
    <x v="2"/>
    <n v="3"/>
    <n v="1"/>
    <n v="2"/>
  </r>
  <r>
    <x v="1"/>
    <x v="1"/>
    <x v="1"/>
    <n v="1216"/>
    <x v="1"/>
    <n v="15"/>
    <x v="1"/>
    <n v="4"/>
    <s v="Life Sciences"/>
    <n v="1837"/>
    <n v="1"/>
    <x v="1"/>
    <n v="87"/>
    <n v="3"/>
    <n v="4"/>
    <x v="7"/>
    <x v="2"/>
    <x v="1"/>
    <x v="1214"/>
    <n v="21624"/>
    <n v="2"/>
    <x v="0"/>
    <n v="14"/>
    <n v="3"/>
    <n v="2"/>
    <x v="0"/>
    <n v="23"/>
    <x v="2"/>
    <n v="3"/>
    <n v="3"/>
    <x v="1"/>
    <n v="2"/>
    <n v="2"/>
    <n v="2"/>
  </r>
  <r>
    <x v="3"/>
    <x v="1"/>
    <x v="2"/>
    <n v="1431"/>
    <x v="1"/>
    <n v="14"/>
    <x v="1"/>
    <n v="3"/>
    <s v="Medical"/>
    <n v="1839"/>
    <n v="2"/>
    <x v="0"/>
    <n v="33"/>
    <n v="3"/>
    <n v="1"/>
    <x v="1"/>
    <x v="2"/>
    <x v="0"/>
    <x v="1215"/>
    <n v="8018"/>
    <n v="1"/>
    <x v="1"/>
    <n v="16"/>
    <n v="3"/>
    <n v="3"/>
    <x v="0"/>
    <n v="0"/>
    <x v="1"/>
    <n v="4"/>
    <n v="1"/>
    <x v="1"/>
    <n v="0"/>
    <n v="0"/>
    <n v="0"/>
  </r>
  <r>
    <x v="2"/>
    <x v="0"/>
    <x v="0"/>
    <n v="359"/>
    <x v="2"/>
    <n v="18"/>
    <x v="2"/>
    <n v="5"/>
    <s v="Human Resources"/>
    <n v="1842"/>
    <n v="4"/>
    <x v="1"/>
    <n v="89"/>
    <n v="4"/>
    <n v="1"/>
    <x v="8"/>
    <x v="3"/>
    <x v="1"/>
    <x v="98"/>
    <n v="21495"/>
    <n v="0"/>
    <x v="1"/>
    <n v="17"/>
    <n v="3"/>
    <n v="3"/>
    <x v="0"/>
    <n v="2"/>
    <x v="1"/>
    <n v="4"/>
    <n v="3"/>
    <x v="1"/>
    <n v="0"/>
    <n v="0"/>
    <n v="0"/>
  </r>
  <r>
    <x v="2"/>
    <x v="0"/>
    <x v="0"/>
    <n v="350"/>
    <x v="2"/>
    <n v="13"/>
    <x v="1"/>
    <n v="3"/>
    <s v="Human Resources"/>
    <n v="1844"/>
    <n v="1"/>
    <x v="1"/>
    <n v="56"/>
    <n v="2"/>
    <n v="1"/>
    <x v="8"/>
    <x v="3"/>
    <x v="2"/>
    <x v="1216"/>
    <n v="3157"/>
    <n v="4"/>
    <x v="0"/>
    <n v="15"/>
    <n v="3"/>
    <n v="4"/>
    <x v="2"/>
    <n v="4"/>
    <x v="1"/>
    <n v="3"/>
    <n v="3"/>
    <x v="1"/>
    <n v="2"/>
    <n v="2"/>
    <n v="0"/>
  </r>
  <r>
    <x v="0"/>
    <x v="1"/>
    <x v="2"/>
    <n v="589"/>
    <x v="0"/>
    <n v="2"/>
    <x v="0"/>
    <n v="4"/>
    <s v="Life Sciences"/>
    <n v="1845"/>
    <n v="3"/>
    <x v="0"/>
    <n v="67"/>
    <n v="3"/>
    <n v="2"/>
    <x v="0"/>
    <x v="2"/>
    <x v="1"/>
    <x v="1217"/>
    <n v="19665"/>
    <n v="4"/>
    <x v="1"/>
    <n v="22"/>
    <n v="4"/>
    <n v="2"/>
    <x v="3"/>
    <n v="10"/>
    <x v="0"/>
    <n v="3"/>
    <n v="4"/>
    <x v="0"/>
    <n v="7"/>
    <n v="5"/>
    <n v="7"/>
  </r>
  <r>
    <x v="0"/>
    <x v="1"/>
    <x v="0"/>
    <n v="430"/>
    <x v="1"/>
    <n v="2"/>
    <x v="0"/>
    <n v="4"/>
    <s v="Other"/>
    <n v="1847"/>
    <n v="4"/>
    <x v="0"/>
    <n v="73"/>
    <n v="3"/>
    <n v="2"/>
    <x v="1"/>
    <x v="1"/>
    <x v="1"/>
    <x v="1218"/>
    <n v="19573"/>
    <n v="4"/>
    <x v="0"/>
    <n v="22"/>
    <n v="4"/>
    <n v="4"/>
    <x v="1"/>
    <n v="15"/>
    <x v="0"/>
    <n v="2"/>
    <n v="3"/>
    <x v="1"/>
    <n v="0"/>
    <n v="0"/>
    <n v="0"/>
  </r>
  <r>
    <x v="0"/>
    <x v="1"/>
    <x v="1"/>
    <n v="1422"/>
    <x v="0"/>
    <n v="2"/>
    <x v="0"/>
    <n v="4"/>
    <s v="Life Sciences"/>
    <n v="1849"/>
    <n v="1"/>
    <x v="1"/>
    <n v="92"/>
    <n v="3"/>
    <n v="2"/>
    <x v="0"/>
    <x v="0"/>
    <x v="1"/>
    <x v="1219"/>
    <n v="19246"/>
    <n v="1"/>
    <x v="1"/>
    <n v="20"/>
    <n v="4"/>
    <n v="3"/>
    <x v="1"/>
    <n v="7"/>
    <x v="0"/>
    <n v="5"/>
    <n v="3"/>
    <x v="0"/>
    <n v="7"/>
    <n v="7"/>
    <n v="7"/>
  </r>
  <r>
    <x v="2"/>
    <x v="1"/>
    <x v="1"/>
    <n v="1297"/>
    <x v="1"/>
    <n v="5"/>
    <x v="0"/>
    <n v="2"/>
    <s v="Life Sciences"/>
    <n v="1850"/>
    <n v="4"/>
    <x v="0"/>
    <n v="53"/>
    <n v="3"/>
    <n v="1"/>
    <x v="2"/>
    <x v="0"/>
    <x v="0"/>
    <x v="1220"/>
    <n v="19826"/>
    <n v="0"/>
    <x v="0"/>
    <n v="14"/>
    <n v="3"/>
    <n v="3"/>
    <x v="0"/>
    <n v="6"/>
    <x v="0"/>
    <n v="3"/>
    <n v="2"/>
    <x v="2"/>
    <n v="4"/>
    <n v="0"/>
    <n v="2"/>
  </r>
  <r>
    <x v="2"/>
    <x v="1"/>
    <x v="1"/>
    <n v="574"/>
    <x v="1"/>
    <n v="20"/>
    <x v="2"/>
    <n v="1"/>
    <s v="Medical"/>
    <n v="1852"/>
    <n v="4"/>
    <x v="1"/>
    <n v="40"/>
    <n v="3"/>
    <n v="1"/>
    <x v="2"/>
    <x v="0"/>
    <x v="1"/>
    <x v="1221"/>
    <n v="7003"/>
    <n v="1"/>
    <x v="1"/>
    <n v="13"/>
    <n v="3"/>
    <n v="2"/>
    <x v="0"/>
    <n v="11"/>
    <x v="0"/>
    <n v="3"/>
    <n v="4"/>
    <x v="3"/>
    <n v="8"/>
    <n v="3"/>
    <n v="10"/>
  </r>
  <r>
    <x v="2"/>
    <x v="1"/>
    <x v="1"/>
    <n v="1318"/>
    <x v="0"/>
    <n v="10"/>
    <x v="1"/>
    <n v="4"/>
    <s v="Marketing"/>
    <n v="1853"/>
    <n v="4"/>
    <x v="1"/>
    <n v="79"/>
    <n v="3"/>
    <n v="2"/>
    <x v="0"/>
    <x v="0"/>
    <x v="0"/>
    <x v="1222"/>
    <n v="26075"/>
    <n v="8"/>
    <x v="1"/>
    <n v="13"/>
    <n v="3"/>
    <n v="3"/>
    <x v="0"/>
    <n v="4"/>
    <x v="1"/>
    <n v="2"/>
    <n v="4"/>
    <x v="1"/>
    <n v="0"/>
    <n v="0"/>
    <n v="0"/>
  </r>
  <r>
    <x v="0"/>
    <x v="1"/>
    <x v="2"/>
    <n v="355"/>
    <x v="1"/>
    <n v="10"/>
    <x v="1"/>
    <n v="4"/>
    <s v="Technical Degree"/>
    <n v="1854"/>
    <n v="3"/>
    <x v="1"/>
    <n v="38"/>
    <n v="3"/>
    <n v="1"/>
    <x v="1"/>
    <x v="2"/>
    <x v="1"/>
    <x v="808"/>
    <n v="6161"/>
    <n v="3"/>
    <x v="1"/>
    <n v="22"/>
    <n v="4"/>
    <n v="2"/>
    <x v="3"/>
    <n v="10"/>
    <x v="0"/>
    <n v="1"/>
    <n v="2"/>
    <x v="0"/>
    <n v="3"/>
    <n v="3"/>
    <n v="3"/>
  </r>
  <r>
    <x v="1"/>
    <x v="1"/>
    <x v="0"/>
    <n v="207"/>
    <x v="1"/>
    <n v="9"/>
    <x v="1"/>
    <n v="4"/>
    <s v="Life Sciences"/>
    <n v="1856"/>
    <n v="2"/>
    <x v="0"/>
    <n v="64"/>
    <n v="3"/>
    <n v="1"/>
    <x v="2"/>
    <x v="2"/>
    <x v="0"/>
    <x v="1223"/>
    <n v="5411"/>
    <n v="4"/>
    <x v="1"/>
    <n v="12"/>
    <n v="3"/>
    <n v="3"/>
    <x v="0"/>
    <n v="7"/>
    <x v="0"/>
    <n v="2"/>
    <n v="3"/>
    <x v="1"/>
    <n v="2"/>
    <n v="2"/>
    <n v="0"/>
  </r>
  <r>
    <x v="1"/>
    <x v="1"/>
    <x v="0"/>
    <n v="706"/>
    <x v="1"/>
    <n v="2"/>
    <x v="0"/>
    <n v="2"/>
    <s v="Life Sciences"/>
    <n v="1857"/>
    <n v="4"/>
    <x v="1"/>
    <n v="82"/>
    <n v="3"/>
    <n v="3"/>
    <x v="3"/>
    <x v="0"/>
    <x v="2"/>
    <x v="1224"/>
    <n v="19989"/>
    <n v="3"/>
    <x v="1"/>
    <n v="14"/>
    <n v="3"/>
    <n v="3"/>
    <x v="1"/>
    <n v="12"/>
    <x v="0"/>
    <n v="4"/>
    <n v="2"/>
    <x v="0"/>
    <n v="8"/>
    <n v="4"/>
    <n v="7"/>
  </r>
  <r>
    <x v="2"/>
    <x v="1"/>
    <x v="2"/>
    <n v="280"/>
    <x v="2"/>
    <n v="1"/>
    <x v="0"/>
    <n v="2"/>
    <s v="Life Sciences"/>
    <n v="1858"/>
    <n v="3"/>
    <x v="1"/>
    <n v="43"/>
    <n v="3"/>
    <n v="1"/>
    <x v="8"/>
    <x v="0"/>
    <x v="2"/>
    <x v="1225"/>
    <n v="10494"/>
    <n v="1"/>
    <x v="1"/>
    <n v="15"/>
    <n v="3"/>
    <n v="2"/>
    <x v="1"/>
    <n v="3"/>
    <x v="1"/>
    <n v="2"/>
    <n v="3"/>
    <x v="2"/>
    <n v="2"/>
    <n v="2"/>
    <n v="2"/>
  </r>
  <r>
    <x v="2"/>
    <x v="1"/>
    <x v="0"/>
    <n v="726"/>
    <x v="1"/>
    <n v="29"/>
    <x v="2"/>
    <n v="1"/>
    <s v="Life Sciences"/>
    <n v="1859"/>
    <n v="4"/>
    <x v="1"/>
    <n v="93"/>
    <n v="1"/>
    <n v="2"/>
    <x v="4"/>
    <x v="2"/>
    <x v="2"/>
    <x v="1226"/>
    <n v="21143"/>
    <n v="8"/>
    <x v="1"/>
    <n v="17"/>
    <n v="3"/>
    <n v="4"/>
    <x v="3"/>
    <n v="11"/>
    <x v="0"/>
    <n v="3"/>
    <n v="3"/>
    <x v="0"/>
    <n v="0"/>
    <n v="1"/>
    <n v="6"/>
  </r>
  <r>
    <x v="0"/>
    <x v="1"/>
    <x v="0"/>
    <n v="1142"/>
    <x v="1"/>
    <n v="8"/>
    <x v="1"/>
    <n v="3"/>
    <s v="Life Sciences"/>
    <n v="1860"/>
    <n v="4"/>
    <x v="1"/>
    <n v="81"/>
    <n v="3"/>
    <n v="1"/>
    <x v="2"/>
    <x v="2"/>
    <x v="0"/>
    <x v="1227"/>
    <n v="13624"/>
    <n v="4"/>
    <x v="1"/>
    <n v="13"/>
    <n v="3"/>
    <n v="4"/>
    <x v="0"/>
    <n v="8"/>
    <x v="0"/>
    <n v="3"/>
    <n v="3"/>
    <x v="1"/>
    <n v="0"/>
    <n v="0"/>
    <n v="0"/>
  </r>
  <r>
    <x v="2"/>
    <x v="0"/>
    <x v="0"/>
    <n v="414"/>
    <x v="0"/>
    <n v="2"/>
    <x v="0"/>
    <n v="4"/>
    <s v="Marketing"/>
    <n v="1862"/>
    <n v="3"/>
    <x v="1"/>
    <n v="82"/>
    <n v="2"/>
    <n v="2"/>
    <x v="0"/>
    <x v="1"/>
    <x v="0"/>
    <x v="1228"/>
    <n v="26186"/>
    <n v="7"/>
    <x v="0"/>
    <n v="12"/>
    <n v="3"/>
    <n v="3"/>
    <x v="0"/>
    <n v="7"/>
    <x v="0"/>
    <n v="3"/>
    <n v="2"/>
    <x v="1"/>
    <n v="2"/>
    <n v="2"/>
    <n v="2"/>
  </r>
  <r>
    <x v="1"/>
    <x v="1"/>
    <x v="0"/>
    <n v="1319"/>
    <x v="0"/>
    <n v="3"/>
    <x v="0"/>
    <n v="3"/>
    <s v="Technical Degree"/>
    <n v="1863"/>
    <n v="1"/>
    <x v="0"/>
    <n v="45"/>
    <n v="4"/>
    <n v="4"/>
    <x v="0"/>
    <x v="3"/>
    <x v="2"/>
    <x v="1229"/>
    <n v="7739"/>
    <n v="2"/>
    <x v="1"/>
    <n v="12"/>
    <n v="3"/>
    <n v="4"/>
    <x v="1"/>
    <n v="25"/>
    <x v="2"/>
    <n v="5"/>
    <n v="3"/>
    <x v="3"/>
    <n v="17"/>
    <n v="2"/>
    <n v="8"/>
  </r>
  <r>
    <x v="2"/>
    <x v="1"/>
    <x v="0"/>
    <n v="728"/>
    <x v="0"/>
    <n v="23"/>
    <x v="2"/>
    <n v="1"/>
    <s v="Medical"/>
    <n v="1864"/>
    <n v="2"/>
    <x v="0"/>
    <n v="36"/>
    <n v="2"/>
    <n v="2"/>
    <x v="6"/>
    <x v="2"/>
    <x v="1"/>
    <x v="1230"/>
    <n v="7018"/>
    <n v="1"/>
    <x v="1"/>
    <n v="21"/>
    <n v="4"/>
    <n v="4"/>
    <x v="1"/>
    <n v="9"/>
    <x v="0"/>
    <n v="5"/>
    <n v="3"/>
    <x v="0"/>
    <n v="8"/>
    <n v="5"/>
    <n v="8"/>
  </r>
  <r>
    <x v="2"/>
    <x v="1"/>
    <x v="0"/>
    <n v="352"/>
    <x v="2"/>
    <n v="6"/>
    <x v="1"/>
    <n v="1"/>
    <s v="Medical"/>
    <n v="1865"/>
    <n v="4"/>
    <x v="1"/>
    <n v="87"/>
    <n v="2"/>
    <n v="1"/>
    <x v="8"/>
    <x v="1"/>
    <x v="1"/>
    <x v="1231"/>
    <n v="15434"/>
    <n v="1"/>
    <x v="1"/>
    <n v="11"/>
    <n v="3"/>
    <n v="4"/>
    <x v="0"/>
    <n v="1"/>
    <x v="1"/>
    <n v="3"/>
    <n v="3"/>
    <x v="1"/>
    <n v="0"/>
    <n v="0"/>
    <n v="0"/>
  </r>
  <r>
    <x v="0"/>
    <x v="1"/>
    <x v="0"/>
    <n v="823"/>
    <x v="1"/>
    <n v="6"/>
    <x v="1"/>
    <n v="3"/>
    <s v="Medical"/>
    <n v="1866"/>
    <n v="1"/>
    <x v="0"/>
    <n v="81"/>
    <n v="2"/>
    <n v="5"/>
    <x v="5"/>
    <x v="2"/>
    <x v="1"/>
    <x v="1232"/>
    <n v="22539"/>
    <n v="7"/>
    <x v="1"/>
    <n v="13"/>
    <n v="3"/>
    <n v="4"/>
    <x v="0"/>
    <n v="21"/>
    <x v="2"/>
    <n v="2"/>
    <n v="3"/>
    <x v="3"/>
    <n v="12"/>
    <n v="6"/>
    <n v="14"/>
  </r>
  <r>
    <x v="1"/>
    <x v="1"/>
    <x v="0"/>
    <n v="1224"/>
    <x v="1"/>
    <n v="10"/>
    <x v="1"/>
    <n v="3"/>
    <s v="Life Sciences"/>
    <n v="1867"/>
    <n v="4"/>
    <x v="1"/>
    <n v="91"/>
    <n v="2"/>
    <n v="5"/>
    <x v="7"/>
    <x v="1"/>
    <x v="1"/>
    <x v="1233"/>
    <n v="13583"/>
    <n v="4"/>
    <x v="1"/>
    <n v="12"/>
    <n v="3"/>
    <n v="4"/>
    <x v="0"/>
    <n v="29"/>
    <x v="2"/>
    <n v="3"/>
    <n v="3"/>
    <x v="3"/>
    <n v="10"/>
    <n v="12"/>
    <n v="9"/>
  </r>
  <r>
    <x v="2"/>
    <x v="0"/>
    <x v="1"/>
    <n v="459"/>
    <x v="1"/>
    <n v="24"/>
    <x v="2"/>
    <n v="2"/>
    <s v="Life Sciences"/>
    <n v="1868"/>
    <n v="4"/>
    <x v="1"/>
    <n v="73"/>
    <n v="2"/>
    <n v="1"/>
    <x v="1"/>
    <x v="0"/>
    <x v="0"/>
    <x v="1234"/>
    <n v="14753"/>
    <n v="1"/>
    <x v="0"/>
    <n v="24"/>
    <n v="4"/>
    <n v="2"/>
    <x v="0"/>
    <n v="1"/>
    <x v="1"/>
    <n v="3"/>
    <n v="2"/>
    <x v="1"/>
    <n v="0"/>
    <n v="1"/>
    <n v="0"/>
  </r>
  <r>
    <x v="1"/>
    <x v="0"/>
    <x v="0"/>
    <n v="1254"/>
    <x v="0"/>
    <n v="10"/>
    <x v="1"/>
    <n v="3"/>
    <s v="Life Sciences"/>
    <n v="1869"/>
    <n v="3"/>
    <x v="0"/>
    <n v="64"/>
    <n v="3"/>
    <n v="3"/>
    <x v="0"/>
    <x v="1"/>
    <x v="1"/>
    <x v="1235"/>
    <n v="14011"/>
    <n v="5"/>
    <x v="1"/>
    <n v="21"/>
    <n v="4"/>
    <n v="3"/>
    <x v="2"/>
    <n v="14"/>
    <x v="0"/>
    <n v="2"/>
    <n v="3"/>
    <x v="0"/>
    <n v="7"/>
    <n v="0"/>
    <n v="7"/>
  </r>
  <r>
    <x v="2"/>
    <x v="1"/>
    <x v="1"/>
    <n v="1131"/>
    <x v="1"/>
    <n v="15"/>
    <x v="1"/>
    <n v="3"/>
    <s v="Life Sciences"/>
    <n v="1870"/>
    <n v="4"/>
    <x v="0"/>
    <n v="77"/>
    <n v="2"/>
    <n v="1"/>
    <x v="1"/>
    <x v="3"/>
    <x v="1"/>
    <x v="1236"/>
    <n v="23844"/>
    <n v="0"/>
    <x v="1"/>
    <n v="19"/>
    <n v="3"/>
    <n v="4"/>
    <x v="1"/>
    <n v="8"/>
    <x v="0"/>
    <n v="2"/>
    <n v="2"/>
    <x v="0"/>
    <n v="6"/>
    <n v="7"/>
    <n v="3"/>
  </r>
  <r>
    <x v="0"/>
    <x v="1"/>
    <x v="0"/>
    <n v="835"/>
    <x v="1"/>
    <n v="19"/>
    <x v="2"/>
    <n v="4"/>
    <s v="Other"/>
    <n v="1871"/>
    <n v="4"/>
    <x v="1"/>
    <n v="41"/>
    <n v="3"/>
    <n v="2"/>
    <x v="1"/>
    <x v="0"/>
    <x v="2"/>
    <x v="1237"/>
    <n v="5141"/>
    <n v="8"/>
    <x v="1"/>
    <n v="14"/>
    <n v="3"/>
    <n v="2"/>
    <x v="2"/>
    <n v="7"/>
    <x v="0"/>
    <n v="2"/>
    <n v="3"/>
    <x v="1"/>
    <n v="2"/>
    <n v="2"/>
    <n v="2"/>
  </r>
  <r>
    <x v="1"/>
    <x v="1"/>
    <x v="0"/>
    <n v="836"/>
    <x v="1"/>
    <n v="2"/>
    <x v="0"/>
    <n v="4"/>
    <s v="Technical Degree"/>
    <n v="1873"/>
    <n v="2"/>
    <x v="1"/>
    <n v="98"/>
    <n v="2"/>
    <n v="1"/>
    <x v="1"/>
    <x v="0"/>
    <x v="1"/>
    <x v="1238"/>
    <n v="7975"/>
    <n v="8"/>
    <x v="1"/>
    <n v="20"/>
    <n v="4"/>
    <n v="2"/>
    <x v="1"/>
    <n v="19"/>
    <x v="2"/>
    <n v="2"/>
    <n v="4"/>
    <x v="2"/>
    <n v="2"/>
    <n v="0"/>
    <n v="4"/>
  </r>
  <r>
    <x v="2"/>
    <x v="1"/>
    <x v="0"/>
    <n v="1172"/>
    <x v="0"/>
    <n v="3"/>
    <x v="0"/>
    <n v="3"/>
    <s v="Medical"/>
    <n v="1875"/>
    <n v="2"/>
    <x v="0"/>
    <n v="78"/>
    <n v="3"/>
    <n v="1"/>
    <x v="6"/>
    <x v="1"/>
    <x v="1"/>
    <x v="1239"/>
    <n v="3692"/>
    <n v="1"/>
    <x v="1"/>
    <n v="19"/>
    <n v="3"/>
    <n v="4"/>
    <x v="1"/>
    <n v="1"/>
    <x v="1"/>
    <n v="3"/>
    <n v="3"/>
    <x v="1"/>
    <n v="0"/>
    <n v="0"/>
    <n v="0"/>
  </r>
  <r>
    <x v="2"/>
    <x v="0"/>
    <x v="0"/>
    <n v="945"/>
    <x v="0"/>
    <n v="9"/>
    <x v="1"/>
    <n v="3"/>
    <s v="Medical"/>
    <n v="1876"/>
    <n v="2"/>
    <x v="1"/>
    <n v="89"/>
    <n v="3"/>
    <n v="1"/>
    <x v="6"/>
    <x v="0"/>
    <x v="0"/>
    <x v="1240"/>
    <n v="16019"/>
    <n v="1"/>
    <x v="1"/>
    <n v="13"/>
    <n v="3"/>
    <n v="3"/>
    <x v="0"/>
    <n v="1"/>
    <x v="1"/>
    <n v="3"/>
    <n v="2"/>
    <x v="1"/>
    <n v="0"/>
    <n v="0"/>
    <n v="0"/>
  </r>
  <r>
    <x v="3"/>
    <x v="0"/>
    <x v="0"/>
    <n v="391"/>
    <x v="1"/>
    <n v="7"/>
    <x v="1"/>
    <n v="1"/>
    <s v="Life Sciences"/>
    <n v="1878"/>
    <n v="4"/>
    <x v="1"/>
    <n v="75"/>
    <n v="3"/>
    <n v="1"/>
    <x v="1"/>
    <x v="1"/>
    <x v="0"/>
    <x v="1241"/>
    <n v="26092"/>
    <n v="1"/>
    <x v="0"/>
    <n v="23"/>
    <n v="4"/>
    <n v="1"/>
    <x v="0"/>
    <n v="1"/>
    <x v="1"/>
    <n v="2"/>
    <n v="3"/>
    <x v="1"/>
    <n v="0"/>
    <n v="0"/>
    <n v="0"/>
  </r>
  <r>
    <x v="0"/>
    <x v="1"/>
    <x v="0"/>
    <n v="1266"/>
    <x v="0"/>
    <n v="10"/>
    <x v="1"/>
    <n v="4"/>
    <s v="Technical Degree"/>
    <n v="1880"/>
    <n v="2"/>
    <x v="0"/>
    <n v="63"/>
    <n v="2"/>
    <n v="2"/>
    <x v="0"/>
    <x v="2"/>
    <x v="1"/>
    <x v="1242"/>
    <n v="6060"/>
    <n v="1"/>
    <x v="0"/>
    <n v="13"/>
    <n v="3"/>
    <n v="1"/>
    <x v="1"/>
    <n v="10"/>
    <x v="0"/>
    <n v="4"/>
    <n v="3"/>
    <x v="0"/>
    <n v="9"/>
    <n v="1"/>
    <n v="7"/>
  </r>
  <r>
    <x v="2"/>
    <x v="1"/>
    <x v="0"/>
    <n v="311"/>
    <x v="1"/>
    <n v="20"/>
    <x v="2"/>
    <n v="3"/>
    <s v="Life Sciences"/>
    <n v="1881"/>
    <n v="2"/>
    <x v="1"/>
    <n v="89"/>
    <n v="3"/>
    <n v="2"/>
    <x v="2"/>
    <x v="2"/>
    <x v="2"/>
    <x v="378"/>
    <n v="18624"/>
    <n v="1"/>
    <x v="1"/>
    <n v="11"/>
    <n v="3"/>
    <n v="1"/>
    <x v="1"/>
    <n v="10"/>
    <x v="0"/>
    <n v="2"/>
    <n v="3"/>
    <x v="0"/>
    <n v="8"/>
    <n v="0"/>
    <n v="2"/>
  </r>
  <r>
    <x v="2"/>
    <x v="1"/>
    <x v="0"/>
    <n v="1480"/>
    <x v="0"/>
    <n v="4"/>
    <x v="0"/>
    <n v="3"/>
    <s v="Life Sciences"/>
    <n v="1882"/>
    <n v="3"/>
    <x v="1"/>
    <n v="64"/>
    <n v="3"/>
    <n v="3"/>
    <x v="0"/>
    <x v="0"/>
    <x v="1"/>
    <x v="1243"/>
    <n v="24444"/>
    <n v="2"/>
    <x v="0"/>
    <n v="13"/>
    <n v="3"/>
    <n v="4"/>
    <x v="2"/>
    <n v="9"/>
    <x v="0"/>
    <n v="3"/>
    <n v="3"/>
    <x v="2"/>
    <n v="3"/>
    <n v="1"/>
    <n v="0"/>
  </r>
  <r>
    <x v="2"/>
    <x v="1"/>
    <x v="0"/>
    <n v="592"/>
    <x v="1"/>
    <n v="7"/>
    <x v="1"/>
    <n v="3"/>
    <s v="Life Sciences"/>
    <n v="1883"/>
    <n v="4"/>
    <x v="1"/>
    <n v="59"/>
    <n v="3"/>
    <n v="1"/>
    <x v="2"/>
    <x v="3"/>
    <x v="0"/>
    <x v="1244"/>
    <n v="19384"/>
    <n v="3"/>
    <x v="1"/>
    <n v="14"/>
    <n v="3"/>
    <n v="2"/>
    <x v="0"/>
    <n v="11"/>
    <x v="0"/>
    <n v="2"/>
    <n v="3"/>
    <x v="2"/>
    <n v="2"/>
    <n v="1"/>
    <n v="2"/>
  </r>
  <r>
    <x v="0"/>
    <x v="1"/>
    <x v="0"/>
    <n v="783"/>
    <x v="1"/>
    <n v="7"/>
    <x v="1"/>
    <n v="4"/>
    <s v="Medical"/>
    <n v="1885"/>
    <n v="4"/>
    <x v="1"/>
    <n v="78"/>
    <n v="3"/>
    <n v="2"/>
    <x v="1"/>
    <x v="3"/>
    <x v="1"/>
    <x v="948"/>
    <n v="13588"/>
    <n v="5"/>
    <x v="0"/>
    <n v="22"/>
    <n v="4"/>
    <n v="3"/>
    <x v="1"/>
    <n v="16"/>
    <x v="2"/>
    <n v="2"/>
    <n v="3"/>
    <x v="2"/>
    <n v="3"/>
    <n v="0"/>
    <n v="4"/>
  </r>
  <r>
    <x v="2"/>
    <x v="1"/>
    <x v="0"/>
    <n v="219"/>
    <x v="1"/>
    <n v="16"/>
    <x v="2"/>
    <n v="2"/>
    <s v="Other"/>
    <n v="1886"/>
    <n v="4"/>
    <x v="0"/>
    <n v="44"/>
    <n v="2"/>
    <n v="2"/>
    <x v="3"/>
    <x v="1"/>
    <x v="1"/>
    <x v="1245"/>
    <n v="25388"/>
    <n v="0"/>
    <x v="0"/>
    <n v="11"/>
    <n v="3"/>
    <n v="4"/>
    <x v="0"/>
    <n v="4"/>
    <x v="1"/>
    <n v="2"/>
    <n v="3"/>
    <x v="2"/>
    <n v="2"/>
    <n v="0"/>
    <n v="2"/>
  </r>
  <r>
    <x v="0"/>
    <x v="1"/>
    <x v="0"/>
    <n v="556"/>
    <x v="1"/>
    <n v="25"/>
    <x v="2"/>
    <n v="2"/>
    <s v="Life Sciences"/>
    <n v="1888"/>
    <n v="2"/>
    <x v="0"/>
    <n v="93"/>
    <n v="2"/>
    <n v="2"/>
    <x v="3"/>
    <x v="0"/>
    <x v="1"/>
    <x v="1246"/>
    <n v="23888"/>
    <n v="0"/>
    <x v="1"/>
    <n v="13"/>
    <n v="3"/>
    <n v="4"/>
    <x v="3"/>
    <n v="10"/>
    <x v="0"/>
    <n v="2"/>
    <n v="2"/>
    <x v="0"/>
    <n v="8"/>
    <n v="3"/>
    <n v="8"/>
  </r>
  <r>
    <x v="0"/>
    <x v="1"/>
    <x v="1"/>
    <n v="1213"/>
    <x v="2"/>
    <n v="2"/>
    <x v="0"/>
    <n v="1"/>
    <s v="Human Resources"/>
    <n v="1890"/>
    <n v="2"/>
    <x v="1"/>
    <n v="94"/>
    <n v="2"/>
    <n v="2"/>
    <x v="8"/>
    <x v="0"/>
    <x v="0"/>
    <x v="1247"/>
    <n v="4223"/>
    <n v="1"/>
    <x v="1"/>
    <n v="21"/>
    <n v="4"/>
    <n v="4"/>
    <x v="0"/>
    <n v="10"/>
    <x v="0"/>
    <n v="2"/>
    <n v="2"/>
    <x v="0"/>
    <n v="1"/>
    <n v="0"/>
    <n v="8"/>
  </r>
  <r>
    <x v="0"/>
    <x v="1"/>
    <x v="0"/>
    <n v="1137"/>
    <x v="1"/>
    <n v="1"/>
    <x v="0"/>
    <n v="4"/>
    <s v="Life Sciences"/>
    <n v="1892"/>
    <n v="1"/>
    <x v="1"/>
    <n v="98"/>
    <n v="3"/>
    <n v="4"/>
    <x v="5"/>
    <x v="3"/>
    <x v="2"/>
    <x v="1248"/>
    <n v="18991"/>
    <n v="2"/>
    <x v="1"/>
    <n v="11"/>
    <n v="3"/>
    <n v="1"/>
    <x v="1"/>
    <n v="22"/>
    <x v="2"/>
    <n v="3"/>
    <n v="3"/>
    <x v="3"/>
    <n v="7"/>
    <n v="11"/>
    <n v="16"/>
  </r>
  <r>
    <x v="2"/>
    <x v="1"/>
    <x v="0"/>
    <n v="482"/>
    <x v="1"/>
    <n v="1"/>
    <x v="0"/>
    <n v="2"/>
    <s v="Life Sciences"/>
    <n v="1893"/>
    <n v="2"/>
    <x v="0"/>
    <n v="90"/>
    <n v="2"/>
    <n v="1"/>
    <x v="1"/>
    <x v="2"/>
    <x v="1"/>
    <x v="1249"/>
    <n v="14908"/>
    <n v="1"/>
    <x v="0"/>
    <n v="13"/>
    <n v="3"/>
    <n v="3"/>
    <x v="1"/>
    <n v="1"/>
    <x v="1"/>
    <n v="3"/>
    <n v="2"/>
    <x v="1"/>
    <n v="0"/>
    <n v="1"/>
    <n v="0"/>
  </r>
  <r>
    <x v="2"/>
    <x v="1"/>
    <x v="0"/>
    <n v="511"/>
    <x v="0"/>
    <n v="2"/>
    <x v="0"/>
    <n v="2"/>
    <s v="Medical"/>
    <n v="1898"/>
    <n v="1"/>
    <x v="0"/>
    <n v="89"/>
    <n v="4"/>
    <n v="2"/>
    <x v="0"/>
    <x v="2"/>
    <x v="0"/>
    <x v="559"/>
    <n v="26997"/>
    <n v="0"/>
    <x v="1"/>
    <n v="14"/>
    <n v="3"/>
    <n v="2"/>
    <x v="0"/>
    <n v="9"/>
    <x v="0"/>
    <n v="5"/>
    <n v="2"/>
    <x v="0"/>
    <n v="7"/>
    <n v="0"/>
    <n v="7"/>
  </r>
  <r>
    <x v="1"/>
    <x v="1"/>
    <x v="1"/>
    <n v="117"/>
    <x v="1"/>
    <n v="22"/>
    <x v="2"/>
    <n v="3"/>
    <s v="Medical"/>
    <n v="1900"/>
    <n v="4"/>
    <x v="0"/>
    <n v="58"/>
    <n v="3"/>
    <n v="4"/>
    <x v="5"/>
    <x v="0"/>
    <x v="2"/>
    <x v="1250"/>
    <n v="2437"/>
    <n v="3"/>
    <x v="1"/>
    <n v="11"/>
    <n v="3"/>
    <n v="2"/>
    <x v="1"/>
    <n v="24"/>
    <x v="2"/>
    <n v="3"/>
    <n v="3"/>
    <x v="3"/>
    <n v="17"/>
    <n v="4"/>
    <n v="7"/>
  </r>
  <r>
    <x v="0"/>
    <x v="1"/>
    <x v="0"/>
    <n v="170"/>
    <x v="1"/>
    <n v="1"/>
    <x v="0"/>
    <n v="4"/>
    <s v="Life Sciences"/>
    <n v="1903"/>
    <n v="2"/>
    <x v="1"/>
    <n v="78"/>
    <n v="4"/>
    <n v="2"/>
    <x v="4"/>
    <x v="3"/>
    <x v="1"/>
    <x v="1251"/>
    <n v="9364"/>
    <n v="2"/>
    <x v="1"/>
    <n v="15"/>
    <n v="3"/>
    <n v="4"/>
    <x v="1"/>
    <n v="10"/>
    <x v="0"/>
    <n v="5"/>
    <n v="3"/>
    <x v="1"/>
    <n v="0"/>
    <n v="2"/>
    <n v="2"/>
  </r>
  <r>
    <x v="2"/>
    <x v="0"/>
    <x v="2"/>
    <n v="967"/>
    <x v="1"/>
    <n v="16"/>
    <x v="2"/>
    <n v="4"/>
    <s v="Technical Degree"/>
    <n v="1905"/>
    <n v="4"/>
    <x v="1"/>
    <n v="85"/>
    <n v="1"/>
    <n v="1"/>
    <x v="1"/>
    <x v="3"/>
    <x v="1"/>
    <x v="1252"/>
    <n v="14460"/>
    <n v="1"/>
    <x v="0"/>
    <n v="23"/>
    <n v="4"/>
    <n v="2"/>
    <x v="1"/>
    <n v="5"/>
    <x v="1"/>
    <n v="2"/>
    <n v="3"/>
    <x v="2"/>
    <n v="2"/>
    <n v="3"/>
    <n v="0"/>
  </r>
  <r>
    <x v="1"/>
    <x v="0"/>
    <x v="0"/>
    <n v="1162"/>
    <x v="1"/>
    <n v="24"/>
    <x v="2"/>
    <n v="2"/>
    <s v="Life Sciences"/>
    <n v="1907"/>
    <n v="1"/>
    <x v="1"/>
    <n v="97"/>
    <n v="3"/>
    <n v="1"/>
    <x v="2"/>
    <x v="0"/>
    <x v="0"/>
    <x v="1105"/>
    <n v="10261"/>
    <n v="1"/>
    <x v="1"/>
    <n v="16"/>
    <n v="3"/>
    <n v="4"/>
    <x v="0"/>
    <n v="5"/>
    <x v="1"/>
    <n v="3"/>
    <n v="3"/>
    <x v="2"/>
    <n v="2"/>
    <n v="1"/>
    <n v="0"/>
  </r>
  <r>
    <x v="0"/>
    <x v="1"/>
    <x v="0"/>
    <n v="335"/>
    <x v="0"/>
    <n v="17"/>
    <x v="2"/>
    <n v="2"/>
    <s v="Marketing"/>
    <n v="1908"/>
    <n v="3"/>
    <x v="1"/>
    <n v="33"/>
    <n v="2"/>
    <n v="2"/>
    <x v="0"/>
    <x v="1"/>
    <x v="1"/>
    <x v="1253"/>
    <n v="16822"/>
    <n v="2"/>
    <x v="1"/>
    <n v="16"/>
    <n v="3"/>
    <n v="3"/>
    <x v="3"/>
    <n v="12"/>
    <x v="0"/>
    <n v="1"/>
    <n v="1"/>
    <x v="2"/>
    <n v="2"/>
    <n v="1"/>
    <n v="3"/>
  </r>
  <r>
    <x v="0"/>
    <x v="1"/>
    <x v="0"/>
    <n v="337"/>
    <x v="0"/>
    <n v="8"/>
    <x v="1"/>
    <n v="3"/>
    <s v="Marketing"/>
    <n v="1909"/>
    <n v="3"/>
    <x v="0"/>
    <n v="54"/>
    <n v="3"/>
    <n v="2"/>
    <x v="0"/>
    <x v="1"/>
    <x v="1"/>
    <x v="1254"/>
    <n v="26841"/>
    <n v="5"/>
    <x v="1"/>
    <n v="21"/>
    <n v="4"/>
    <n v="3"/>
    <x v="1"/>
    <n v="14"/>
    <x v="0"/>
    <n v="3"/>
    <n v="3"/>
    <x v="2"/>
    <n v="4"/>
    <n v="1"/>
    <n v="4"/>
  </r>
  <r>
    <x v="0"/>
    <x v="1"/>
    <x v="0"/>
    <n v="1396"/>
    <x v="1"/>
    <n v="6"/>
    <x v="1"/>
    <n v="3"/>
    <s v="Medical"/>
    <n v="1911"/>
    <n v="3"/>
    <x v="1"/>
    <n v="83"/>
    <n v="3"/>
    <n v="3"/>
    <x v="7"/>
    <x v="3"/>
    <x v="1"/>
    <x v="1255"/>
    <n v="14842"/>
    <n v="9"/>
    <x v="1"/>
    <n v="13"/>
    <n v="3"/>
    <n v="2"/>
    <x v="1"/>
    <n v="18"/>
    <x v="2"/>
    <n v="3"/>
    <n v="4"/>
    <x v="3"/>
    <n v="7"/>
    <n v="5"/>
    <n v="7"/>
  </r>
  <r>
    <x v="2"/>
    <x v="1"/>
    <x v="0"/>
    <n v="1079"/>
    <x v="0"/>
    <n v="10"/>
    <x v="1"/>
    <n v="2"/>
    <s v="Medical"/>
    <n v="1912"/>
    <n v="3"/>
    <x v="0"/>
    <n v="86"/>
    <n v="3"/>
    <n v="2"/>
    <x v="0"/>
    <x v="0"/>
    <x v="2"/>
    <x v="1256"/>
    <n v="20115"/>
    <n v="2"/>
    <x v="0"/>
    <n v="11"/>
    <n v="3"/>
    <n v="4"/>
    <x v="1"/>
    <n v="8"/>
    <x v="0"/>
    <n v="2"/>
    <n v="3"/>
    <x v="2"/>
    <n v="2"/>
    <n v="1"/>
    <n v="4"/>
  </r>
  <r>
    <x v="2"/>
    <x v="1"/>
    <x v="0"/>
    <n v="735"/>
    <x v="0"/>
    <n v="3"/>
    <x v="0"/>
    <n v="1"/>
    <s v="Medical"/>
    <n v="1915"/>
    <n v="4"/>
    <x v="0"/>
    <n v="75"/>
    <n v="2"/>
    <n v="2"/>
    <x v="0"/>
    <x v="0"/>
    <x v="1"/>
    <x v="1257"/>
    <n v="16495"/>
    <n v="3"/>
    <x v="0"/>
    <n v="12"/>
    <n v="3"/>
    <n v="3"/>
    <x v="0"/>
    <n v="9"/>
    <x v="0"/>
    <n v="3"/>
    <n v="2"/>
    <x v="2"/>
    <n v="2"/>
    <n v="0"/>
    <n v="1"/>
  </r>
  <r>
    <x v="2"/>
    <x v="1"/>
    <x v="0"/>
    <n v="471"/>
    <x v="1"/>
    <n v="4"/>
    <x v="0"/>
    <n v="3"/>
    <s v="Medical"/>
    <n v="1916"/>
    <n v="1"/>
    <x v="0"/>
    <n v="62"/>
    <n v="4"/>
    <n v="1"/>
    <x v="2"/>
    <x v="2"/>
    <x v="2"/>
    <x v="1258"/>
    <n v="16031"/>
    <n v="8"/>
    <x v="1"/>
    <n v="12"/>
    <n v="3"/>
    <n v="2"/>
    <x v="1"/>
    <n v="4"/>
    <x v="1"/>
    <n v="0"/>
    <n v="2"/>
    <x v="1"/>
    <n v="2"/>
    <n v="2"/>
    <n v="2"/>
  </r>
  <r>
    <x v="2"/>
    <x v="1"/>
    <x v="1"/>
    <n v="1096"/>
    <x v="1"/>
    <n v="6"/>
    <x v="1"/>
    <n v="3"/>
    <s v="Other"/>
    <n v="1918"/>
    <n v="3"/>
    <x v="1"/>
    <n v="61"/>
    <n v="4"/>
    <n v="1"/>
    <x v="2"/>
    <x v="0"/>
    <x v="1"/>
    <x v="1259"/>
    <n v="7102"/>
    <n v="0"/>
    <x v="1"/>
    <n v="18"/>
    <n v="3"/>
    <n v="1"/>
    <x v="1"/>
    <n v="8"/>
    <x v="0"/>
    <n v="3"/>
    <n v="3"/>
    <x v="0"/>
    <n v="7"/>
    <n v="7"/>
    <n v="7"/>
  </r>
  <r>
    <x v="0"/>
    <x v="1"/>
    <x v="1"/>
    <n v="1297"/>
    <x v="1"/>
    <n v="1"/>
    <x v="0"/>
    <n v="4"/>
    <s v="Medical"/>
    <n v="1922"/>
    <n v="2"/>
    <x v="1"/>
    <n v="44"/>
    <n v="3"/>
    <n v="2"/>
    <x v="4"/>
    <x v="2"/>
    <x v="0"/>
    <x v="1260"/>
    <n v="14511"/>
    <n v="4"/>
    <x v="1"/>
    <n v="12"/>
    <n v="3"/>
    <n v="3"/>
    <x v="0"/>
    <n v="12"/>
    <x v="0"/>
    <n v="3"/>
    <n v="3"/>
    <x v="2"/>
    <n v="2"/>
    <n v="0"/>
    <n v="3"/>
  </r>
  <r>
    <x v="2"/>
    <x v="1"/>
    <x v="0"/>
    <n v="217"/>
    <x v="0"/>
    <n v="10"/>
    <x v="1"/>
    <n v="4"/>
    <s v="Marketing"/>
    <n v="1924"/>
    <n v="2"/>
    <x v="1"/>
    <n v="43"/>
    <n v="3"/>
    <n v="2"/>
    <x v="0"/>
    <x v="2"/>
    <x v="0"/>
    <x v="1261"/>
    <n v="10410"/>
    <n v="1"/>
    <x v="1"/>
    <n v="14"/>
    <n v="3"/>
    <n v="2"/>
    <x v="0"/>
    <n v="10"/>
    <x v="0"/>
    <n v="2"/>
    <n v="2"/>
    <x v="0"/>
    <n v="4"/>
    <n v="0"/>
    <n v="9"/>
  </r>
  <r>
    <x v="2"/>
    <x v="1"/>
    <x v="1"/>
    <n v="783"/>
    <x v="0"/>
    <n v="1"/>
    <x v="0"/>
    <n v="2"/>
    <s v="Life Sciences"/>
    <n v="1927"/>
    <n v="3"/>
    <x v="1"/>
    <n v="42"/>
    <n v="2"/>
    <n v="2"/>
    <x v="0"/>
    <x v="0"/>
    <x v="1"/>
    <x v="1262"/>
    <n v="19255"/>
    <n v="1"/>
    <x v="0"/>
    <n v="12"/>
    <n v="3"/>
    <n v="3"/>
    <x v="1"/>
    <n v="7"/>
    <x v="0"/>
    <n v="2"/>
    <n v="3"/>
    <x v="0"/>
    <n v="7"/>
    <n v="0"/>
    <n v="7"/>
  </r>
  <r>
    <x v="2"/>
    <x v="0"/>
    <x v="1"/>
    <n v="746"/>
    <x v="0"/>
    <n v="24"/>
    <x v="2"/>
    <n v="3"/>
    <s v="Technical Degree"/>
    <n v="1928"/>
    <n v="3"/>
    <x v="1"/>
    <n v="45"/>
    <n v="4"/>
    <n v="1"/>
    <x v="6"/>
    <x v="3"/>
    <x v="0"/>
    <x v="1263"/>
    <n v="10642"/>
    <n v="1"/>
    <x v="1"/>
    <n v="17"/>
    <n v="3"/>
    <n v="4"/>
    <x v="0"/>
    <n v="1"/>
    <x v="1"/>
    <n v="3"/>
    <n v="3"/>
    <x v="1"/>
    <n v="0"/>
    <n v="0"/>
    <n v="0"/>
  </r>
  <r>
    <x v="0"/>
    <x v="1"/>
    <x v="2"/>
    <n v="1251"/>
    <x v="0"/>
    <n v="21"/>
    <x v="2"/>
    <n v="4"/>
    <s v="Life Sciences"/>
    <n v="1929"/>
    <n v="1"/>
    <x v="0"/>
    <n v="32"/>
    <n v="1"/>
    <n v="2"/>
    <x v="0"/>
    <x v="2"/>
    <x v="1"/>
    <x v="1264"/>
    <n v="3987"/>
    <n v="6"/>
    <x v="1"/>
    <n v="19"/>
    <n v="3"/>
    <n v="3"/>
    <x v="1"/>
    <n v="10"/>
    <x v="0"/>
    <n v="1"/>
    <n v="3"/>
    <x v="2"/>
    <n v="2"/>
    <n v="1"/>
    <n v="2"/>
  </r>
  <r>
    <x v="2"/>
    <x v="1"/>
    <x v="0"/>
    <n v="1354"/>
    <x v="1"/>
    <n v="2"/>
    <x v="0"/>
    <n v="4"/>
    <s v="Technical Degree"/>
    <n v="1931"/>
    <n v="2"/>
    <x v="1"/>
    <n v="41"/>
    <n v="3"/>
    <n v="1"/>
    <x v="1"/>
    <x v="1"/>
    <x v="1"/>
    <x v="1265"/>
    <n v="6073"/>
    <n v="1"/>
    <x v="1"/>
    <n v="11"/>
    <n v="3"/>
    <n v="3"/>
    <x v="1"/>
    <n v="6"/>
    <x v="0"/>
    <n v="3"/>
    <n v="2"/>
    <x v="2"/>
    <n v="3"/>
    <n v="1"/>
    <n v="2"/>
  </r>
  <r>
    <x v="2"/>
    <x v="1"/>
    <x v="1"/>
    <n v="735"/>
    <x v="1"/>
    <n v="22"/>
    <x v="2"/>
    <n v="4"/>
    <s v="Other"/>
    <n v="1932"/>
    <n v="3"/>
    <x v="1"/>
    <n v="86"/>
    <n v="2"/>
    <n v="2"/>
    <x v="1"/>
    <x v="0"/>
    <x v="1"/>
    <x v="1266"/>
    <n v="26496"/>
    <n v="1"/>
    <x v="0"/>
    <n v="15"/>
    <n v="3"/>
    <n v="2"/>
    <x v="0"/>
    <n v="16"/>
    <x v="2"/>
    <n v="3"/>
    <n v="3"/>
    <x v="3"/>
    <n v="10"/>
    <n v="6"/>
    <n v="11"/>
  </r>
  <r>
    <x v="2"/>
    <x v="0"/>
    <x v="0"/>
    <n v="1475"/>
    <x v="0"/>
    <n v="13"/>
    <x v="1"/>
    <n v="2"/>
    <s v="Marketing"/>
    <n v="1933"/>
    <n v="4"/>
    <x v="0"/>
    <n v="84"/>
    <n v="3"/>
    <n v="2"/>
    <x v="0"/>
    <x v="2"/>
    <x v="0"/>
    <x v="1267"/>
    <n v="23352"/>
    <n v="3"/>
    <x v="0"/>
    <n v="11"/>
    <n v="3"/>
    <n v="4"/>
    <x v="0"/>
    <n v="6"/>
    <x v="0"/>
    <n v="0"/>
    <n v="3"/>
    <x v="1"/>
    <n v="0"/>
    <n v="2"/>
    <n v="2"/>
  </r>
  <r>
    <x v="1"/>
    <x v="1"/>
    <x v="2"/>
    <n v="1169"/>
    <x v="1"/>
    <n v="14"/>
    <x v="1"/>
    <n v="4"/>
    <s v="Technical Degree"/>
    <n v="1934"/>
    <n v="3"/>
    <x v="1"/>
    <n v="64"/>
    <n v="3"/>
    <n v="2"/>
    <x v="1"/>
    <x v="1"/>
    <x v="1"/>
    <x v="931"/>
    <n v="2125"/>
    <n v="8"/>
    <x v="1"/>
    <n v="18"/>
    <n v="3"/>
    <n v="3"/>
    <x v="1"/>
    <n v="16"/>
    <x v="2"/>
    <n v="4"/>
    <n v="4"/>
    <x v="0"/>
    <n v="7"/>
    <n v="1"/>
    <n v="7"/>
  </r>
  <r>
    <x v="1"/>
    <x v="1"/>
    <x v="0"/>
    <n v="1443"/>
    <x v="0"/>
    <n v="11"/>
    <x v="1"/>
    <n v="5"/>
    <s v="Marketing"/>
    <n v="1935"/>
    <n v="4"/>
    <x v="0"/>
    <n v="89"/>
    <n v="2"/>
    <n v="2"/>
    <x v="0"/>
    <x v="3"/>
    <x v="1"/>
    <x v="1268"/>
    <n v="20328"/>
    <n v="4"/>
    <x v="1"/>
    <n v="16"/>
    <n v="3"/>
    <n v="3"/>
    <x v="1"/>
    <n v="6"/>
    <x v="0"/>
    <n v="3"/>
    <n v="3"/>
    <x v="1"/>
    <n v="0"/>
    <n v="0"/>
    <n v="0"/>
  </r>
  <r>
    <x v="0"/>
    <x v="1"/>
    <x v="0"/>
    <n v="867"/>
    <x v="1"/>
    <n v="9"/>
    <x v="1"/>
    <n v="2"/>
    <s v="Medical"/>
    <n v="1936"/>
    <n v="1"/>
    <x v="1"/>
    <n v="87"/>
    <n v="3"/>
    <n v="2"/>
    <x v="3"/>
    <x v="3"/>
    <x v="1"/>
    <x v="1269"/>
    <n v="12315"/>
    <n v="1"/>
    <x v="1"/>
    <n v="25"/>
    <n v="4"/>
    <n v="4"/>
    <x v="1"/>
    <n v="10"/>
    <x v="0"/>
    <n v="3"/>
    <n v="3"/>
    <x v="0"/>
    <n v="0"/>
    <n v="7"/>
    <n v="9"/>
  </r>
  <r>
    <x v="0"/>
    <x v="1"/>
    <x v="1"/>
    <n v="1394"/>
    <x v="1"/>
    <n v="8"/>
    <x v="1"/>
    <n v="3"/>
    <s v="Medical"/>
    <n v="1937"/>
    <n v="4"/>
    <x v="0"/>
    <n v="58"/>
    <n v="2"/>
    <n v="2"/>
    <x v="1"/>
    <x v="1"/>
    <x v="2"/>
    <x v="1270"/>
    <n v="18115"/>
    <n v="1"/>
    <x v="0"/>
    <n v="16"/>
    <n v="3"/>
    <n v="3"/>
    <x v="1"/>
    <n v="20"/>
    <x v="2"/>
    <n v="3"/>
    <n v="3"/>
    <x v="3"/>
    <n v="11"/>
    <n v="0"/>
    <n v="7"/>
  </r>
  <r>
    <x v="1"/>
    <x v="1"/>
    <x v="0"/>
    <n v="605"/>
    <x v="0"/>
    <n v="21"/>
    <x v="2"/>
    <n v="3"/>
    <s v="Life Sciences"/>
    <n v="1938"/>
    <n v="4"/>
    <x v="0"/>
    <n v="72"/>
    <n v="3"/>
    <n v="4"/>
    <x v="5"/>
    <x v="0"/>
    <x v="1"/>
    <x v="1271"/>
    <n v="11761"/>
    <n v="4"/>
    <x v="0"/>
    <n v="13"/>
    <n v="3"/>
    <n v="3"/>
    <x v="1"/>
    <n v="29"/>
    <x v="2"/>
    <n v="2"/>
    <n v="2"/>
    <x v="1"/>
    <n v="0"/>
    <n v="0"/>
    <n v="0"/>
  </r>
  <r>
    <x v="2"/>
    <x v="0"/>
    <x v="1"/>
    <n v="238"/>
    <x v="1"/>
    <n v="5"/>
    <x v="0"/>
    <n v="2"/>
    <s v="Life Sciences"/>
    <n v="1939"/>
    <n v="1"/>
    <x v="0"/>
    <n v="47"/>
    <n v="4"/>
    <n v="1"/>
    <x v="1"/>
    <x v="2"/>
    <x v="0"/>
    <x v="1272"/>
    <n v="15318"/>
    <n v="3"/>
    <x v="0"/>
    <n v="14"/>
    <n v="3"/>
    <n v="1"/>
    <x v="0"/>
    <n v="8"/>
    <x v="0"/>
    <n v="2"/>
    <n v="3"/>
    <x v="2"/>
    <n v="1"/>
    <n v="0"/>
    <n v="3"/>
  </r>
  <r>
    <x v="0"/>
    <x v="1"/>
    <x v="0"/>
    <n v="1206"/>
    <x v="1"/>
    <n v="9"/>
    <x v="1"/>
    <n v="2"/>
    <s v="Life Sciences"/>
    <n v="1940"/>
    <n v="2"/>
    <x v="1"/>
    <n v="71"/>
    <n v="3"/>
    <n v="1"/>
    <x v="1"/>
    <x v="0"/>
    <x v="2"/>
    <x v="1273"/>
    <n v="14293"/>
    <n v="2"/>
    <x v="1"/>
    <n v="19"/>
    <n v="3"/>
    <n v="4"/>
    <x v="3"/>
    <n v="10"/>
    <x v="0"/>
    <n v="0"/>
    <n v="4"/>
    <x v="2"/>
    <n v="2"/>
    <n v="0"/>
    <n v="3"/>
  </r>
  <r>
    <x v="1"/>
    <x v="1"/>
    <x v="1"/>
    <n v="1064"/>
    <x v="1"/>
    <n v="2"/>
    <x v="0"/>
    <n v="1"/>
    <s v="Life Sciences"/>
    <n v="1941"/>
    <n v="2"/>
    <x v="1"/>
    <n v="42"/>
    <n v="3"/>
    <n v="5"/>
    <x v="7"/>
    <x v="0"/>
    <x v="1"/>
    <x v="1274"/>
    <n v="13738"/>
    <n v="3"/>
    <x v="1"/>
    <n v="15"/>
    <n v="3"/>
    <n v="4"/>
    <x v="0"/>
    <n v="28"/>
    <x v="2"/>
    <n v="3"/>
    <n v="3"/>
    <x v="2"/>
    <n v="4"/>
    <n v="4"/>
    <n v="3"/>
  </r>
  <r>
    <x v="0"/>
    <x v="1"/>
    <x v="0"/>
    <n v="419"/>
    <x v="0"/>
    <n v="12"/>
    <x v="1"/>
    <n v="4"/>
    <s v="Marketing"/>
    <n v="1943"/>
    <n v="2"/>
    <x v="1"/>
    <n v="77"/>
    <n v="3"/>
    <n v="2"/>
    <x v="0"/>
    <x v="0"/>
    <x v="2"/>
    <x v="1275"/>
    <n v="2900"/>
    <n v="3"/>
    <x v="0"/>
    <n v="12"/>
    <n v="3"/>
    <n v="3"/>
    <x v="3"/>
    <n v="14"/>
    <x v="0"/>
    <n v="4"/>
    <n v="3"/>
    <x v="1"/>
    <n v="0"/>
    <n v="0"/>
    <n v="0"/>
  </r>
  <r>
    <x v="2"/>
    <x v="0"/>
    <x v="1"/>
    <n v="1337"/>
    <x v="2"/>
    <n v="22"/>
    <x v="2"/>
    <n v="3"/>
    <s v="Human Resources"/>
    <n v="1944"/>
    <n v="1"/>
    <x v="0"/>
    <n v="58"/>
    <n v="2"/>
    <n v="1"/>
    <x v="8"/>
    <x v="1"/>
    <x v="1"/>
    <x v="1276"/>
    <n v="19555"/>
    <n v="1"/>
    <x v="1"/>
    <n v="12"/>
    <n v="3"/>
    <n v="1"/>
    <x v="0"/>
    <n v="1"/>
    <x v="1"/>
    <n v="2"/>
    <n v="3"/>
    <x v="1"/>
    <n v="0"/>
    <n v="0"/>
    <n v="0"/>
  </r>
  <r>
    <x v="2"/>
    <x v="1"/>
    <x v="0"/>
    <n v="682"/>
    <x v="0"/>
    <n v="18"/>
    <x v="2"/>
    <n v="4"/>
    <s v="Medical"/>
    <n v="1945"/>
    <n v="2"/>
    <x v="1"/>
    <n v="71"/>
    <n v="3"/>
    <n v="2"/>
    <x v="0"/>
    <x v="3"/>
    <x v="1"/>
    <x v="489"/>
    <n v="15975"/>
    <n v="0"/>
    <x v="1"/>
    <n v="16"/>
    <n v="3"/>
    <n v="4"/>
    <x v="1"/>
    <n v="6"/>
    <x v="0"/>
    <n v="2"/>
    <n v="1"/>
    <x v="2"/>
    <n v="3"/>
    <n v="0"/>
    <n v="4"/>
  </r>
  <r>
    <x v="2"/>
    <x v="1"/>
    <x v="2"/>
    <n v="1103"/>
    <x v="1"/>
    <n v="16"/>
    <x v="2"/>
    <n v="3"/>
    <s v="Medical"/>
    <n v="1947"/>
    <n v="3"/>
    <x v="1"/>
    <n v="49"/>
    <n v="3"/>
    <n v="1"/>
    <x v="1"/>
    <x v="2"/>
    <x v="0"/>
    <x v="1277"/>
    <n v="2122"/>
    <n v="1"/>
    <x v="1"/>
    <n v="14"/>
    <n v="3"/>
    <n v="3"/>
    <x v="0"/>
    <n v="5"/>
    <x v="1"/>
    <n v="3"/>
    <n v="2"/>
    <x v="2"/>
    <n v="3"/>
    <n v="1"/>
    <n v="4"/>
  </r>
  <r>
    <x v="2"/>
    <x v="1"/>
    <x v="2"/>
    <n v="976"/>
    <x v="1"/>
    <n v="3"/>
    <x v="0"/>
    <n v="2"/>
    <s v="Medical"/>
    <n v="1948"/>
    <n v="3"/>
    <x v="1"/>
    <n v="48"/>
    <n v="3"/>
    <n v="1"/>
    <x v="1"/>
    <x v="3"/>
    <x v="2"/>
    <x v="1278"/>
    <n v="3995"/>
    <n v="1"/>
    <x v="0"/>
    <n v="13"/>
    <n v="3"/>
    <n v="4"/>
    <x v="1"/>
    <n v="4"/>
    <x v="1"/>
    <n v="3"/>
    <n v="4"/>
    <x v="2"/>
    <n v="2"/>
    <n v="2"/>
    <n v="3"/>
  </r>
  <r>
    <x v="0"/>
    <x v="1"/>
    <x v="2"/>
    <n v="1351"/>
    <x v="1"/>
    <n v="9"/>
    <x v="1"/>
    <n v="4"/>
    <s v="Life Sciences"/>
    <n v="1949"/>
    <n v="1"/>
    <x v="1"/>
    <n v="66"/>
    <n v="4"/>
    <n v="1"/>
    <x v="2"/>
    <x v="1"/>
    <x v="1"/>
    <x v="1279"/>
    <n v="9238"/>
    <n v="1"/>
    <x v="1"/>
    <n v="22"/>
    <n v="4"/>
    <n v="2"/>
    <x v="0"/>
    <n v="5"/>
    <x v="1"/>
    <n v="3"/>
    <n v="3"/>
    <x v="2"/>
    <n v="4"/>
    <n v="0"/>
    <n v="2"/>
  </r>
  <r>
    <x v="2"/>
    <x v="1"/>
    <x v="0"/>
    <n v="937"/>
    <x v="0"/>
    <n v="1"/>
    <x v="0"/>
    <n v="3"/>
    <s v="Marketing"/>
    <n v="1950"/>
    <n v="1"/>
    <x v="1"/>
    <n v="32"/>
    <n v="3"/>
    <n v="3"/>
    <x v="0"/>
    <x v="0"/>
    <x v="0"/>
    <x v="1280"/>
    <n v="6770"/>
    <n v="1"/>
    <x v="1"/>
    <n v="21"/>
    <n v="4"/>
    <n v="1"/>
    <x v="0"/>
    <n v="14"/>
    <x v="0"/>
    <n v="3"/>
    <n v="2"/>
    <x v="3"/>
    <n v="8"/>
    <n v="2"/>
    <n v="1"/>
  </r>
  <r>
    <x v="2"/>
    <x v="1"/>
    <x v="0"/>
    <n v="1239"/>
    <x v="0"/>
    <n v="13"/>
    <x v="1"/>
    <n v="4"/>
    <s v="Medical"/>
    <n v="1951"/>
    <n v="4"/>
    <x v="1"/>
    <n v="39"/>
    <n v="3"/>
    <n v="3"/>
    <x v="0"/>
    <x v="2"/>
    <x v="2"/>
    <x v="1281"/>
    <n v="22914"/>
    <n v="1"/>
    <x v="1"/>
    <n v="18"/>
    <n v="3"/>
    <n v="3"/>
    <x v="1"/>
    <n v="9"/>
    <x v="0"/>
    <n v="2"/>
    <n v="2"/>
    <x v="0"/>
    <n v="7"/>
    <n v="1"/>
    <n v="1"/>
  </r>
  <r>
    <x v="2"/>
    <x v="1"/>
    <x v="0"/>
    <n v="157"/>
    <x v="1"/>
    <n v="1"/>
    <x v="0"/>
    <n v="3"/>
    <s v="Medical"/>
    <n v="1952"/>
    <n v="3"/>
    <x v="1"/>
    <n v="95"/>
    <n v="3"/>
    <n v="1"/>
    <x v="2"/>
    <x v="3"/>
    <x v="0"/>
    <x v="1282"/>
    <n v="20006"/>
    <n v="0"/>
    <x v="1"/>
    <n v="13"/>
    <n v="3"/>
    <n v="4"/>
    <x v="0"/>
    <n v="8"/>
    <x v="0"/>
    <n v="6"/>
    <n v="2"/>
    <x v="0"/>
    <n v="7"/>
    <n v="7"/>
    <n v="6"/>
  </r>
  <r>
    <x v="2"/>
    <x v="1"/>
    <x v="0"/>
    <n v="136"/>
    <x v="1"/>
    <n v="1"/>
    <x v="0"/>
    <n v="3"/>
    <s v="Life Sciences"/>
    <n v="1954"/>
    <n v="1"/>
    <x v="1"/>
    <n v="89"/>
    <n v="3"/>
    <n v="2"/>
    <x v="4"/>
    <x v="3"/>
    <x v="1"/>
    <x v="1283"/>
    <n v="6225"/>
    <n v="0"/>
    <x v="1"/>
    <n v="12"/>
    <n v="3"/>
    <n v="1"/>
    <x v="1"/>
    <n v="6"/>
    <x v="0"/>
    <n v="5"/>
    <n v="2"/>
    <x v="2"/>
    <n v="3"/>
    <n v="0"/>
    <n v="2"/>
  </r>
  <r>
    <x v="2"/>
    <x v="1"/>
    <x v="2"/>
    <n v="1146"/>
    <x v="1"/>
    <n v="15"/>
    <x v="1"/>
    <n v="4"/>
    <s v="Medical"/>
    <n v="1955"/>
    <n v="3"/>
    <x v="0"/>
    <n v="34"/>
    <n v="3"/>
    <n v="2"/>
    <x v="4"/>
    <x v="0"/>
    <x v="2"/>
    <x v="1284"/>
    <n v="16542"/>
    <n v="5"/>
    <x v="1"/>
    <n v="18"/>
    <n v="3"/>
    <n v="2"/>
    <x v="1"/>
    <n v="9"/>
    <x v="0"/>
    <n v="6"/>
    <n v="3"/>
    <x v="2"/>
    <n v="1"/>
    <n v="1"/>
    <n v="2"/>
  </r>
  <r>
    <x v="2"/>
    <x v="1"/>
    <x v="1"/>
    <n v="1125"/>
    <x v="1"/>
    <n v="1"/>
    <x v="0"/>
    <n v="3"/>
    <s v="Life Sciences"/>
    <n v="1956"/>
    <n v="4"/>
    <x v="1"/>
    <n v="48"/>
    <n v="1"/>
    <n v="2"/>
    <x v="1"/>
    <x v="3"/>
    <x v="1"/>
    <x v="701"/>
    <n v="5771"/>
    <n v="1"/>
    <x v="1"/>
    <n v="21"/>
    <n v="4"/>
    <n v="2"/>
    <x v="0"/>
    <n v="10"/>
    <x v="0"/>
    <n v="6"/>
    <n v="3"/>
    <x v="0"/>
    <n v="8"/>
    <n v="8"/>
    <n v="7"/>
  </r>
  <r>
    <x v="2"/>
    <x v="0"/>
    <x v="0"/>
    <n v="1404"/>
    <x v="1"/>
    <n v="17"/>
    <x v="2"/>
    <n v="3"/>
    <s v="Technical Degree"/>
    <n v="1960"/>
    <n v="3"/>
    <x v="1"/>
    <n v="32"/>
    <n v="2"/>
    <n v="1"/>
    <x v="2"/>
    <x v="0"/>
    <x v="2"/>
    <x v="1039"/>
    <n v="18779"/>
    <n v="5"/>
    <x v="1"/>
    <n v="12"/>
    <n v="3"/>
    <n v="1"/>
    <x v="1"/>
    <n v="6"/>
    <x v="0"/>
    <n v="2"/>
    <n v="2"/>
    <x v="2"/>
    <n v="1"/>
    <n v="0"/>
    <n v="3"/>
  </r>
  <r>
    <x v="0"/>
    <x v="1"/>
    <x v="0"/>
    <n v="1404"/>
    <x v="0"/>
    <n v="1"/>
    <x v="0"/>
    <n v="3"/>
    <s v="Life Sciences"/>
    <n v="1961"/>
    <n v="1"/>
    <x v="1"/>
    <n v="59"/>
    <n v="2"/>
    <n v="1"/>
    <x v="6"/>
    <x v="3"/>
    <x v="0"/>
    <x v="1285"/>
    <n v="11473"/>
    <n v="4"/>
    <x v="1"/>
    <n v="14"/>
    <n v="3"/>
    <n v="1"/>
    <x v="0"/>
    <n v="20"/>
    <x v="2"/>
    <n v="3"/>
    <n v="2"/>
    <x v="1"/>
    <n v="0"/>
    <n v="0"/>
    <n v="0"/>
  </r>
  <r>
    <x v="2"/>
    <x v="1"/>
    <x v="0"/>
    <n v="1224"/>
    <x v="0"/>
    <n v="7"/>
    <x v="1"/>
    <n v="4"/>
    <s v="Life Sciences"/>
    <n v="1962"/>
    <n v="3"/>
    <x v="0"/>
    <n v="55"/>
    <n v="3"/>
    <n v="2"/>
    <x v="0"/>
    <x v="0"/>
    <x v="1"/>
    <x v="626"/>
    <n v="13586"/>
    <n v="1"/>
    <x v="0"/>
    <n v="11"/>
    <n v="3"/>
    <n v="4"/>
    <x v="0"/>
    <n v="10"/>
    <x v="0"/>
    <n v="2"/>
    <n v="3"/>
    <x v="0"/>
    <n v="8"/>
    <n v="0"/>
    <n v="9"/>
  </r>
  <r>
    <x v="2"/>
    <x v="1"/>
    <x v="0"/>
    <n v="954"/>
    <x v="0"/>
    <n v="9"/>
    <x v="1"/>
    <n v="3"/>
    <s v="Marketing"/>
    <n v="1965"/>
    <n v="4"/>
    <x v="1"/>
    <n v="44"/>
    <n v="3"/>
    <n v="2"/>
    <x v="0"/>
    <x v="0"/>
    <x v="0"/>
    <x v="1286"/>
    <n v="5099"/>
    <n v="1"/>
    <x v="1"/>
    <n v="14"/>
    <n v="3"/>
    <n v="1"/>
    <x v="0"/>
    <n v="7"/>
    <x v="0"/>
    <n v="5"/>
    <n v="3"/>
    <x v="0"/>
    <n v="7"/>
    <n v="0"/>
    <n v="7"/>
  </r>
  <r>
    <x v="2"/>
    <x v="1"/>
    <x v="0"/>
    <n v="1373"/>
    <x v="1"/>
    <n v="5"/>
    <x v="0"/>
    <n v="4"/>
    <s v="Life Sciences"/>
    <n v="1966"/>
    <n v="4"/>
    <x v="1"/>
    <n v="56"/>
    <n v="2"/>
    <n v="2"/>
    <x v="3"/>
    <x v="0"/>
    <x v="0"/>
    <x v="1287"/>
    <n v="10138"/>
    <n v="8"/>
    <x v="1"/>
    <n v="24"/>
    <n v="4"/>
    <n v="2"/>
    <x v="0"/>
    <n v="8"/>
    <x v="0"/>
    <n v="1"/>
    <n v="3"/>
    <x v="1"/>
    <n v="0"/>
    <n v="0"/>
    <n v="0"/>
  </r>
  <r>
    <x v="2"/>
    <x v="0"/>
    <x v="1"/>
    <n v="754"/>
    <x v="0"/>
    <n v="26"/>
    <x v="2"/>
    <n v="4"/>
    <s v="Marketing"/>
    <n v="1967"/>
    <n v="1"/>
    <x v="1"/>
    <n v="63"/>
    <n v="3"/>
    <n v="2"/>
    <x v="0"/>
    <x v="0"/>
    <x v="1"/>
    <x v="1288"/>
    <n v="21075"/>
    <n v="1"/>
    <x v="0"/>
    <n v="11"/>
    <n v="3"/>
    <n v="3"/>
    <x v="0"/>
    <n v="10"/>
    <x v="0"/>
    <n v="4"/>
    <n v="3"/>
    <x v="0"/>
    <n v="7"/>
    <n v="0"/>
    <n v="8"/>
  </r>
  <r>
    <x v="1"/>
    <x v="0"/>
    <x v="0"/>
    <n v="1168"/>
    <x v="0"/>
    <n v="24"/>
    <x v="2"/>
    <n v="4"/>
    <s v="Life Sciences"/>
    <n v="1968"/>
    <n v="1"/>
    <x v="1"/>
    <n v="66"/>
    <n v="3"/>
    <n v="3"/>
    <x v="0"/>
    <x v="3"/>
    <x v="0"/>
    <x v="1289"/>
    <n v="5843"/>
    <n v="6"/>
    <x v="0"/>
    <n v="13"/>
    <n v="3"/>
    <n v="2"/>
    <x v="0"/>
    <n v="15"/>
    <x v="0"/>
    <n v="2"/>
    <n v="2"/>
    <x v="1"/>
    <n v="2"/>
    <n v="2"/>
    <n v="2"/>
  </r>
  <r>
    <x v="1"/>
    <x v="1"/>
    <x v="0"/>
    <n v="155"/>
    <x v="1"/>
    <n v="9"/>
    <x v="1"/>
    <n v="2"/>
    <s v="Life Sciences"/>
    <n v="1969"/>
    <n v="1"/>
    <x v="0"/>
    <n v="67"/>
    <n v="3"/>
    <n v="2"/>
    <x v="1"/>
    <x v="2"/>
    <x v="1"/>
    <x v="1290"/>
    <n v="22474"/>
    <n v="3"/>
    <x v="1"/>
    <n v="11"/>
    <n v="3"/>
    <n v="3"/>
    <x v="3"/>
    <n v="9"/>
    <x v="0"/>
    <n v="6"/>
    <n v="2"/>
    <x v="2"/>
    <n v="3"/>
    <n v="2"/>
    <n v="3"/>
  </r>
  <r>
    <x v="2"/>
    <x v="1"/>
    <x v="1"/>
    <n v="1303"/>
    <x v="1"/>
    <n v="7"/>
    <x v="1"/>
    <n v="2"/>
    <s v="Life Sciences"/>
    <n v="1970"/>
    <n v="4"/>
    <x v="1"/>
    <n v="36"/>
    <n v="3"/>
    <n v="2"/>
    <x v="4"/>
    <x v="2"/>
    <x v="2"/>
    <x v="1291"/>
    <n v="18079"/>
    <n v="1"/>
    <x v="1"/>
    <n v="20"/>
    <n v="4"/>
    <n v="3"/>
    <x v="2"/>
    <n v="9"/>
    <x v="0"/>
    <n v="2"/>
    <n v="3"/>
    <x v="0"/>
    <n v="7"/>
    <n v="2"/>
    <n v="8"/>
  </r>
  <r>
    <x v="0"/>
    <x v="1"/>
    <x v="0"/>
    <n v="574"/>
    <x v="1"/>
    <n v="11"/>
    <x v="1"/>
    <n v="3"/>
    <s v="Life Sciences"/>
    <n v="1971"/>
    <n v="1"/>
    <x v="1"/>
    <n v="30"/>
    <n v="3"/>
    <n v="3"/>
    <x v="4"/>
    <x v="2"/>
    <x v="1"/>
    <x v="1292"/>
    <n v="16873"/>
    <n v="1"/>
    <x v="1"/>
    <n v="17"/>
    <n v="3"/>
    <n v="2"/>
    <x v="1"/>
    <n v="10"/>
    <x v="0"/>
    <n v="1"/>
    <n v="3"/>
    <x v="0"/>
    <n v="9"/>
    <n v="0"/>
    <n v="9"/>
  </r>
  <r>
    <x v="0"/>
    <x v="1"/>
    <x v="1"/>
    <n v="1444"/>
    <x v="2"/>
    <n v="1"/>
    <x v="0"/>
    <n v="4"/>
    <s v="Other"/>
    <n v="1972"/>
    <n v="4"/>
    <x v="1"/>
    <n v="88"/>
    <n v="3"/>
    <n v="1"/>
    <x v="8"/>
    <x v="1"/>
    <x v="1"/>
    <x v="1293"/>
    <n v="5224"/>
    <n v="0"/>
    <x v="0"/>
    <n v="11"/>
    <n v="3"/>
    <n v="2"/>
    <x v="1"/>
    <n v="7"/>
    <x v="0"/>
    <n v="2"/>
    <n v="3"/>
    <x v="0"/>
    <n v="2"/>
    <n v="1"/>
    <n v="2"/>
  </r>
  <r>
    <x v="1"/>
    <x v="1"/>
    <x v="0"/>
    <n v="189"/>
    <x v="2"/>
    <n v="26"/>
    <x v="2"/>
    <n v="4"/>
    <s v="Human Resources"/>
    <n v="1973"/>
    <n v="3"/>
    <x v="1"/>
    <n v="71"/>
    <n v="4"/>
    <n v="5"/>
    <x v="5"/>
    <x v="1"/>
    <x v="1"/>
    <x v="1294"/>
    <n v="25811"/>
    <n v="4"/>
    <x v="0"/>
    <n v="18"/>
    <n v="3"/>
    <n v="1"/>
    <x v="1"/>
    <n v="35"/>
    <x v="2"/>
    <n v="0"/>
    <n v="3"/>
    <x v="0"/>
    <n v="9"/>
    <n v="1"/>
    <n v="4"/>
  </r>
  <r>
    <x v="2"/>
    <x v="1"/>
    <x v="0"/>
    <n v="1276"/>
    <x v="1"/>
    <n v="2"/>
    <x v="0"/>
    <n v="1"/>
    <s v="Medical"/>
    <n v="1974"/>
    <n v="4"/>
    <x v="0"/>
    <n v="59"/>
    <n v="1"/>
    <n v="1"/>
    <x v="2"/>
    <x v="0"/>
    <x v="2"/>
    <x v="1295"/>
    <n v="17536"/>
    <n v="1"/>
    <x v="0"/>
    <n v="11"/>
    <n v="3"/>
    <n v="3"/>
    <x v="2"/>
    <n v="1"/>
    <x v="1"/>
    <n v="4"/>
    <n v="3"/>
    <x v="1"/>
    <n v="0"/>
    <n v="0"/>
    <n v="0"/>
  </r>
  <r>
    <x v="0"/>
    <x v="1"/>
    <x v="0"/>
    <n v="119"/>
    <x v="0"/>
    <n v="15"/>
    <x v="1"/>
    <n v="4"/>
    <s v="Marketing"/>
    <n v="1975"/>
    <n v="2"/>
    <x v="1"/>
    <n v="77"/>
    <n v="3"/>
    <n v="4"/>
    <x v="0"/>
    <x v="3"/>
    <x v="0"/>
    <x v="1296"/>
    <n v="25098"/>
    <n v="0"/>
    <x v="1"/>
    <n v="12"/>
    <n v="3"/>
    <n v="1"/>
    <x v="0"/>
    <n v="21"/>
    <x v="2"/>
    <n v="3"/>
    <n v="3"/>
    <x v="3"/>
    <n v="8"/>
    <n v="11"/>
    <n v="10"/>
  </r>
  <r>
    <x v="0"/>
    <x v="1"/>
    <x v="2"/>
    <n v="335"/>
    <x v="1"/>
    <n v="23"/>
    <x v="2"/>
    <n v="2"/>
    <s v="Life Sciences"/>
    <n v="1976"/>
    <n v="4"/>
    <x v="1"/>
    <n v="37"/>
    <n v="2"/>
    <n v="2"/>
    <x v="1"/>
    <x v="2"/>
    <x v="0"/>
    <x v="1297"/>
    <n v="14811"/>
    <n v="1"/>
    <x v="1"/>
    <n v="12"/>
    <n v="3"/>
    <n v="4"/>
    <x v="0"/>
    <n v="20"/>
    <x v="2"/>
    <n v="2"/>
    <n v="3"/>
    <x v="3"/>
    <n v="9"/>
    <n v="3"/>
    <n v="7"/>
  </r>
  <r>
    <x v="2"/>
    <x v="1"/>
    <x v="2"/>
    <n v="697"/>
    <x v="1"/>
    <n v="10"/>
    <x v="1"/>
    <n v="3"/>
    <s v="Medical"/>
    <n v="1979"/>
    <n v="3"/>
    <x v="0"/>
    <n v="40"/>
    <n v="3"/>
    <n v="3"/>
    <x v="7"/>
    <x v="2"/>
    <x v="1"/>
    <x v="1298"/>
    <n v="26862"/>
    <n v="4"/>
    <x v="1"/>
    <n v="20"/>
    <n v="4"/>
    <n v="3"/>
    <x v="1"/>
    <n v="13"/>
    <x v="0"/>
    <n v="2"/>
    <n v="4"/>
    <x v="3"/>
    <n v="7"/>
    <n v="4"/>
    <n v="8"/>
  </r>
  <r>
    <x v="1"/>
    <x v="1"/>
    <x v="0"/>
    <n v="157"/>
    <x v="1"/>
    <n v="10"/>
    <x v="1"/>
    <n v="3"/>
    <s v="Medical"/>
    <n v="1980"/>
    <n v="3"/>
    <x v="0"/>
    <n v="77"/>
    <n v="3"/>
    <n v="2"/>
    <x v="3"/>
    <x v="3"/>
    <x v="0"/>
    <x v="1299"/>
    <n v="25198"/>
    <n v="6"/>
    <x v="0"/>
    <n v="19"/>
    <n v="3"/>
    <n v="4"/>
    <x v="0"/>
    <n v="9"/>
    <x v="0"/>
    <n v="3"/>
    <n v="3"/>
    <x v="2"/>
    <n v="2"/>
    <n v="1"/>
    <n v="4"/>
  </r>
  <r>
    <x v="3"/>
    <x v="1"/>
    <x v="0"/>
    <n v="771"/>
    <x v="1"/>
    <n v="1"/>
    <x v="0"/>
    <n v="2"/>
    <s v="Life Sciences"/>
    <n v="1981"/>
    <n v="2"/>
    <x v="1"/>
    <n v="45"/>
    <n v="2"/>
    <n v="2"/>
    <x v="4"/>
    <x v="2"/>
    <x v="0"/>
    <x v="1300"/>
    <n v="14120"/>
    <n v="1"/>
    <x v="1"/>
    <n v="12"/>
    <n v="3"/>
    <n v="2"/>
    <x v="0"/>
    <n v="4"/>
    <x v="1"/>
    <n v="2"/>
    <n v="2"/>
    <x v="2"/>
    <n v="3"/>
    <n v="1"/>
    <n v="2"/>
  </r>
  <r>
    <x v="3"/>
    <x v="1"/>
    <x v="0"/>
    <n v="571"/>
    <x v="1"/>
    <n v="12"/>
    <x v="1"/>
    <n v="2"/>
    <s v="Other"/>
    <n v="1982"/>
    <n v="4"/>
    <x v="1"/>
    <n v="78"/>
    <n v="3"/>
    <n v="1"/>
    <x v="2"/>
    <x v="0"/>
    <x v="0"/>
    <x v="1301"/>
    <n v="13672"/>
    <n v="1"/>
    <x v="1"/>
    <n v="13"/>
    <n v="3"/>
    <n v="3"/>
    <x v="0"/>
    <n v="5"/>
    <x v="1"/>
    <n v="6"/>
    <n v="4"/>
    <x v="2"/>
    <n v="2"/>
    <n v="1"/>
    <n v="4"/>
  </r>
  <r>
    <x v="0"/>
    <x v="1"/>
    <x v="1"/>
    <n v="692"/>
    <x v="1"/>
    <n v="11"/>
    <x v="1"/>
    <n v="3"/>
    <s v="Technical Degree"/>
    <n v="1985"/>
    <n v="4"/>
    <x v="0"/>
    <n v="73"/>
    <n v="3"/>
    <n v="2"/>
    <x v="2"/>
    <x v="2"/>
    <x v="1"/>
    <x v="1302"/>
    <n v="26849"/>
    <n v="1"/>
    <x v="1"/>
    <n v="11"/>
    <n v="3"/>
    <n v="1"/>
    <x v="1"/>
    <n v="10"/>
    <x v="0"/>
    <n v="2"/>
    <n v="4"/>
    <x v="0"/>
    <n v="9"/>
    <n v="9"/>
    <n v="4"/>
  </r>
  <r>
    <x v="0"/>
    <x v="1"/>
    <x v="0"/>
    <n v="444"/>
    <x v="0"/>
    <n v="2"/>
    <x v="0"/>
    <n v="2"/>
    <s v="Marketing"/>
    <n v="1986"/>
    <n v="2"/>
    <x v="0"/>
    <n v="92"/>
    <n v="3"/>
    <n v="2"/>
    <x v="0"/>
    <x v="1"/>
    <x v="1"/>
    <x v="1303"/>
    <n v="4258"/>
    <n v="3"/>
    <x v="1"/>
    <n v="14"/>
    <n v="3"/>
    <n v="3"/>
    <x v="1"/>
    <n v="15"/>
    <x v="0"/>
    <n v="4"/>
    <n v="3"/>
    <x v="3"/>
    <n v="8"/>
    <n v="5"/>
    <n v="10"/>
  </r>
  <r>
    <x v="3"/>
    <x v="1"/>
    <x v="0"/>
    <n v="309"/>
    <x v="2"/>
    <n v="2"/>
    <x v="0"/>
    <n v="3"/>
    <s v="Human Resources"/>
    <n v="1987"/>
    <n v="3"/>
    <x v="0"/>
    <n v="82"/>
    <n v="3"/>
    <n v="1"/>
    <x v="8"/>
    <x v="1"/>
    <x v="1"/>
    <x v="467"/>
    <n v="19655"/>
    <n v="4"/>
    <x v="1"/>
    <n v="14"/>
    <n v="3"/>
    <n v="3"/>
    <x v="0"/>
    <n v="6"/>
    <x v="0"/>
    <n v="3"/>
    <n v="3"/>
    <x v="1"/>
    <n v="0"/>
    <n v="1"/>
    <n v="2"/>
  </r>
  <r>
    <x v="2"/>
    <x v="1"/>
    <x v="0"/>
    <n v="911"/>
    <x v="1"/>
    <n v="1"/>
    <x v="0"/>
    <n v="2"/>
    <s v="Medical"/>
    <n v="1989"/>
    <n v="4"/>
    <x v="1"/>
    <n v="76"/>
    <n v="3"/>
    <n v="1"/>
    <x v="2"/>
    <x v="1"/>
    <x v="1"/>
    <x v="1304"/>
    <n v="4077"/>
    <n v="1"/>
    <x v="1"/>
    <n v="13"/>
    <n v="3"/>
    <n v="3"/>
    <x v="0"/>
    <n v="12"/>
    <x v="0"/>
    <n v="6"/>
    <n v="2"/>
    <x v="3"/>
    <n v="8"/>
    <n v="1"/>
    <n v="7"/>
  </r>
  <r>
    <x v="3"/>
    <x v="1"/>
    <x v="0"/>
    <n v="977"/>
    <x v="1"/>
    <n v="2"/>
    <x v="0"/>
    <n v="1"/>
    <s v="Other"/>
    <n v="1992"/>
    <n v="4"/>
    <x v="1"/>
    <n v="57"/>
    <n v="3"/>
    <n v="1"/>
    <x v="2"/>
    <x v="2"/>
    <x v="2"/>
    <x v="1305"/>
    <n v="7298"/>
    <n v="6"/>
    <x v="0"/>
    <n v="19"/>
    <n v="3"/>
    <n v="3"/>
    <x v="1"/>
    <n v="7"/>
    <x v="0"/>
    <n v="2"/>
    <n v="2"/>
    <x v="1"/>
    <n v="2"/>
    <n v="0"/>
    <n v="2"/>
  </r>
  <r>
    <x v="1"/>
    <x v="1"/>
    <x v="0"/>
    <n v="1180"/>
    <x v="1"/>
    <n v="25"/>
    <x v="2"/>
    <n v="3"/>
    <s v="Medical"/>
    <n v="1993"/>
    <n v="1"/>
    <x v="1"/>
    <n v="84"/>
    <n v="3"/>
    <n v="3"/>
    <x v="4"/>
    <x v="2"/>
    <x v="0"/>
    <x v="1306"/>
    <n v="13084"/>
    <n v="2"/>
    <x v="1"/>
    <n v="23"/>
    <n v="4"/>
    <n v="2"/>
    <x v="0"/>
    <n v="25"/>
    <x v="2"/>
    <n v="3"/>
    <n v="3"/>
    <x v="3"/>
    <n v="14"/>
    <n v="12"/>
    <n v="11"/>
  </r>
  <r>
    <x v="2"/>
    <x v="1"/>
    <x v="2"/>
    <n v="1313"/>
    <x v="1"/>
    <n v="1"/>
    <x v="0"/>
    <n v="2"/>
    <s v="Medical"/>
    <n v="1994"/>
    <n v="2"/>
    <x v="1"/>
    <n v="59"/>
    <n v="2"/>
    <n v="1"/>
    <x v="2"/>
    <x v="2"/>
    <x v="2"/>
    <x v="641"/>
    <n v="20439"/>
    <n v="1"/>
    <x v="1"/>
    <n v="12"/>
    <n v="3"/>
    <n v="3"/>
    <x v="2"/>
    <n v="1"/>
    <x v="1"/>
    <n v="2"/>
    <n v="2"/>
    <x v="1"/>
    <n v="1"/>
    <n v="0"/>
    <n v="0"/>
  </r>
  <r>
    <x v="0"/>
    <x v="1"/>
    <x v="0"/>
    <n v="1321"/>
    <x v="0"/>
    <n v="1"/>
    <x v="0"/>
    <n v="4"/>
    <s v="Life Sciences"/>
    <n v="1995"/>
    <n v="4"/>
    <x v="1"/>
    <n v="86"/>
    <n v="3"/>
    <n v="2"/>
    <x v="0"/>
    <x v="1"/>
    <x v="1"/>
    <x v="1299"/>
    <n v="7636"/>
    <n v="0"/>
    <x v="1"/>
    <n v="15"/>
    <n v="3"/>
    <n v="1"/>
    <x v="3"/>
    <n v="16"/>
    <x v="2"/>
    <n v="3"/>
    <n v="3"/>
    <x v="3"/>
    <n v="13"/>
    <n v="5"/>
    <n v="8"/>
  </r>
  <r>
    <x v="2"/>
    <x v="1"/>
    <x v="0"/>
    <n v="1154"/>
    <x v="0"/>
    <n v="2"/>
    <x v="0"/>
    <n v="2"/>
    <s v="Life Sciences"/>
    <n v="1996"/>
    <n v="1"/>
    <x v="1"/>
    <n v="54"/>
    <n v="3"/>
    <n v="1"/>
    <x v="6"/>
    <x v="2"/>
    <x v="1"/>
    <x v="1307"/>
    <n v="6393"/>
    <n v="0"/>
    <x v="1"/>
    <n v="19"/>
    <n v="3"/>
    <n v="3"/>
    <x v="1"/>
    <n v="3"/>
    <x v="1"/>
    <n v="1"/>
    <n v="3"/>
    <x v="1"/>
    <n v="2"/>
    <n v="1"/>
    <n v="2"/>
  </r>
  <r>
    <x v="0"/>
    <x v="1"/>
    <x v="1"/>
    <n v="508"/>
    <x v="1"/>
    <n v="6"/>
    <x v="1"/>
    <n v="4"/>
    <s v="Life Sciences"/>
    <n v="1997"/>
    <n v="1"/>
    <x v="1"/>
    <n v="72"/>
    <n v="2"/>
    <n v="2"/>
    <x v="3"/>
    <x v="2"/>
    <x v="1"/>
    <x v="1308"/>
    <n v="14284"/>
    <n v="2"/>
    <x v="1"/>
    <n v="11"/>
    <n v="3"/>
    <n v="4"/>
    <x v="1"/>
    <n v="10"/>
    <x v="0"/>
    <n v="1"/>
    <n v="3"/>
    <x v="0"/>
    <n v="3"/>
    <n v="7"/>
    <n v="7"/>
  </r>
  <r>
    <x v="0"/>
    <x v="1"/>
    <x v="0"/>
    <n v="557"/>
    <x v="1"/>
    <n v="18"/>
    <x v="2"/>
    <n v="4"/>
    <s v="Life Sciences"/>
    <n v="1998"/>
    <n v="4"/>
    <x v="1"/>
    <n v="35"/>
    <n v="3"/>
    <n v="2"/>
    <x v="1"/>
    <x v="3"/>
    <x v="2"/>
    <x v="874"/>
    <n v="11189"/>
    <n v="6"/>
    <x v="0"/>
    <n v="17"/>
    <n v="3"/>
    <n v="3"/>
    <x v="1"/>
    <n v="9"/>
    <x v="0"/>
    <n v="3"/>
    <n v="2"/>
    <x v="2"/>
    <n v="3"/>
    <n v="1"/>
    <n v="2"/>
  </r>
  <r>
    <x v="0"/>
    <x v="1"/>
    <x v="0"/>
    <n v="642"/>
    <x v="1"/>
    <n v="1"/>
    <x v="0"/>
    <n v="3"/>
    <s v="Life Sciences"/>
    <n v="1999"/>
    <n v="4"/>
    <x v="1"/>
    <n v="76"/>
    <n v="3"/>
    <n v="1"/>
    <x v="1"/>
    <x v="0"/>
    <x v="1"/>
    <x v="553"/>
    <n v="21412"/>
    <n v="3"/>
    <x v="1"/>
    <n v="22"/>
    <n v="4"/>
    <n v="1"/>
    <x v="1"/>
    <n v="12"/>
    <x v="0"/>
    <n v="3"/>
    <n v="3"/>
    <x v="2"/>
    <n v="3"/>
    <n v="1"/>
    <n v="0"/>
  </r>
  <r>
    <x v="1"/>
    <x v="1"/>
    <x v="2"/>
    <n v="1162"/>
    <x v="1"/>
    <n v="1"/>
    <x v="0"/>
    <n v="1"/>
    <s v="Medical"/>
    <n v="2000"/>
    <n v="3"/>
    <x v="0"/>
    <n v="98"/>
    <n v="3"/>
    <n v="3"/>
    <x v="7"/>
    <x v="1"/>
    <x v="1"/>
    <x v="1309"/>
    <n v="17231"/>
    <n v="0"/>
    <x v="1"/>
    <n v="18"/>
    <n v="3"/>
    <n v="1"/>
    <x v="3"/>
    <n v="14"/>
    <x v="0"/>
    <n v="3"/>
    <n v="1"/>
    <x v="3"/>
    <n v="8"/>
    <n v="5"/>
    <n v="12"/>
  </r>
  <r>
    <x v="2"/>
    <x v="1"/>
    <x v="0"/>
    <n v="1490"/>
    <x v="1"/>
    <n v="11"/>
    <x v="1"/>
    <n v="4"/>
    <s v="Medical"/>
    <n v="2003"/>
    <n v="4"/>
    <x v="1"/>
    <n v="43"/>
    <n v="3"/>
    <n v="1"/>
    <x v="2"/>
    <x v="2"/>
    <x v="1"/>
    <x v="1310"/>
    <n v="20232"/>
    <n v="7"/>
    <x v="0"/>
    <n v="11"/>
    <n v="3"/>
    <n v="3"/>
    <x v="1"/>
    <n v="5"/>
    <x v="1"/>
    <n v="3"/>
    <n v="3"/>
    <x v="1"/>
    <n v="2"/>
    <n v="2"/>
    <n v="2"/>
  </r>
  <r>
    <x v="3"/>
    <x v="1"/>
    <x v="0"/>
    <n v="581"/>
    <x v="1"/>
    <n v="1"/>
    <x v="0"/>
    <n v="2"/>
    <s v="Life Sciences"/>
    <n v="2007"/>
    <n v="4"/>
    <x v="1"/>
    <n v="63"/>
    <n v="3"/>
    <n v="1"/>
    <x v="1"/>
    <x v="2"/>
    <x v="0"/>
    <x v="1311"/>
    <n v="17624"/>
    <n v="0"/>
    <x v="1"/>
    <n v="12"/>
    <n v="3"/>
    <n v="4"/>
    <x v="0"/>
    <n v="4"/>
    <x v="1"/>
    <n v="2"/>
    <n v="4"/>
    <x v="2"/>
    <n v="2"/>
    <n v="1"/>
    <n v="2"/>
  </r>
  <r>
    <x v="2"/>
    <x v="1"/>
    <x v="0"/>
    <n v="1395"/>
    <x v="1"/>
    <n v="9"/>
    <x v="1"/>
    <n v="4"/>
    <s v="Medical"/>
    <n v="2008"/>
    <n v="2"/>
    <x v="1"/>
    <n v="48"/>
    <n v="3"/>
    <n v="2"/>
    <x v="1"/>
    <x v="2"/>
    <x v="0"/>
    <x v="1312"/>
    <n v="18698"/>
    <n v="1"/>
    <x v="1"/>
    <n v="19"/>
    <n v="3"/>
    <n v="2"/>
    <x v="0"/>
    <n v="10"/>
    <x v="0"/>
    <n v="5"/>
    <n v="3"/>
    <x v="0"/>
    <n v="7"/>
    <n v="0"/>
    <n v="8"/>
  </r>
  <r>
    <x v="2"/>
    <x v="1"/>
    <x v="0"/>
    <n v="501"/>
    <x v="1"/>
    <n v="15"/>
    <x v="1"/>
    <n v="2"/>
    <s v="Medical"/>
    <n v="2009"/>
    <n v="2"/>
    <x v="0"/>
    <n v="95"/>
    <n v="3"/>
    <n v="2"/>
    <x v="4"/>
    <x v="0"/>
    <x v="1"/>
    <x v="1313"/>
    <n v="21653"/>
    <n v="0"/>
    <x v="0"/>
    <n v="13"/>
    <n v="3"/>
    <n v="1"/>
    <x v="1"/>
    <n v="10"/>
    <x v="0"/>
    <n v="6"/>
    <n v="3"/>
    <x v="0"/>
    <n v="7"/>
    <n v="8"/>
    <n v="1"/>
  </r>
  <r>
    <x v="2"/>
    <x v="1"/>
    <x v="0"/>
    <n v="267"/>
    <x v="1"/>
    <n v="29"/>
    <x v="2"/>
    <n v="4"/>
    <s v="Life Sciences"/>
    <n v="2010"/>
    <n v="3"/>
    <x v="0"/>
    <n v="49"/>
    <n v="2"/>
    <n v="1"/>
    <x v="2"/>
    <x v="1"/>
    <x v="0"/>
    <x v="1314"/>
    <n v="15919"/>
    <n v="1"/>
    <x v="1"/>
    <n v="13"/>
    <n v="3"/>
    <n v="3"/>
    <x v="0"/>
    <n v="6"/>
    <x v="0"/>
    <n v="3"/>
    <n v="3"/>
    <x v="0"/>
    <n v="2"/>
    <n v="4"/>
    <n v="1"/>
  </r>
  <r>
    <x v="0"/>
    <x v="1"/>
    <x v="0"/>
    <n v="543"/>
    <x v="1"/>
    <n v="1"/>
    <x v="0"/>
    <n v="4"/>
    <s v="Life Sciences"/>
    <n v="2012"/>
    <n v="1"/>
    <x v="1"/>
    <n v="83"/>
    <n v="3"/>
    <n v="1"/>
    <x v="2"/>
    <x v="0"/>
    <x v="1"/>
    <x v="58"/>
    <n v="4060"/>
    <n v="8"/>
    <x v="1"/>
    <n v="19"/>
    <n v="3"/>
    <n v="3"/>
    <x v="3"/>
    <n v="8"/>
    <x v="0"/>
    <n v="3"/>
    <n v="2"/>
    <x v="1"/>
    <n v="0"/>
    <n v="0"/>
    <n v="0"/>
  </r>
  <r>
    <x v="2"/>
    <x v="1"/>
    <x v="0"/>
    <n v="234"/>
    <x v="0"/>
    <n v="1"/>
    <x v="0"/>
    <n v="4"/>
    <s v="Medical"/>
    <n v="2013"/>
    <n v="2"/>
    <x v="1"/>
    <n v="68"/>
    <n v="2"/>
    <n v="1"/>
    <x v="6"/>
    <x v="1"/>
    <x v="1"/>
    <x v="47"/>
    <n v="18024"/>
    <n v="0"/>
    <x v="1"/>
    <n v="14"/>
    <n v="3"/>
    <n v="2"/>
    <x v="1"/>
    <n v="3"/>
    <x v="1"/>
    <n v="2"/>
    <n v="3"/>
    <x v="1"/>
    <n v="2"/>
    <n v="2"/>
    <n v="2"/>
  </r>
  <r>
    <x v="0"/>
    <x v="1"/>
    <x v="0"/>
    <n v="116"/>
    <x v="1"/>
    <n v="24"/>
    <x v="2"/>
    <n v="1"/>
    <s v="Life Sciences"/>
    <n v="2014"/>
    <n v="1"/>
    <x v="1"/>
    <n v="52"/>
    <n v="3"/>
    <n v="2"/>
    <x v="1"/>
    <x v="0"/>
    <x v="0"/>
    <x v="1315"/>
    <n v="5340"/>
    <n v="7"/>
    <x v="1"/>
    <n v="13"/>
    <n v="3"/>
    <n v="1"/>
    <x v="0"/>
    <n v="18"/>
    <x v="2"/>
    <n v="2"/>
    <n v="3"/>
    <x v="0"/>
    <n v="7"/>
    <n v="1"/>
    <n v="7"/>
  </r>
  <r>
    <x v="0"/>
    <x v="1"/>
    <x v="0"/>
    <n v="201"/>
    <x v="1"/>
    <n v="10"/>
    <x v="1"/>
    <n v="3"/>
    <s v="Medical"/>
    <n v="2015"/>
    <n v="2"/>
    <x v="0"/>
    <n v="99"/>
    <n v="1"/>
    <n v="3"/>
    <x v="7"/>
    <x v="2"/>
    <x v="1"/>
    <x v="1316"/>
    <n v="3376"/>
    <n v="3"/>
    <x v="1"/>
    <n v="12"/>
    <n v="3"/>
    <n v="1"/>
    <x v="1"/>
    <n v="20"/>
    <x v="2"/>
    <n v="3"/>
    <n v="3"/>
    <x v="3"/>
    <n v="16"/>
    <n v="1"/>
    <n v="11"/>
  </r>
  <r>
    <x v="2"/>
    <x v="1"/>
    <x v="0"/>
    <n v="801"/>
    <x v="0"/>
    <n v="1"/>
    <x v="0"/>
    <n v="4"/>
    <s v="Marketing"/>
    <n v="2016"/>
    <n v="3"/>
    <x v="0"/>
    <n v="48"/>
    <n v="3"/>
    <n v="3"/>
    <x v="0"/>
    <x v="0"/>
    <x v="1"/>
    <x v="1317"/>
    <n v="24032"/>
    <n v="1"/>
    <x v="1"/>
    <n v="19"/>
    <n v="3"/>
    <n v="3"/>
    <x v="3"/>
    <n v="14"/>
    <x v="0"/>
    <n v="3"/>
    <n v="3"/>
    <x v="3"/>
    <n v="10"/>
    <n v="5"/>
    <n v="7"/>
  </r>
  <r>
    <x v="0"/>
    <x v="1"/>
    <x v="0"/>
    <n v="161"/>
    <x v="1"/>
    <n v="10"/>
    <x v="1"/>
    <n v="3"/>
    <s v="Life Sciences"/>
    <n v="2017"/>
    <n v="3"/>
    <x v="0"/>
    <n v="42"/>
    <n v="4"/>
    <n v="3"/>
    <x v="7"/>
    <x v="0"/>
    <x v="1"/>
    <x v="1318"/>
    <n v="15471"/>
    <n v="1"/>
    <x v="0"/>
    <n v="25"/>
    <n v="4"/>
    <n v="1"/>
    <x v="1"/>
    <n v="16"/>
    <x v="2"/>
    <n v="2"/>
    <n v="3"/>
    <x v="3"/>
    <n v="11"/>
    <n v="6"/>
    <n v="8"/>
  </r>
  <r>
    <x v="3"/>
    <x v="1"/>
    <x v="0"/>
    <n v="1382"/>
    <x v="0"/>
    <n v="8"/>
    <x v="1"/>
    <n v="2"/>
    <s v="Other"/>
    <n v="2018"/>
    <n v="1"/>
    <x v="0"/>
    <n v="85"/>
    <n v="3"/>
    <n v="2"/>
    <x v="0"/>
    <x v="2"/>
    <x v="2"/>
    <x v="274"/>
    <n v="13684"/>
    <n v="0"/>
    <x v="0"/>
    <n v="22"/>
    <n v="4"/>
    <n v="2"/>
    <x v="1"/>
    <n v="6"/>
    <x v="0"/>
    <n v="3"/>
    <n v="2"/>
    <x v="2"/>
    <n v="3"/>
    <n v="0"/>
    <n v="4"/>
  </r>
  <r>
    <x v="1"/>
    <x v="1"/>
    <x v="2"/>
    <n v="585"/>
    <x v="0"/>
    <n v="29"/>
    <x v="2"/>
    <n v="4"/>
    <s v="Life Sciences"/>
    <n v="2019"/>
    <n v="1"/>
    <x v="1"/>
    <n v="40"/>
    <n v="3"/>
    <n v="1"/>
    <x v="6"/>
    <x v="0"/>
    <x v="2"/>
    <x v="1319"/>
    <n v="19788"/>
    <n v="2"/>
    <x v="1"/>
    <n v="15"/>
    <n v="3"/>
    <n v="2"/>
    <x v="3"/>
    <n v="16"/>
    <x v="2"/>
    <n v="3"/>
    <n v="2"/>
    <x v="0"/>
    <n v="8"/>
    <n v="0"/>
    <n v="0"/>
  </r>
  <r>
    <x v="0"/>
    <x v="1"/>
    <x v="0"/>
    <n v="1037"/>
    <x v="1"/>
    <n v="1"/>
    <x v="0"/>
    <n v="3"/>
    <s v="Medical"/>
    <n v="2020"/>
    <n v="2"/>
    <x v="1"/>
    <n v="42"/>
    <n v="3"/>
    <n v="1"/>
    <x v="1"/>
    <x v="0"/>
    <x v="0"/>
    <x v="230"/>
    <n v="13422"/>
    <n v="6"/>
    <x v="0"/>
    <n v="12"/>
    <n v="3"/>
    <n v="3"/>
    <x v="0"/>
    <n v="6"/>
    <x v="0"/>
    <n v="2"/>
    <n v="3"/>
    <x v="2"/>
    <n v="3"/>
    <n v="1"/>
    <n v="2"/>
  </r>
  <r>
    <x v="3"/>
    <x v="1"/>
    <x v="0"/>
    <n v="501"/>
    <x v="0"/>
    <n v="5"/>
    <x v="0"/>
    <n v="1"/>
    <s v="Medical"/>
    <n v="2021"/>
    <n v="3"/>
    <x v="1"/>
    <n v="58"/>
    <n v="3"/>
    <n v="1"/>
    <x v="6"/>
    <x v="3"/>
    <x v="0"/>
    <x v="631"/>
    <n v="25479"/>
    <n v="1"/>
    <x v="0"/>
    <n v="11"/>
    <n v="3"/>
    <n v="4"/>
    <x v="0"/>
    <n v="2"/>
    <x v="1"/>
    <n v="6"/>
    <n v="3"/>
    <x v="1"/>
    <n v="2"/>
    <n v="1"/>
    <n v="2"/>
  </r>
  <r>
    <x v="0"/>
    <x v="1"/>
    <x v="2"/>
    <n v="105"/>
    <x v="1"/>
    <n v="9"/>
    <x v="1"/>
    <n v="3"/>
    <s v="Life Sciences"/>
    <n v="2022"/>
    <n v="4"/>
    <x v="1"/>
    <n v="87"/>
    <n v="3"/>
    <n v="5"/>
    <x v="5"/>
    <x v="0"/>
    <x v="0"/>
    <x v="1320"/>
    <n v="15302"/>
    <n v="2"/>
    <x v="1"/>
    <n v="13"/>
    <n v="3"/>
    <n v="3"/>
    <x v="0"/>
    <n v="21"/>
    <x v="2"/>
    <n v="3"/>
    <n v="2"/>
    <x v="0"/>
    <n v="0"/>
    <n v="1"/>
    <n v="3"/>
  </r>
  <r>
    <x v="3"/>
    <x v="0"/>
    <x v="1"/>
    <n v="638"/>
    <x v="0"/>
    <n v="9"/>
    <x v="1"/>
    <n v="3"/>
    <s v="Marketing"/>
    <n v="2023"/>
    <n v="4"/>
    <x v="1"/>
    <n v="33"/>
    <n v="3"/>
    <n v="1"/>
    <x v="6"/>
    <x v="3"/>
    <x v="1"/>
    <x v="1321"/>
    <n v="26956"/>
    <n v="1"/>
    <x v="1"/>
    <n v="19"/>
    <n v="3"/>
    <n v="1"/>
    <x v="1"/>
    <n v="1"/>
    <x v="1"/>
    <n v="3"/>
    <n v="2"/>
    <x v="1"/>
    <n v="0"/>
    <n v="1"/>
    <n v="0"/>
  </r>
  <r>
    <x v="0"/>
    <x v="1"/>
    <x v="0"/>
    <n v="557"/>
    <x v="0"/>
    <n v="3"/>
    <x v="0"/>
    <n v="3"/>
    <s v="Medical"/>
    <n v="2024"/>
    <n v="1"/>
    <x v="0"/>
    <n v="94"/>
    <n v="2"/>
    <n v="3"/>
    <x v="0"/>
    <x v="0"/>
    <x v="1"/>
    <x v="1322"/>
    <n v="12695"/>
    <n v="0"/>
    <x v="1"/>
    <n v="19"/>
    <n v="3"/>
    <n v="3"/>
    <x v="3"/>
    <n v="10"/>
    <x v="0"/>
    <n v="2"/>
    <n v="3"/>
    <x v="0"/>
    <n v="7"/>
    <n v="3"/>
    <n v="4"/>
  </r>
  <r>
    <x v="0"/>
    <x v="1"/>
    <x v="1"/>
    <n v="688"/>
    <x v="1"/>
    <n v="4"/>
    <x v="0"/>
    <n v="2"/>
    <s v="Life Sciences"/>
    <n v="2025"/>
    <n v="4"/>
    <x v="0"/>
    <n v="97"/>
    <n v="3"/>
    <n v="2"/>
    <x v="3"/>
    <x v="1"/>
    <x v="2"/>
    <x v="1323"/>
    <n v="9192"/>
    <n v="7"/>
    <x v="1"/>
    <n v="13"/>
    <n v="3"/>
    <n v="2"/>
    <x v="2"/>
    <n v="18"/>
    <x v="2"/>
    <n v="3"/>
    <n v="3"/>
    <x v="2"/>
    <n v="2"/>
    <n v="0"/>
    <n v="2"/>
  </r>
  <r>
    <x v="1"/>
    <x v="1"/>
    <x v="2"/>
    <n v="667"/>
    <x v="1"/>
    <n v="1"/>
    <x v="0"/>
    <n v="4"/>
    <s v="Life Sciences"/>
    <n v="2026"/>
    <n v="3"/>
    <x v="1"/>
    <n v="57"/>
    <n v="3"/>
    <n v="2"/>
    <x v="4"/>
    <x v="2"/>
    <x v="2"/>
    <x v="1324"/>
    <n v="26236"/>
    <n v="1"/>
    <x v="1"/>
    <n v="21"/>
    <n v="4"/>
    <n v="1"/>
    <x v="1"/>
    <n v="13"/>
    <x v="0"/>
    <n v="2"/>
    <n v="2"/>
    <x v="3"/>
    <n v="12"/>
    <n v="1"/>
    <n v="9"/>
  </r>
  <r>
    <x v="2"/>
    <x v="0"/>
    <x v="0"/>
    <n v="1092"/>
    <x v="1"/>
    <n v="1"/>
    <x v="0"/>
    <n v="4"/>
    <s v="Medical"/>
    <n v="2027"/>
    <n v="1"/>
    <x v="1"/>
    <n v="36"/>
    <n v="3"/>
    <n v="1"/>
    <x v="1"/>
    <x v="0"/>
    <x v="1"/>
    <x v="1325"/>
    <n v="26124"/>
    <n v="9"/>
    <x v="0"/>
    <n v="14"/>
    <n v="3"/>
    <n v="2"/>
    <x v="2"/>
    <n v="4"/>
    <x v="1"/>
    <n v="3"/>
    <n v="4"/>
    <x v="1"/>
    <n v="2"/>
    <n v="2"/>
    <n v="2"/>
  </r>
  <r>
    <x v="0"/>
    <x v="1"/>
    <x v="0"/>
    <n v="300"/>
    <x v="1"/>
    <n v="2"/>
    <x v="0"/>
    <n v="3"/>
    <s v="Life Sciences"/>
    <n v="2031"/>
    <n v="1"/>
    <x v="1"/>
    <n v="56"/>
    <n v="3"/>
    <n v="5"/>
    <x v="5"/>
    <x v="2"/>
    <x v="1"/>
    <x v="1326"/>
    <n v="17312"/>
    <n v="5"/>
    <x v="1"/>
    <n v="11"/>
    <n v="3"/>
    <n v="1"/>
    <x v="0"/>
    <n v="24"/>
    <x v="2"/>
    <n v="2"/>
    <n v="2"/>
    <x v="3"/>
    <n v="6"/>
    <n v="4"/>
    <n v="14"/>
  </r>
  <r>
    <x v="1"/>
    <x v="0"/>
    <x v="0"/>
    <n v="310"/>
    <x v="1"/>
    <n v="7"/>
    <x v="1"/>
    <n v="2"/>
    <s v="Technical Degree"/>
    <n v="2032"/>
    <n v="4"/>
    <x v="1"/>
    <n v="72"/>
    <n v="3"/>
    <n v="1"/>
    <x v="2"/>
    <x v="2"/>
    <x v="1"/>
    <x v="1327"/>
    <n v="3666"/>
    <n v="8"/>
    <x v="1"/>
    <n v="11"/>
    <n v="3"/>
    <n v="4"/>
    <x v="1"/>
    <n v="14"/>
    <x v="0"/>
    <n v="4"/>
    <n v="1"/>
    <x v="0"/>
    <n v="9"/>
    <n v="9"/>
    <n v="8"/>
  </r>
  <r>
    <x v="0"/>
    <x v="1"/>
    <x v="0"/>
    <n v="582"/>
    <x v="1"/>
    <n v="28"/>
    <x v="2"/>
    <n v="4"/>
    <s v="Life Sciences"/>
    <n v="2034"/>
    <n v="1"/>
    <x v="0"/>
    <n v="60"/>
    <n v="2"/>
    <n v="4"/>
    <x v="3"/>
    <x v="1"/>
    <x v="1"/>
    <x v="1328"/>
    <n v="5640"/>
    <n v="0"/>
    <x v="1"/>
    <n v="23"/>
    <n v="4"/>
    <n v="3"/>
    <x v="1"/>
    <n v="21"/>
    <x v="2"/>
    <n v="3"/>
    <n v="3"/>
    <x v="3"/>
    <n v="7"/>
    <n v="0"/>
    <n v="10"/>
  </r>
  <r>
    <x v="2"/>
    <x v="1"/>
    <x v="0"/>
    <n v="704"/>
    <x v="0"/>
    <n v="28"/>
    <x v="2"/>
    <n v="3"/>
    <s v="Marketing"/>
    <n v="2035"/>
    <n v="4"/>
    <x v="0"/>
    <n v="95"/>
    <n v="2"/>
    <n v="2"/>
    <x v="0"/>
    <x v="2"/>
    <x v="1"/>
    <x v="1329"/>
    <n v="8978"/>
    <n v="1"/>
    <x v="1"/>
    <n v="21"/>
    <n v="4"/>
    <n v="4"/>
    <x v="3"/>
    <n v="8"/>
    <x v="0"/>
    <n v="2"/>
    <n v="3"/>
    <x v="0"/>
    <n v="7"/>
    <n v="1"/>
    <n v="7"/>
  </r>
  <r>
    <x v="0"/>
    <x v="1"/>
    <x v="2"/>
    <n v="301"/>
    <x v="0"/>
    <n v="15"/>
    <x v="1"/>
    <n v="4"/>
    <s v="Marketing"/>
    <n v="2036"/>
    <n v="4"/>
    <x v="1"/>
    <n v="88"/>
    <n v="1"/>
    <n v="2"/>
    <x v="0"/>
    <x v="0"/>
    <x v="2"/>
    <x v="1330"/>
    <n v="10436"/>
    <n v="1"/>
    <x v="1"/>
    <n v="24"/>
    <n v="4"/>
    <n v="1"/>
    <x v="1"/>
    <n v="15"/>
    <x v="0"/>
    <n v="4"/>
    <n v="2"/>
    <x v="3"/>
    <n v="12"/>
    <n v="11"/>
    <n v="11"/>
  </r>
  <r>
    <x v="0"/>
    <x v="1"/>
    <x v="0"/>
    <n v="930"/>
    <x v="0"/>
    <n v="3"/>
    <x v="0"/>
    <n v="3"/>
    <s v="Life Sciences"/>
    <n v="2037"/>
    <n v="3"/>
    <x v="1"/>
    <n v="57"/>
    <n v="2"/>
    <n v="2"/>
    <x v="0"/>
    <x v="1"/>
    <x v="2"/>
    <x v="1331"/>
    <n v="12227"/>
    <n v="2"/>
    <x v="1"/>
    <n v="11"/>
    <n v="3"/>
    <n v="3"/>
    <x v="1"/>
    <n v="14"/>
    <x v="0"/>
    <n v="5"/>
    <n v="3"/>
    <x v="2"/>
    <n v="4"/>
    <n v="0"/>
    <n v="4"/>
  </r>
  <r>
    <x v="2"/>
    <x v="1"/>
    <x v="0"/>
    <n v="529"/>
    <x v="1"/>
    <n v="2"/>
    <x v="0"/>
    <n v="3"/>
    <s v="Technical Degree"/>
    <n v="2038"/>
    <n v="4"/>
    <x v="1"/>
    <n v="78"/>
    <n v="3"/>
    <n v="1"/>
    <x v="1"/>
    <x v="3"/>
    <x v="0"/>
    <x v="1234"/>
    <n v="11288"/>
    <n v="1"/>
    <x v="1"/>
    <n v="14"/>
    <n v="3"/>
    <n v="4"/>
    <x v="0"/>
    <n v="4"/>
    <x v="1"/>
    <n v="4"/>
    <n v="3"/>
    <x v="2"/>
    <n v="2"/>
    <n v="1"/>
    <n v="2"/>
  </r>
  <r>
    <x v="2"/>
    <x v="1"/>
    <x v="0"/>
    <n v="1146"/>
    <x v="2"/>
    <n v="26"/>
    <x v="2"/>
    <n v="4"/>
    <s v="Life Sciences"/>
    <n v="2040"/>
    <n v="3"/>
    <x v="0"/>
    <n v="31"/>
    <n v="3"/>
    <n v="3"/>
    <x v="8"/>
    <x v="0"/>
    <x v="0"/>
    <x v="1332"/>
    <n v="16642"/>
    <n v="1"/>
    <x v="0"/>
    <n v="16"/>
    <n v="3"/>
    <n v="3"/>
    <x v="0"/>
    <n v="9"/>
    <x v="0"/>
    <n v="2"/>
    <n v="3"/>
    <x v="0"/>
    <n v="0"/>
    <n v="1"/>
    <n v="7"/>
  </r>
  <r>
    <x v="0"/>
    <x v="1"/>
    <x v="0"/>
    <n v="345"/>
    <x v="0"/>
    <n v="10"/>
    <x v="1"/>
    <n v="2"/>
    <s v="Life Sciences"/>
    <n v="2041"/>
    <n v="1"/>
    <x v="0"/>
    <n v="100"/>
    <n v="3"/>
    <n v="2"/>
    <x v="0"/>
    <x v="0"/>
    <x v="1"/>
    <x v="798"/>
    <n v="5982"/>
    <n v="1"/>
    <x v="1"/>
    <n v="11"/>
    <n v="3"/>
    <n v="3"/>
    <x v="1"/>
    <n v="10"/>
    <x v="0"/>
    <n v="1"/>
    <n v="3"/>
    <x v="0"/>
    <n v="7"/>
    <n v="1"/>
    <n v="9"/>
  </r>
  <r>
    <x v="1"/>
    <x v="0"/>
    <x v="1"/>
    <n v="878"/>
    <x v="0"/>
    <n v="1"/>
    <x v="0"/>
    <n v="4"/>
    <s v="Life Sciences"/>
    <n v="2044"/>
    <n v="2"/>
    <x v="1"/>
    <n v="94"/>
    <n v="3"/>
    <n v="2"/>
    <x v="0"/>
    <x v="2"/>
    <x v="2"/>
    <x v="1333"/>
    <n v="14255"/>
    <n v="7"/>
    <x v="1"/>
    <n v="12"/>
    <n v="3"/>
    <n v="4"/>
    <x v="3"/>
    <n v="12"/>
    <x v="0"/>
    <n v="3"/>
    <n v="3"/>
    <x v="0"/>
    <n v="3"/>
    <n v="0"/>
    <n v="1"/>
  </r>
  <r>
    <x v="0"/>
    <x v="1"/>
    <x v="0"/>
    <n v="1120"/>
    <x v="0"/>
    <n v="11"/>
    <x v="1"/>
    <n v="4"/>
    <s v="Marketing"/>
    <n v="2045"/>
    <n v="2"/>
    <x v="0"/>
    <n v="100"/>
    <n v="2"/>
    <n v="2"/>
    <x v="0"/>
    <x v="0"/>
    <x v="1"/>
    <x v="1334"/>
    <n v="14369"/>
    <n v="4"/>
    <x v="1"/>
    <n v="13"/>
    <n v="3"/>
    <n v="1"/>
    <x v="1"/>
    <n v="8"/>
    <x v="0"/>
    <n v="2"/>
    <n v="2"/>
    <x v="0"/>
    <n v="3"/>
    <n v="0"/>
    <n v="0"/>
  </r>
  <r>
    <x v="0"/>
    <x v="1"/>
    <x v="0"/>
    <n v="374"/>
    <x v="0"/>
    <n v="20"/>
    <x v="2"/>
    <n v="3"/>
    <s v="Life Sciences"/>
    <n v="2046"/>
    <n v="4"/>
    <x v="0"/>
    <n v="50"/>
    <n v="3"/>
    <n v="2"/>
    <x v="0"/>
    <x v="2"/>
    <x v="0"/>
    <x v="1335"/>
    <n v="23333"/>
    <n v="8"/>
    <x v="1"/>
    <n v="15"/>
    <n v="3"/>
    <n v="3"/>
    <x v="0"/>
    <n v="8"/>
    <x v="0"/>
    <n v="3"/>
    <n v="3"/>
    <x v="2"/>
    <n v="3"/>
    <n v="0"/>
    <n v="1"/>
  </r>
  <r>
    <x v="0"/>
    <x v="1"/>
    <x v="0"/>
    <n v="1322"/>
    <x v="1"/>
    <n v="2"/>
    <x v="0"/>
    <n v="4"/>
    <s v="Life Sciences"/>
    <n v="2048"/>
    <n v="3"/>
    <x v="1"/>
    <n v="52"/>
    <n v="2"/>
    <n v="1"/>
    <x v="1"/>
    <x v="2"/>
    <x v="0"/>
    <x v="1336"/>
    <n v="2725"/>
    <n v="2"/>
    <x v="1"/>
    <n v="14"/>
    <n v="3"/>
    <n v="4"/>
    <x v="0"/>
    <n v="8"/>
    <x v="0"/>
    <n v="2"/>
    <n v="3"/>
    <x v="1"/>
    <n v="2"/>
    <n v="2"/>
    <n v="2"/>
  </r>
  <r>
    <x v="2"/>
    <x v="1"/>
    <x v="1"/>
    <n v="1199"/>
    <x v="1"/>
    <n v="18"/>
    <x v="2"/>
    <n v="4"/>
    <s v="Life Sciences"/>
    <n v="2049"/>
    <n v="3"/>
    <x v="1"/>
    <n v="80"/>
    <n v="3"/>
    <n v="2"/>
    <x v="4"/>
    <x v="2"/>
    <x v="1"/>
    <x v="1337"/>
    <n v="24594"/>
    <n v="1"/>
    <x v="0"/>
    <n v="14"/>
    <n v="3"/>
    <n v="4"/>
    <x v="3"/>
    <n v="10"/>
    <x v="0"/>
    <n v="2"/>
    <n v="4"/>
    <x v="0"/>
    <n v="2"/>
    <n v="0"/>
    <n v="2"/>
  </r>
  <r>
    <x v="0"/>
    <x v="1"/>
    <x v="0"/>
    <n v="1194"/>
    <x v="1"/>
    <n v="2"/>
    <x v="0"/>
    <n v="4"/>
    <s v="Medical"/>
    <n v="2051"/>
    <n v="3"/>
    <x v="0"/>
    <n v="98"/>
    <n v="3"/>
    <n v="1"/>
    <x v="1"/>
    <x v="2"/>
    <x v="1"/>
    <x v="1338"/>
    <n v="12549"/>
    <n v="2"/>
    <x v="1"/>
    <n v="14"/>
    <n v="3"/>
    <n v="2"/>
    <x v="2"/>
    <n v="20"/>
    <x v="2"/>
    <n v="2"/>
    <n v="3"/>
    <x v="2"/>
    <n v="3"/>
    <n v="0"/>
    <n v="2"/>
  </r>
  <r>
    <x v="2"/>
    <x v="1"/>
    <x v="0"/>
    <n v="287"/>
    <x v="1"/>
    <n v="1"/>
    <x v="0"/>
    <n v="4"/>
    <s v="Life Sciences"/>
    <n v="2052"/>
    <n v="3"/>
    <x v="0"/>
    <n v="62"/>
    <n v="1"/>
    <n v="1"/>
    <x v="1"/>
    <x v="0"/>
    <x v="1"/>
    <x v="1339"/>
    <n v="8952"/>
    <n v="1"/>
    <x v="1"/>
    <n v="12"/>
    <n v="3"/>
    <n v="4"/>
    <x v="1"/>
    <n v="4"/>
    <x v="1"/>
    <n v="5"/>
    <n v="3"/>
    <x v="2"/>
    <n v="3"/>
    <n v="1"/>
    <n v="1"/>
  </r>
  <r>
    <x v="2"/>
    <x v="1"/>
    <x v="0"/>
    <n v="1378"/>
    <x v="1"/>
    <n v="13"/>
    <x v="1"/>
    <n v="2"/>
    <s v="Other"/>
    <n v="2053"/>
    <n v="4"/>
    <x v="1"/>
    <n v="46"/>
    <n v="2"/>
    <n v="2"/>
    <x v="2"/>
    <x v="1"/>
    <x v="1"/>
    <x v="717"/>
    <n v="23679"/>
    <n v="4"/>
    <x v="0"/>
    <n v="13"/>
    <n v="3"/>
    <n v="1"/>
    <x v="1"/>
    <n v="10"/>
    <x v="0"/>
    <n v="2"/>
    <n v="3"/>
    <x v="2"/>
    <n v="3"/>
    <n v="0"/>
    <n v="3"/>
  </r>
  <r>
    <x v="2"/>
    <x v="1"/>
    <x v="0"/>
    <n v="468"/>
    <x v="1"/>
    <n v="28"/>
    <x v="2"/>
    <n v="4"/>
    <s v="Medical"/>
    <n v="2054"/>
    <n v="4"/>
    <x v="0"/>
    <n v="73"/>
    <n v="2"/>
    <n v="1"/>
    <x v="1"/>
    <x v="3"/>
    <x v="0"/>
    <x v="1340"/>
    <n v="8489"/>
    <n v="1"/>
    <x v="1"/>
    <n v="14"/>
    <n v="3"/>
    <n v="2"/>
    <x v="0"/>
    <n v="5"/>
    <x v="1"/>
    <n v="3"/>
    <n v="1"/>
    <x v="2"/>
    <n v="4"/>
    <n v="0"/>
    <n v="4"/>
  </r>
  <r>
    <x v="1"/>
    <x v="0"/>
    <x v="0"/>
    <n v="410"/>
    <x v="0"/>
    <n v="28"/>
    <x v="2"/>
    <n v="3"/>
    <s v="Marketing"/>
    <n v="2055"/>
    <n v="4"/>
    <x v="1"/>
    <n v="39"/>
    <n v="2"/>
    <n v="3"/>
    <x v="0"/>
    <x v="3"/>
    <x v="2"/>
    <x v="1341"/>
    <n v="16586"/>
    <n v="4"/>
    <x v="0"/>
    <n v="13"/>
    <n v="3"/>
    <n v="2"/>
    <x v="1"/>
    <n v="20"/>
    <x v="2"/>
    <n v="3"/>
    <n v="3"/>
    <x v="2"/>
    <n v="2"/>
    <n v="2"/>
    <n v="0"/>
  </r>
  <r>
    <x v="0"/>
    <x v="1"/>
    <x v="0"/>
    <n v="722"/>
    <x v="0"/>
    <n v="24"/>
    <x v="2"/>
    <n v="1"/>
    <s v="Marketing"/>
    <n v="2056"/>
    <n v="2"/>
    <x v="0"/>
    <n v="60"/>
    <n v="2"/>
    <n v="4"/>
    <x v="0"/>
    <x v="0"/>
    <x v="1"/>
    <x v="1342"/>
    <n v="8828"/>
    <n v="0"/>
    <x v="1"/>
    <n v="11"/>
    <n v="3"/>
    <n v="1"/>
    <x v="1"/>
    <n v="21"/>
    <x v="2"/>
    <n v="2"/>
    <n v="2"/>
    <x v="3"/>
    <n v="9"/>
    <n v="9"/>
    <n v="6"/>
  </r>
  <r>
    <x v="2"/>
    <x v="1"/>
    <x v="2"/>
    <n v="325"/>
    <x v="1"/>
    <n v="5"/>
    <x v="0"/>
    <n v="3"/>
    <s v="Medical"/>
    <n v="2057"/>
    <n v="2"/>
    <x v="1"/>
    <n v="74"/>
    <n v="3"/>
    <n v="2"/>
    <x v="3"/>
    <x v="3"/>
    <x v="0"/>
    <x v="1343"/>
    <n v="3787"/>
    <n v="0"/>
    <x v="1"/>
    <n v="19"/>
    <n v="3"/>
    <n v="2"/>
    <x v="0"/>
    <n v="10"/>
    <x v="0"/>
    <n v="2"/>
    <n v="3"/>
    <x v="0"/>
    <n v="4"/>
    <n v="1"/>
    <n v="7"/>
  </r>
  <r>
    <x v="2"/>
    <x v="1"/>
    <x v="0"/>
    <n v="1167"/>
    <x v="0"/>
    <n v="5"/>
    <x v="0"/>
    <n v="3"/>
    <s v="Other"/>
    <n v="2060"/>
    <n v="4"/>
    <x v="0"/>
    <n v="30"/>
    <n v="2"/>
    <n v="1"/>
    <x v="6"/>
    <x v="2"/>
    <x v="0"/>
    <x v="1344"/>
    <n v="21378"/>
    <n v="0"/>
    <x v="1"/>
    <n v="18"/>
    <n v="3"/>
    <n v="4"/>
    <x v="0"/>
    <n v="5"/>
    <x v="1"/>
    <n v="2"/>
    <n v="3"/>
    <x v="2"/>
    <n v="2"/>
    <n v="0"/>
    <n v="0"/>
  </r>
  <r>
    <x v="0"/>
    <x v="1"/>
    <x v="1"/>
    <n v="884"/>
    <x v="1"/>
    <n v="23"/>
    <x v="2"/>
    <n v="2"/>
    <s v="Medical"/>
    <n v="2061"/>
    <n v="3"/>
    <x v="1"/>
    <n v="41"/>
    <n v="4"/>
    <n v="2"/>
    <x v="2"/>
    <x v="0"/>
    <x v="1"/>
    <x v="1345"/>
    <n v="12290"/>
    <n v="4"/>
    <x v="1"/>
    <n v="17"/>
    <n v="3"/>
    <n v="3"/>
    <x v="1"/>
    <n v="17"/>
    <x v="2"/>
    <n v="3"/>
    <n v="3"/>
    <x v="2"/>
    <n v="2"/>
    <n v="0"/>
    <n v="3"/>
  </r>
  <r>
    <x v="0"/>
    <x v="1"/>
    <x v="0"/>
    <n v="613"/>
    <x v="1"/>
    <n v="6"/>
    <x v="1"/>
    <n v="1"/>
    <s v="Medical"/>
    <n v="2062"/>
    <n v="4"/>
    <x v="1"/>
    <n v="42"/>
    <n v="2"/>
    <n v="3"/>
    <x v="4"/>
    <x v="3"/>
    <x v="1"/>
    <x v="1346"/>
    <n v="21457"/>
    <n v="4"/>
    <x v="1"/>
    <n v="15"/>
    <n v="3"/>
    <n v="1"/>
    <x v="1"/>
    <n v="9"/>
    <x v="0"/>
    <n v="5"/>
    <n v="3"/>
    <x v="0"/>
    <n v="7"/>
    <n v="1"/>
    <n v="7"/>
  </r>
  <r>
    <x v="2"/>
    <x v="1"/>
    <x v="0"/>
    <n v="155"/>
    <x v="1"/>
    <n v="4"/>
    <x v="0"/>
    <n v="3"/>
    <s v="Life Sciences"/>
    <n v="2064"/>
    <n v="2"/>
    <x v="1"/>
    <n v="87"/>
    <n v="4"/>
    <n v="2"/>
    <x v="3"/>
    <x v="1"/>
    <x v="1"/>
    <x v="528"/>
    <n v="5174"/>
    <n v="1"/>
    <x v="0"/>
    <n v="20"/>
    <n v="4"/>
    <n v="2"/>
    <x v="1"/>
    <n v="6"/>
    <x v="0"/>
    <n v="0"/>
    <n v="3"/>
    <x v="0"/>
    <n v="2"/>
    <n v="0"/>
    <n v="3"/>
  </r>
  <r>
    <x v="1"/>
    <x v="1"/>
    <x v="1"/>
    <n v="1023"/>
    <x v="0"/>
    <n v="2"/>
    <x v="0"/>
    <n v="3"/>
    <s v="Medical"/>
    <n v="2065"/>
    <n v="4"/>
    <x v="1"/>
    <n v="63"/>
    <n v="2"/>
    <n v="2"/>
    <x v="0"/>
    <x v="1"/>
    <x v="1"/>
    <x v="1347"/>
    <n v="13243"/>
    <n v="2"/>
    <x v="1"/>
    <n v="14"/>
    <n v="3"/>
    <n v="4"/>
    <x v="0"/>
    <n v="17"/>
    <x v="2"/>
    <n v="3"/>
    <n v="2"/>
    <x v="0"/>
    <n v="6"/>
    <n v="0"/>
    <n v="8"/>
  </r>
  <r>
    <x v="2"/>
    <x v="1"/>
    <x v="0"/>
    <n v="628"/>
    <x v="1"/>
    <n v="8"/>
    <x v="1"/>
    <n v="3"/>
    <s v="Medical"/>
    <n v="2068"/>
    <n v="2"/>
    <x v="1"/>
    <n v="82"/>
    <n v="4"/>
    <n v="2"/>
    <x v="2"/>
    <x v="2"/>
    <x v="1"/>
    <x v="1348"/>
    <n v="10228"/>
    <n v="2"/>
    <x v="1"/>
    <n v="12"/>
    <n v="3"/>
    <n v="1"/>
    <x v="0"/>
    <n v="6"/>
    <x v="0"/>
    <n v="3"/>
    <n v="4"/>
    <x v="2"/>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54:X65" firstHeaderRow="1" firstDataRow="2" firstDataCol="1"/>
  <pivotFields count="34">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Attrition"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45:X51" firstHeaderRow="1" firstDataRow="2" firstDataCol="1"/>
  <pivotFields count="34">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Count of Attrition" fld="1" subtotal="count" baseField="3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45:S51" firstHeaderRow="1" firstDataRow="2" firstDataCol="1"/>
  <pivotFields count="34">
    <pivotField axis="axisRow" showAll="0">
      <items count="5">
        <item x="3"/>
        <item x="2"/>
        <item x="0"/>
        <item x="1"/>
        <item t="default"/>
      </items>
    </pivotField>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35:X40" firstHeaderRow="1" firstDataRow="2" firstDataCol="1"/>
  <pivotFields count="34">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473030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5:N51" firstHeaderRow="1" firstDataRow="2" firstDataCol="1"/>
  <pivotFields count="34">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Count of Attrition"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2:B30" firstHeaderRow="1"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18"/>
  </rowFields>
  <rowItems count="8">
    <i>
      <x v="1"/>
    </i>
    <i>
      <x v="2"/>
    </i>
    <i>
      <x v="3"/>
    </i>
    <i>
      <x v="4"/>
    </i>
    <i>
      <x v="5"/>
    </i>
    <i>
      <x v="6"/>
    </i>
    <i>
      <x v="7"/>
    </i>
    <i t="grand">
      <x/>
    </i>
  </rowItems>
  <colItems count="1">
    <i/>
  </colItems>
  <dataFields count="1">
    <dataField name="Average of Attrition" fld="1" subtotal="average" baseField="17" baseItem="1" numFmtId="9"/>
  </dataFields>
  <formats count="8">
    <format dxfId="80">
      <pivotArea outline="0" collapsedLevelsAreSubtotals="1" fieldPosition="0">
        <references count="1">
          <reference field="4294967294" count="1" selected="0">
            <x v="0"/>
          </reference>
        </references>
      </pivotArea>
    </format>
    <format dxfId="79">
      <pivotArea outline="0" collapsedLevelsAreSubtotals="1" fieldPosition="0">
        <references count="1">
          <reference field="4294967294" count="1" selected="0">
            <x v="0"/>
          </reference>
        </references>
      </pivotArea>
    </format>
    <format dxfId="78">
      <pivotArea outline="0" collapsedLevelsAreSubtotals="1" fieldPosition="0">
        <references count="1">
          <reference field="4294967294" count="1" selected="0">
            <x v="0"/>
          </reference>
        </references>
      </pivotArea>
    </format>
    <format dxfId="77">
      <pivotArea outline="0" collapsedLevelsAreSubtotals="1" fieldPosition="0">
        <references count="1">
          <reference field="4294967294" count="1" selected="0">
            <x v="0"/>
          </reference>
        </references>
      </pivotArea>
    </format>
    <format dxfId="76">
      <pivotArea outline="0" collapsedLevelsAreSubtotals="1" fieldPosition="0">
        <references count="1">
          <reference field="4294967294" count="1" selected="0">
            <x v="0"/>
          </reference>
        </references>
      </pivotArea>
    </format>
    <format dxfId="75">
      <pivotArea outline="0" collapsedLevelsAreSubtotals="1" fieldPosition="0">
        <references count="1">
          <reference field="4294967294" count="1" selected="0">
            <x v="0"/>
          </reference>
        </references>
      </pivotArea>
    </format>
    <format dxfId="74">
      <pivotArea outline="0" collapsedLevelsAreSubtotals="1" fieldPosition="0">
        <references count="1">
          <reference field="4294967294" count="1" selected="0">
            <x v="0"/>
          </reference>
        </references>
      </pivotArea>
    </format>
    <format dxfId="1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H6" firstHeaderRow="0"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11"/>
  </rowFields>
  <rowItems count="3">
    <i>
      <x/>
    </i>
    <i>
      <x v="1"/>
    </i>
    <i t="grand">
      <x/>
    </i>
  </rowItems>
  <colFields count="1">
    <field x="-2"/>
  </colFields>
  <colItems count="2">
    <i>
      <x/>
    </i>
    <i i="1">
      <x v="1"/>
    </i>
  </colItems>
  <dataFields count="2">
    <dataField name="Average of Attrition" fld="1" subtotal="average" baseField="10" baseItem="0" numFmtId="9"/>
    <dataField name="Count of Attrition2" fld="1" subtotal="count" baseField="10" baseItem="0"/>
  </dataFields>
  <formats count="8">
    <format dxfId="87">
      <pivotArea outline="0" collapsedLevelsAreSubtotals="1" fieldPosition="0">
        <references count="1">
          <reference field="4294967294" count="1" selected="0">
            <x v="0"/>
          </reference>
        </references>
      </pivotArea>
    </format>
    <format dxfId="86">
      <pivotArea outline="0" collapsedLevelsAreSubtotals="1" fieldPosition="0">
        <references count="1">
          <reference field="4294967294" count="1" selected="0">
            <x v="0"/>
          </reference>
        </references>
      </pivotArea>
    </format>
    <format dxfId="85">
      <pivotArea outline="0" collapsedLevelsAreSubtotals="1" fieldPosition="0">
        <references count="1">
          <reference field="4294967294" count="1" selected="0">
            <x v="0"/>
          </reference>
        </references>
      </pivotArea>
    </format>
    <format dxfId="84">
      <pivotArea outline="0" collapsedLevelsAreSubtotals="1" fieldPosition="0">
        <references count="1">
          <reference field="4294967294" count="1" selected="0">
            <x v="0"/>
          </reference>
        </references>
      </pivotArea>
    </format>
    <format dxfId="83">
      <pivotArea outline="0" collapsedLevelsAreSubtotals="1" fieldPosition="0">
        <references count="1">
          <reference field="4294967294" count="1" selected="0">
            <x v="0"/>
          </reference>
        </references>
      </pivotArea>
    </format>
    <format dxfId="82">
      <pivotArea outline="0" collapsedLevelsAreSubtotals="1" fieldPosition="0">
        <references count="1">
          <reference field="4294967294" count="1" selected="0">
            <x v="0"/>
          </reference>
        </references>
      </pivotArea>
    </format>
    <format dxfId="81">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M7" firstHeaderRow="0"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17"/>
  </rowFields>
  <rowItems count="4">
    <i>
      <x/>
    </i>
    <i>
      <x v="1"/>
    </i>
    <i>
      <x v="2"/>
    </i>
    <i t="grand">
      <x/>
    </i>
  </rowItems>
  <colFields count="1">
    <field x="-2"/>
  </colFields>
  <colItems count="2">
    <i>
      <x/>
    </i>
    <i i="1">
      <x v="1"/>
    </i>
  </colItems>
  <dataFields count="2">
    <dataField name="Average of Attrition" fld="1" subtotal="average" baseField="16" baseItem="0" numFmtId="9"/>
    <dataField name="Count of Attrition2" fld="1" subtotal="count" baseField="16" baseItem="0"/>
  </dataFields>
  <formats count="8">
    <format dxfId="94">
      <pivotArea outline="0" collapsedLevelsAreSubtotals="1" fieldPosition="0">
        <references count="1">
          <reference field="4294967294" count="1" selected="0">
            <x v="0"/>
          </reference>
        </references>
      </pivotArea>
    </format>
    <format dxfId="93">
      <pivotArea outline="0" collapsedLevelsAreSubtotals="1" fieldPosition="0">
        <references count="1">
          <reference field="4294967294" count="1" selected="0">
            <x v="0"/>
          </reference>
        </references>
      </pivotArea>
    </format>
    <format dxfId="92">
      <pivotArea outline="0" collapsedLevelsAreSubtotals="1" fieldPosition="0">
        <references count="1">
          <reference field="4294967294" count="1" selected="0">
            <x v="0"/>
          </reference>
        </references>
      </pivotArea>
    </format>
    <format dxfId="91">
      <pivotArea outline="0" collapsedLevelsAreSubtotals="1" fieldPosition="0">
        <references count="1">
          <reference field="4294967294" count="1" selected="0">
            <x v="0"/>
          </reference>
        </references>
      </pivotArea>
    </format>
    <format dxfId="90">
      <pivotArea outline="0" collapsedLevelsAreSubtotals="1" fieldPosition="0">
        <references count="1">
          <reference field="4294967294" count="1" selected="0">
            <x v="0"/>
          </reference>
        </references>
      </pivotArea>
    </format>
    <format dxfId="89">
      <pivotArea outline="0" collapsedLevelsAreSubtotals="1" fieldPosition="0">
        <references count="1">
          <reference field="4294967294" count="1" selected="0">
            <x v="0"/>
          </reference>
        </references>
      </pivotArea>
    </format>
    <format dxfId="88">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45:H50" firstHeaderRow="0"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16"/>
  </rowFields>
  <rowItems count="5">
    <i>
      <x/>
    </i>
    <i>
      <x v="1"/>
    </i>
    <i>
      <x v="2"/>
    </i>
    <i>
      <x v="3"/>
    </i>
    <i t="grand">
      <x/>
    </i>
  </rowItems>
  <colFields count="1">
    <field x="-2"/>
  </colFields>
  <colItems count="2">
    <i>
      <x/>
    </i>
    <i i="1">
      <x v="1"/>
    </i>
  </colItems>
  <dataFields count="2">
    <dataField name="Average of Attrition" fld="1" subtotal="average" baseField="15" baseItem="0" numFmtId="9"/>
    <dataField name="Count of Attrition2" fld="1" subtotal="count" baseField="15" baseItem="0"/>
  </dataFields>
  <formats count="8">
    <format dxfId="101">
      <pivotArea outline="0" collapsedLevelsAreSubtotals="1" fieldPosition="0">
        <references count="1">
          <reference field="4294967294" count="1" selected="0">
            <x v="0"/>
          </reference>
        </references>
      </pivotArea>
    </format>
    <format dxfId="100">
      <pivotArea outline="0" collapsedLevelsAreSubtotals="1" fieldPosition="0">
        <references count="1">
          <reference field="4294967294" count="1" selected="0">
            <x v="0"/>
          </reference>
        </references>
      </pivotArea>
    </format>
    <format dxfId="99">
      <pivotArea outline="0" collapsedLevelsAreSubtotals="1" fieldPosition="0">
        <references count="1">
          <reference field="4294967294" count="1" selected="0">
            <x v="0"/>
          </reference>
        </references>
      </pivotArea>
    </format>
    <format dxfId="98">
      <pivotArea outline="0" collapsedLevelsAreSubtotals="1" fieldPosition="0">
        <references count="1">
          <reference field="4294967294" count="1" selected="0">
            <x v="0"/>
          </reference>
        </references>
      </pivotArea>
    </format>
    <format dxfId="97">
      <pivotArea outline="0" collapsedLevelsAreSubtotals="1" fieldPosition="0">
        <references count="1">
          <reference field="4294967294" count="1" selected="0">
            <x v="0"/>
          </reference>
        </references>
      </pivotArea>
    </format>
    <format dxfId="96">
      <pivotArea outline="0" collapsedLevelsAreSubtotals="1" fieldPosition="0">
        <references count="1">
          <reference field="4294967294" count="1" selected="0">
            <x v="0"/>
          </reference>
        </references>
      </pivotArea>
    </format>
    <format dxfId="9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2:I26" firstHeaderRow="1" firstDataRow="2" firstDataCol="1"/>
  <pivotFields count="34">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21"/>
  </rowFields>
  <rowItems count="3">
    <i>
      <x/>
    </i>
    <i>
      <x v="1"/>
    </i>
    <i t="grand">
      <x/>
    </i>
  </rowItems>
  <colFields count="1">
    <field x="1"/>
  </colFields>
  <colItems count="3">
    <i>
      <x/>
    </i>
    <i>
      <x v="1"/>
    </i>
    <i t="grand">
      <x/>
    </i>
  </colItems>
  <dataFields count="1">
    <dataField name="Count of EmployeeNumber" fld="9"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55:I60" firstHeaderRow="1" firstDataRow="2" firstDataCol="1"/>
  <pivotFields count="34">
    <pivotField showAll="0"/>
    <pivotField axis="axisCol" dataField="1"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Attrition"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35:S40" firstHeaderRow="1" firstDataRow="2" firstDataCol="1"/>
  <pivotFields count="34">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s>
  <rowFields count="1">
    <field x="27"/>
  </rowFields>
  <rowItems count="4">
    <i>
      <x/>
    </i>
    <i>
      <x v="1"/>
    </i>
    <i>
      <x v="2"/>
    </i>
    <i t="grand">
      <x/>
    </i>
  </rowItems>
  <colFields count="1">
    <field x="1"/>
  </colFields>
  <colItems count="3">
    <i>
      <x/>
    </i>
    <i>
      <x v="1"/>
    </i>
    <i t="grand">
      <x/>
    </i>
  </colItems>
  <dataFields count="1">
    <dataField name="Count of Attrition" fld="1" subtotal="count" baseField="2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5:B55" firstHeaderRow="1"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15"/>
  </rowFields>
  <rowItems count="10">
    <i>
      <x v="5"/>
    </i>
    <i>
      <x v="3"/>
    </i>
    <i>
      <x/>
    </i>
    <i>
      <x v="4"/>
    </i>
    <i>
      <x v="6"/>
    </i>
    <i>
      <x v="7"/>
    </i>
    <i>
      <x v="1"/>
    </i>
    <i>
      <x v="2"/>
    </i>
    <i>
      <x v="8"/>
    </i>
    <i t="grand">
      <x/>
    </i>
  </rowItems>
  <colItems count="1">
    <i/>
  </colItems>
  <dataFields count="1">
    <dataField name="Average of Attrition" fld="1" subtotal="average" baseField="14" baseItem="0" numFmtId="9"/>
  </dataFields>
  <formats count="7">
    <format dxfId="107">
      <pivotArea outline="0" collapsedLevelsAreSubtotals="1" fieldPosition="0">
        <references count="1">
          <reference field="4294967294" count="1" selected="0">
            <x v="0"/>
          </reference>
        </references>
      </pivotArea>
    </format>
    <format dxfId="106">
      <pivotArea outline="0" collapsedLevelsAreSubtotals="1" fieldPosition="0">
        <references count="1">
          <reference field="4294967294" count="1" selected="0">
            <x v="0"/>
          </reference>
        </references>
      </pivotArea>
    </format>
    <format dxfId="105">
      <pivotArea outline="0" collapsedLevelsAreSubtotals="1" fieldPosition="0">
        <references count="1">
          <reference field="4294967294" count="1" selected="0">
            <x v="0"/>
          </reference>
        </references>
      </pivotArea>
    </format>
    <format dxfId="104">
      <pivotArea outline="0" collapsedLevelsAreSubtotals="1" fieldPosition="0">
        <references count="1">
          <reference field="4294967294" count="1" selected="0">
            <x v="0"/>
          </reference>
        </references>
      </pivotArea>
    </format>
    <format dxfId="103">
      <pivotArea outline="0" collapsedLevelsAreSubtotals="1" fieldPosition="0">
        <references count="1">
          <reference field="4294967294" count="1" selected="0">
            <x v="0"/>
          </reference>
        </references>
      </pivotArea>
    </format>
    <format dxfId="102">
      <pivotArea outline="0" collapsedLevelsAreSubtotals="1" fieldPosition="0">
        <references count="1">
          <reference field="4294967294" count="1" selected="0">
            <x v="0"/>
          </reference>
        </references>
      </pivotArea>
    </format>
    <format dxfId="8">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34">
    <pivotField showAll="0"/>
    <pivotField dataField="1" showAll="0"/>
    <pivotField showAll="0"/>
    <pivotField showAll="0"/>
    <pivotField axis="axisRow"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Attrition" fld="1" subtotal="average" baseField="4" baseItem="0" numFmtId="9"/>
  </dataFields>
  <formats count="7">
    <format dxfId="113">
      <pivotArea outline="0" collapsedLevelsAreSubtotals="1" fieldPosition="0">
        <references count="1">
          <reference field="4294967294" count="1" selected="0">
            <x v="0"/>
          </reference>
        </references>
      </pivotArea>
    </format>
    <format dxfId="112">
      <pivotArea outline="0" collapsedLevelsAreSubtotals="1" fieldPosition="0">
        <references count="1">
          <reference field="4294967294" count="1" selected="0">
            <x v="0"/>
          </reference>
        </references>
      </pivotArea>
    </format>
    <format dxfId="111">
      <pivotArea outline="0" collapsedLevelsAreSubtotals="1" fieldPosition="0">
        <references count="1">
          <reference field="4294967294" count="1" selected="0">
            <x v="0"/>
          </reference>
        </references>
      </pivotArea>
    </format>
    <format dxfId="110">
      <pivotArea outline="0" collapsedLevelsAreSubtotals="1" fieldPosition="0">
        <references count="1">
          <reference field="4294967294" count="1" selected="0">
            <x v="0"/>
          </reference>
        </references>
      </pivotArea>
    </format>
    <format dxfId="109">
      <pivotArea outline="0" collapsedLevelsAreSubtotals="1" fieldPosition="0">
        <references count="1">
          <reference field="4294967294" count="1" selected="0">
            <x v="0"/>
          </reference>
        </references>
      </pivotArea>
    </format>
    <format dxfId="108">
      <pivotArea outline="0" collapsedLevelsAreSubtotals="1" fieldPosition="0">
        <references count="1">
          <reference field="4294967294" count="1" selected="0">
            <x v="0"/>
          </reference>
        </references>
      </pivotArea>
    </format>
    <format dxfId="12">
      <pivotArea outline="0" collapsedLevelsAreSubtotals="1" fieldPosition="0"/>
    </format>
  </formats>
  <chartFormats count="2">
    <chartFormat chart="2" format="14"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5:M39" firstHeaderRow="0" firstDataRow="1" firstDataCol="1"/>
  <pivotFields count="34">
    <pivotField showAll="0"/>
    <pivotField dataField="1"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defaultSubtotal="0">
      <items count="3">
        <item x="1"/>
        <item x="0"/>
        <item x="2"/>
      </items>
    </pivotField>
    <pivotField showAll="0"/>
    <pivotField showAll="0"/>
    <pivotField showAll="0"/>
    <pivotField showAll="0"/>
    <pivotField showAll="0"/>
    <pivotField showAll="0"/>
  </pivotFields>
  <rowFields count="1">
    <field x="27"/>
  </rowFields>
  <rowItems count="4">
    <i>
      <x/>
    </i>
    <i>
      <x v="1"/>
    </i>
    <i>
      <x v="2"/>
    </i>
    <i t="grand">
      <x/>
    </i>
  </rowItems>
  <colFields count="1">
    <field x="-2"/>
  </colFields>
  <colItems count="2">
    <i>
      <x/>
    </i>
    <i i="1">
      <x v="1"/>
    </i>
  </colItems>
  <dataFields count="2">
    <dataField name="Average of Attrition" fld="1" subtotal="average" baseField="27" baseItem="0" numFmtId="9"/>
    <dataField name="Count of Attrition2" fld="1" subtotal="count" baseField="27" baseItem="0"/>
  </dataFields>
  <formats count="8">
    <format dxfId="120">
      <pivotArea outline="0" collapsedLevelsAreSubtotals="1" fieldPosition="0">
        <references count="1">
          <reference field="4294967294" count="1" selected="0">
            <x v="0"/>
          </reference>
        </references>
      </pivotArea>
    </format>
    <format dxfId="119">
      <pivotArea outline="0" collapsedLevelsAreSubtotals="1" fieldPosition="0">
        <references count="1">
          <reference field="4294967294" count="1" selected="0">
            <x v="0"/>
          </reference>
        </references>
      </pivotArea>
    </format>
    <format dxfId="118">
      <pivotArea outline="0" collapsedLevelsAreSubtotals="1" fieldPosition="0">
        <references count="1">
          <reference field="4294967294" count="1" selected="0">
            <x v="0"/>
          </reference>
        </references>
      </pivotArea>
    </format>
    <format dxfId="117">
      <pivotArea outline="0" collapsedLevelsAreSubtotals="1" fieldPosition="0">
        <references count="1">
          <reference field="4294967294" count="1" selected="0">
            <x v="0"/>
          </reference>
        </references>
      </pivotArea>
    </format>
    <format dxfId="116">
      <pivotArea outline="0" collapsedLevelsAreSubtotals="1" fieldPosition="0">
        <references count="1">
          <reference field="4294967294" count="1" selected="0">
            <x v="0"/>
          </reference>
        </references>
      </pivotArea>
    </format>
    <format dxfId="115">
      <pivotArea outline="0" collapsedLevelsAreSubtotals="1" fieldPosition="0">
        <references count="1">
          <reference field="4294967294" count="1" selected="0">
            <x v="0"/>
          </reference>
        </references>
      </pivotArea>
    </format>
    <format dxfId="114">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S4" firstHeaderRow="1" firstDataRow="1" firstDataCol="0"/>
  <pivotFields count="34">
    <pivotField showAll="0"/>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7961889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22:X31" firstHeaderRow="1" firstDataRow="2" firstDataCol="1"/>
  <pivotFields count="34">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8">
    <i>
      <x v="1"/>
    </i>
    <i>
      <x v="2"/>
    </i>
    <i>
      <x v="3"/>
    </i>
    <i>
      <x v="4"/>
    </i>
    <i>
      <x v="5"/>
    </i>
    <i>
      <x v="6"/>
    </i>
    <i>
      <x v="7"/>
    </i>
    <i t="grand">
      <x/>
    </i>
  </rowItems>
  <colFields count="1">
    <field x="1"/>
  </colFields>
  <colItems count="3">
    <i>
      <x/>
    </i>
    <i>
      <x v="1"/>
    </i>
    <i t="grand">
      <x/>
    </i>
  </colItems>
  <dataFields count="1">
    <dataField name="Count of Attrition" fld="1" subtotal="count" baseField="1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35:G39" firstHeaderRow="1" firstDataRow="1" firstDataCol="1"/>
  <pivotFields count="34">
    <pivotField showAll="0"/>
    <pivotField dataField="1" showAll="0"/>
    <pivotField axis="axisRow" showAll="0">
      <items count="4">
        <item x="2"/>
        <item x="1"/>
        <item x="0"/>
        <item t="default"/>
      </items>
    </pivotField>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Attrition" fld="1" subtotal="average" baseField="2" baseItem="0" numFmtId="9"/>
  </dataFields>
  <formats count="5">
    <format dxfId="124">
      <pivotArea outline="0" collapsedLevelsAreSubtotals="1" fieldPosition="0">
        <references count="1">
          <reference field="4294967294" count="1" selected="0">
            <x v="0"/>
          </reference>
        </references>
      </pivotArea>
    </format>
    <format dxfId="123">
      <pivotArea outline="0" collapsedLevelsAreSubtotals="1" fieldPosition="0">
        <references count="1">
          <reference field="4294967294" count="1" selected="0">
            <x v="0"/>
          </reference>
        </references>
      </pivotArea>
    </format>
    <format dxfId="122">
      <pivotArea outline="0" collapsedLevelsAreSubtotals="1" fieldPosition="0">
        <references count="1">
          <reference field="4294967294" count="1" selected="0">
            <x v="0"/>
          </reference>
        </references>
      </pivotArea>
    </format>
    <format dxfId="121">
      <pivotArea outline="0" collapsedLevelsAreSubtotals="1" fieldPosition="0">
        <references count="1">
          <reference field="4294967294" count="1" selected="0">
            <x v="0"/>
          </reference>
        </references>
      </pivotArea>
    </format>
    <format dxfId="5">
      <pivotArea outline="0" collapsedLevelsAreSubtotals="1" fieldPosition="0"/>
    </format>
  </formats>
  <chartFormats count="2">
    <chartFormat chart="2" format="13"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2:B15" firstHeaderRow="1"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21"/>
  </rowFields>
  <rowItems count="3">
    <i>
      <x/>
    </i>
    <i>
      <x v="1"/>
    </i>
    <i t="grand">
      <x/>
    </i>
  </rowItems>
  <colItems count="1">
    <i/>
  </colItems>
  <dataFields count="1">
    <dataField name="Average of Attrition" fld="1" subtotal="average" baseField="20" baseItem="0" numFmtId="9"/>
  </dataFields>
  <formats count="8">
    <format dxfId="131">
      <pivotArea outline="0" collapsedLevelsAreSubtotals="1" fieldPosition="0">
        <references count="1">
          <reference field="4294967294" count="1" selected="0">
            <x v="0"/>
          </reference>
        </references>
      </pivotArea>
    </format>
    <format dxfId="130">
      <pivotArea outline="0" collapsedLevelsAreSubtotals="1" fieldPosition="0">
        <references count="1">
          <reference field="4294967294" count="1" selected="0">
            <x v="0"/>
          </reference>
        </references>
      </pivotArea>
    </format>
    <format dxfId="129">
      <pivotArea outline="0" collapsedLevelsAreSubtotals="1" fieldPosition="0">
        <references count="1">
          <reference field="4294967294" count="1" selected="0">
            <x v="0"/>
          </reference>
        </references>
      </pivotArea>
    </format>
    <format dxfId="128">
      <pivotArea outline="0" collapsedLevelsAreSubtotals="1" fieldPosition="0">
        <references count="1">
          <reference field="4294967294" count="1" selected="0">
            <x v="0"/>
          </reference>
        </references>
      </pivotArea>
    </format>
    <format dxfId="127">
      <pivotArea outline="0" collapsedLevelsAreSubtotals="1" fieldPosition="0">
        <references count="1">
          <reference field="4294967294" count="1" selected="0">
            <x v="0"/>
          </reference>
        </references>
      </pivotArea>
    </format>
    <format dxfId="126">
      <pivotArea outline="0" collapsedLevelsAreSubtotals="1" fieldPosition="0">
        <references count="1">
          <reference field="4294967294" count="1" selected="0">
            <x v="0"/>
          </reference>
        </references>
      </pivotArea>
    </format>
    <format dxfId="125">
      <pivotArea outline="0" collapsedLevelsAreSubtotals="1" fieldPosition="0">
        <references count="1">
          <reference field="4294967294" count="1" selected="0">
            <x v="0"/>
          </reference>
        </references>
      </pivotArea>
    </format>
    <format dxfId="11">
      <pivotArea outline="0" collapsedLevelsAreSubtotals="1" fieldPosition="0"/>
    </format>
  </formats>
  <chartFormats count="2">
    <chartFormat chart="0" format="4"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2:M17" firstHeaderRow="0"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5">
        <item x="0"/>
        <item x="1"/>
        <item x="3"/>
        <item x="2"/>
        <item t="default"/>
      </items>
    </pivotField>
    <pivotField showAll="0"/>
    <pivotField showAll="0" defaultSubtotal="0"/>
    <pivotField showAll="0"/>
    <pivotField showAll="0"/>
    <pivotField showAll="0"/>
    <pivotField showAll="0"/>
    <pivotField showAll="0"/>
    <pivotField showAll="0"/>
  </pivotFields>
  <rowFields count="1">
    <field x="25"/>
  </rowFields>
  <rowItems count="5">
    <i>
      <x/>
    </i>
    <i>
      <x v="1"/>
    </i>
    <i>
      <x v="2"/>
    </i>
    <i>
      <x v="3"/>
    </i>
    <i t="grand">
      <x/>
    </i>
  </rowItems>
  <colFields count="1">
    <field x="-2"/>
  </colFields>
  <colItems count="2">
    <i>
      <x/>
    </i>
    <i i="1">
      <x v="1"/>
    </i>
  </colItems>
  <dataFields count="2">
    <dataField name="Average of Attrition" fld="1" subtotal="average" baseField="24" baseItem="0" numFmtId="9"/>
    <dataField name="Count of Attrition2" fld="1" subtotal="count" baseField="24" baseItem="0"/>
  </dataFields>
  <formats count="8">
    <format dxfId="138">
      <pivotArea outline="0" collapsedLevelsAreSubtotals="1" fieldPosition="0">
        <references count="1">
          <reference field="4294967294" count="1" selected="0">
            <x v="0"/>
          </reference>
        </references>
      </pivotArea>
    </format>
    <format dxfId="137">
      <pivotArea outline="0" collapsedLevelsAreSubtotals="1" fieldPosition="0">
        <references count="1">
          <reference field="4294967294" count="1" selected="0">
            <x v="0"/>
          </reference>
        </references>
      </pivotArea>
    </format>
    <format dxfId="136">
      <pivotArea outline="0" collapsedLevelsAreSubtotals="1" fieldPosition="0">
        <references count="1">
          <reference field="4294967294" count="1" selected="0">
            <x v="0"/>
          </reference>
        </references>
      </pivotArea>
    </format>
    <format dxfId="135">
      <pivotArea outline="0" collapsedLevelsAreSubtotals="1" fieldPosition="0">
        <references count="1">
          <reference field="4294967294" count="1" selected="0">
            <x v="0"/>
          </reference>
        </references>
      </pivotArea>
    </format>
    <format dxfId="134">
      <pivotArea outline="0" collapsedLevelsAreSubtotals="1" fieldPosition="0">
        <references count="1">
          <reference field="4294967294" count="1" selected="0">
            <x v="0"/>
          </reference>
        </references>
      </pivotArea>
    </format>
    <format dxfId="133">
      <pivotArea outline="0" collapsedLevelsAreSubtotals="1" fieldPosition="0">
        <references count="1">
          <reference field="4294967294" count="1" selected="0">
            <x v="0"/>
          </reference>
        </references>
      </pivotArea>
    </format>
    <format dxfId="132">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22:S27" firstHeaderRow="1" firstDataRow="2" firstDataCol="1"/>
  <pivotFields count="34">
    <pivotField showAll="0">
      <items count="5">
        <item x="3"/>
        <item x="2"/>
        <item x="0"/>
        <item x="1"/>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1"/>
  </colFields>
  <colItems count="3">
    <i>
      <x/>
    </i>
    <i>
      <x v="1"/>
    </i>
    <i t="grand">
      <x/>
    </i>
  </colItems>
  <dataFields count="1">
    <dataField name="Count of Attrition" fld="1"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2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3:U4" firstHeaderRow="1" firstDataRow="1" firstDataCol="0"/>
  <pivotFields count="34">
    <pivotField showAll="0"/>
    <pivotField dataField="1"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2:G17" firstHeaderRow="1" firstDataRow="1" firstDataCol="1"/>
  <pivotFields count="34">
    <pivotField axis="axisRow" showAll="0" sortType="descending">
      <items count="5">
        <item x="1"/>
        <item x="0"/>
        <item x="2"/>
        <item x="3"/>
        <item t="default"/>
      </items>
    </pivotField>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Average of Attrition" fld="1" subtotal="average" baseField="0" baseItem="0" numFmtId="9"/>
  </dataFields>
  <formats count="8">
    <format dxfId="145">
      <pivotArea outline="0" collapsedLevelsAreSubtotals="1" fieldPosition="0">
        <references count="1">
          <reference field="4294967294" count="1" selected="0">
            <x v="0"/>
          </reference>
        </references>
      </pivotArea>
    </format>
    <format dxfId="144">
      <pivotArea outline="0" collapsedLevelsAreSubtotals="1" fieldPosition="0">
        <references count="1">
          <reference field="4294967294" count="1" selected="0">
            <x v="0"/>
          </reference>
        </references>
      </pivotArea>
    </format>
    <format dxfId="143">
      <pivotArea outline="0" collapsedLevelsAreSubtotals="1" fieldPosition="0">
        <references count="1">
          <reference field="4294967294" count="1" selected="0">
            <x v="0"/>
          </reference>
        </references>
      </pivotArea>
    </format>
    <format dxfId="142">
      <pivotArea outline="0" collapsedLevelsAreSubtotals="1" fieldPosition="0">
        <references count="1">
          <reference field="4294967294" count="1" selected="0">
            <x v="0"/>
          </reference>
        </references>
      </pivotArea>
    </format>
    <format dxfId="141">
      <pivotArea outline="0" collapsedLevelsAreSubtotals="1" fieldPosition="0">
        <references count="1">
          <reference field="4294967294" count="1" selected="0">
            <x v="0"/>
          </reference>
        </references>
      </pivotArea>
    </format>
    <format dxfId="140">
      <pivotArea outline="0" collapsedLevelsAreSubtotals="1" fieldPosition="0">
        <references count="1">
          <reference field="4294967294" count="1" selected="0">
            <x v="0"/>
          </reference>
        </references>
      </pivotArea>
    </format>
    <format dxfId="139">
      <pivotArea outline="0" collapsedLevelsAreSubtotals="1" fieldPosition="0">
        <references count="1">
          <reference field="4294967294" count="1" selected="0">
            <x v="0"/>
          </reference>
        </references>
      </pivotArea>
    </format>
    <format dxfId="6">
      <pivotArea outline="0" collapsedLevelsAreSubtotals="1" fieldPosition="0"/>
    </format>
  </formats>
  <chartFormats count="2">
    <chartFormat chart="2" format="5"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5:B40" firstHeaderRow="1" firstDataRow="1" firstDataCol="1"/>
  <pivotFields count="34">
    <pivotField showAll="0"/>
    <pivotField dataField="1" showAll="0"/>
    <pivotField showAll="0"/>
    <pivotField showAll="0"/>
    <pivotField showAll="0">
      <items count="4">
        <item x="2"/>
        <item x="1"/>
        <item x="0"/>
        <item t="default"/>
      </items>
    </pivotField>
    <pivotField showAll="0"/>
    <pivotField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axis="axisRow" showAll="0" nonAutoSortDefault="1">
      <items count="5">
        <item x="1"/>
        <item x="2"/>
        <item x="0"/>
        <item x="3"/>
        <item t="default"/>
      </items>
    </pivotField>
    <pivotField showAll="0"/>
    <pivotField showAll="0"/>
    <pivotField showAll="0"/>
  </pivotFields>
  <rowFields count="1">
    <field x="30"/>
  </rowFields>
  <rowItems count="5">
    <i>
      <x/>
    </i>
    <i>
      <x v="1"/>
    </i>
    <i>
      <x v="2"/>
    </i>
    <i>
      <x v="3"/>
    </i>
    <i t="grand">
      <x/>
    </i>
  </rowItems>
  <colItems count="1">
    <i/>
  </colItems>
  <dataFields count="1">
    <dataField name="Average of Attrition" fld="1" subtotal="average" baseField="28" baseItem="0" numFmtId="9"/>
  </dataFields>
  <formats count="8">
    <format dxfId="14">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0"/>
          </reference>
        </references>
      </pivotArea>
    </format>
    <format dxfId="9">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1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Q3:Q4" firstHeaderRow="1" firstDataRow="1" firstDataCol="0"/>
  <pivotFields count="34">
    <pivotField showAll="0"/>
    <pivotField dataField="1"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ttrition" fld="1" subtotal="average" baseField="0" baseItem="796188944" numFmtId="9"/>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22:L26" firstHeaderRow="1" firstDataRow="1" firstDataCol="1"/>
  <pivotFields count="34">
    <pivotField showAll="0"/>
    <pivotField dataField="1" showAll="0"/>
    <pivotField showAll="0"/>
    <pivotField showAll="0"/>
    <pivotField showAll="0">
      <items count="4">
        <item x="2"/>
        <item x="1"/>
        <item x="0"/>
        <item t="default"/>
      </items>
    </pivotField>
    <pivotField showAll="0"/>
    <pivotField axis="axisRow" showAll="0" defaultSubtotal="0">
      <items count="3">
        <item x="2"/>
        <item x="1"/>
        <item x="0"/>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Attrition" fld="1" subtotal="average" baseField="6" baseItem="0" numFmtId="9"/>
  </dataFields>
  <formats count="7">
    <format dxfId="152">
      <pivotArea outline="0" collapsedLevelsAreSubtotals="1" fieldPosition="0">
        <references count="1">
          <reference field="4294967294" count="1" selected="0">
            <x v="0"/>
          </reference>
        </references>
      </pivotArea>
    </format>
    <format dxfId="151">
      <pivotArea outline="0" collapsedLevelsAreSubtotals="1" fieldPosition="0">
        <references count="1">
          <reference field="4294967294" count="1" selected="0">
            <x v="0"/>
          </reference>
        </references>
      </pivotArea>
    </format>
    <format dxfId="150">
      <pivotArea outline="0" collapsedLevelsAreSubtotals="1" fieldPosition="0">
        <references count="1">
          <reference field="4294967294" count="1" selected="0">
            <x v="0"/>
          </reference>
        </references>
      </pivotArea>
    </format>
    <format dxfId="149">
      <pivotArea outline="0" collapsedLevelsAreSubtotals="1" fieldPosition="0">
        <references count="1">
          <reference field="4294967294" count="1" selected="0">
            <x v="0"/>
          </reference>
        </references>
      </pivotArea>
    </format>
    <format dxfId="148">
      <pivotArea outline="0" collapsedLevelsAreSubtotals="1" fieldPosition="0">
        <references count="1">
          <reference field="4294967294" count="1" selected="0">
            <x v="0"/>
          </reference>
        </references>
      </pivotArea>
    </format>
    <format dxfId="147">
      <pivotArea outline="0" collapsedLevelsAreSubtotals="1" fieldPosition="0">
        <references count="1">
          <reference field="4294967294" count="1" selected="0">
            <x v="0"/>
          </reference>
        </references>
      </pivotArea>
    </format>
    <format dxfId="1">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2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E5" firstHeaderRow="1" firstDataRow="1" firstDataCol="0"/>
  <pivotFields count="34">
    <pivotField showAll="0"/>
    <pivotField dataField="1"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Overall Attrition Rate" fld="1" subtotal="average" baseField="0" baseItem="0" numFmtId="9"/>
  </dataFields>
  <formats count="22">
    <format dxfId="43">
      <pivotArea outline="0" collapsedLevelsAreSubtotals="1" fieldPosition="0"/>
    </format>
    <format dxfId="42">
      <pivotArea dataOnly="0" labelOnly="1" outline="0" axis="axisValues" fieldPosition="0"/>
    </format>
    <format dxfId="41">
      <pivotArea dataOnly="0" labelOnly="1" outline="0" axis="axisValues"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dataOnly="0" labelOnly="1" outline="0" axis="axisValues" fieldPosition="0"/>
    </format>
    <format dxfId="30">
      <pivotArea dataOnly="0" labelOnly="1" outline="0" axis="axisValues"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2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I5" firstHeaderRow="1" firstDataRow="1" firstDataCol="0"/>
  <pivotFields count="34">
    <pivotField showAll="0"/>
    <pivotField dataField="1"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Attrition" fld="1" baseField="0" baseItem="1"/>
  </dataFields>
  <formats count="15">
    <format dxfId="56">
      <pivotArea dataOnly="0" labelOnly="1" outline="0" axis="axisValues" fieldPosition="0"/>
    </format>
    <format dxfId="55">
      <pivotArea dataOnly="0" labelOnly="1" outline="0" axis="axisValues"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21">
      <pivotArea outline="0" collapsedLevelsAreSubtotals="1" fieldPosition="0"/>
    </format>
    <format dxfId="13">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2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G5" firstHeaderRow="1" firstDataRow="1" firstDataCol="0"/>
  <pivotFields count="34">
    <pivotField showAll="0"/>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9" subtotal="count" baseField="0" baseItem="1"/>
  </dataFields>
  <formats count="17">
    <format dxfId="73">
      <pivotArea dataOnly="0" labelOnly="1" outline="0" axis="axisValues" fieldPosition="0"/>
    </format>
    <format dxfId="72">
      <pivotArea dataOnly="0" labelOnly="1" outline="0" axis="axisValues"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dataOnly="0" labelOnly="1" outline="0" axis="axisValues" fieldPosition="0"/>
    </format>
    <format dxfId="63">
      <pivotArea dataOnly="0" labelOnly="1" outline="0" axis="axisValues"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17"/>
    <pivotTable tabId="2" name="PivotTable1"/>
    <pivotTable tabId="2" name="PivotTable10"/>
    <pivotTable tabId="2" name="PivotTable11"/>
    <pivotTable tabId="2" name="PivotTable12"/>
    <pivotTable tabId="2" name="PivotTable13"/>
    <pivotTable tabId="2" name="PivotTable14"/>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22"/>
    <pivotTable tabId="2" name="PivotTable23"/>
    <pivotTable tabId="4" name="PivotTable25"/>
    <pivotTable tabId="4" name="PivotTable26"/>
    <pivotTable tabId="4" name="PivotTable27"/>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tanceFromHome1" sourceName="DistanceFromHome1">
  <pivotTables>
    <pivotTable tabId="2" name="PivotTable17"/>
    <pivotTable tabId="2" name="PivotTable1"/>
    <pivotTable tabId="2" name="PivotTable10"/>
    <pivotTable tabId="2" name="PivotTable11"/>
    <pivotTable tabId="2" name="PivotTable12"/>
    <pivotTable tabId="2" name="PivotTable13"/>
    <pivotTable tabId="2" name="PivotTable14"/>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22"/>
    <pivotTable tabId="2" name="PivotTable23"/>
    <pivotTable tabId="4" name="PivotTable25"/>
    <pivotTable tabId="4" name="PivotTable26"/>
    <pivotTable tabId="4" name="PivotTable27"/>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7"/>
    <pivotTable tabId="2" name="PivotTable1"/>
    <pivotTable tabId="2" name="PivotTable10"/>
    <pivotTable tabId="2" name="PivotTable11"/>
    <pivotTable tabId="2" name="PivotTable12"/>
    <pivotTable tabId="2" name="PivotTable13"/>
    <pivotTable tabId="2" name="PivotTable14"/>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22"/>
    <pivotTable tabId="2" name="PivotTable23"/>
    <pivotTable tabId="4" name="PivotTable25"/>
    <pivotTable tabId="4" name="PivotTable26"/>
    <pivotTable tabId="4" name="PivotTable27"/>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2" name="PivotTable17"/>
    <pivotTable tabId="2" name="PivotTable1"/>
    <pivotTable tabId="2" name="PivotTable10"/>
    <pivotTable tabId="2" name="PivotTable11"/>
    <pivotTable tabId="2" name="PivotTable12"/>
    <pivotTable tabId="2" name="PivotTable13"/>
    <pivotTable tabId="2" name="PivotTable14"/>
    <pivotTable tabId="2" name="PivotTable18"/>
    <pivotTable tabId="2" name="PivotTable19"/>
    <pivotTable tabId="2" name="PivotTable2"/>
    <pivotTable tabId="2" name="PivotTable20"/>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22"/>
    <pivotTable tabId="2" name="PivotTable23"/>
    <pivotTable tabId="4" name="PivotTable25"/>
    <pivotTable tabId="4" name="PivotTable26"/>
    <pivotTable tabId="4" name="PivotTable27"/>
    <pivotTable tabId="2" name="PivotTable1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DistanceFromHome1" cache="Slicer_DistanceFromHome1" caption="DistanceFromHome1" startItem="1" rowHeight="234950"/>
  <slicer name="Gender" cache="Slicer_Gender" caption="Gender" rowHeight="234950"/>
  <slicer name="OverTime"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3" rowHeight="234950"/>
  <slicer name="DistanceFromHome1 1" cache="Slicer_DistanceFromHome1" caption="DistanceFromHome1" style="SlicerStyleDark3" rowHeight="234950"/>
  <slicer name="Gender 1" cache="Slicer_Gender" caption="Gender" style="SlicerStyleDark3" rowHeight="234950"/>
  <slicer name="OverTime 2" cache="Slicer_OverTime" caption="OverTime" style="SlicerStyleDark3" rowHeight="182880"/>
</slicers>
</file>

<file path=xl/tables/table1.xml><?xml version="1.0" encoding="utf-8"?>
<table xmlns="http://schemas.openxmlformats.org/spreadsheetml/2006/main" id="2" name="Table2" displayName="Table2" ref="A1:AH1471" totalsRowShown="0">
  <autoFilter ref="A1:AH1471"/>
  <tableColumns count="34">
    <tableColumn id="1" name="Age"/>
    <tableColumn id="2" name="Attrition"/>
    <tableColumn id="3" name="BusinessTravel"/>
    <tableColumn id="4" name="DailyRate"/>
    <tableColumn id="5" name="Department"/>
    <tableColumn id="6" name="DistanceFromHome"/>
    <tableColumn id="33" name="DistanceFromHome1" dataDxfId="154">
      <calculatedColumnFormula>IF(Table2[[#This Row],[DistanceFromHome]]&lt;=5, "short", IF(Table2[[#This Row],[DistanceFromHome]]&lt;=15, "medium", "long"))</calculatedColumnFormula>
    </tableColumn>
    <tableColumn id="7" name="Education"/>
    <tableColumn id="8" name="EducationField"/>
    <tableColumn id="9" name="EmployeeNumber"/>
    <tableColumn id="10" name="EnvironmentSatisfaction"/>
    <tableColumn id="11" name="Gender"/>
    <tableColumn id="12" name="HourlyRate"/>
    <tableColumn id="13" name="JobInvolvement"/>
    <tableColumn id="14" name="JobLevel"/>
    <tableColumn id="15" name="JobRole"/>
    <tableColumn id="16" name="JobSatisfaction"/>
    <tableColumn id="17" name="MaritalStatus"/>
    <tableColumn id="18" name="MonthlyIncome"/>
    <tableColumn id="19" name="MonthlyRate"/>
    <tableColumn id="20" name="NumCompaniesWorked"/>
    <tableColumn id="21" name="OverTime"/>
    <tableColumn id="22" name="PercentSalaryHike"/>
    <tableColumn id="23" name="PerformanceRating"/>
    <tableColumn id="24" name="RelationshipSatisfaction"/>
    <tableColumn id="25" name="StockOptionLevel"/>
    <tableColumn id="26" name="TotalWorkingYears"/>
    <tableColumn id="36" name="TotalWorkingYears2" dataDxfId="153">
      <calculatedColumnFormula>IF(Table2[[#This Row],[TotalWorkingYears]]&lt;=5,"Early (0-5)",IF(Table2[[#This Row],[TotalWorkingYears]]&lt;=15,"Mid (6-15)","Senior (16+)"))</calculatedColumnFormula>
    </tableColumn>
    <tableColumn id="27" name="TrainingTimesLastYear"/>
    <tableColumn id="28" name="WorkLifeBalance"/>
    <tableColumn id="29" name="TenureBand"/>
    <tableColumn id="30" name="YearsInCurrentRole"/>
    <tableColumn id="31" name="YearsSinceLastPromotion"/>
    <tableColumn id="32"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71"/>
  <sheetViews>
    <sheetView topLeftCell="A2" workbookViewId="0">
      <selection activeCell="F4" sqref="F4"/>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8.109375" customWidth="1"/>
    <col min="9" max="9" width="23.5546875" customWidth="1"/>
    <col min="10" max="10" width="9" customWidth="1"/>
    <col min="11" max="11" width="12.21875" customWidth="1"/>
    <col min="12" max="12" width="16.44140625" customWidth="1"/>
    <col min="13" max="13" width="10.109375" customWidth="1"/>
    <col min="14" max="14" width="9.44140625" customWidth="1"/>
    <col min="15" max="15" width="15.5546875" customWidth="1"/>
    <col min="16" max="16" width="14.109375" customWidth="1"/>
    <col min="17" max="17" width="16.44140625" customWidth="1"/>
    <col min="18" max="18" width="13.88671875" customWidth="1"/>
    <col min="19" max="19" width="23" customWidth="1"/>
    <col min="20" max="20" width="11" customWidth="1"/>
    <col min="21" max="21" width="18.109375" customWidth="1"/>
    <col min="22" max="22" width="19.109375" customWidth="1"/>
    <col min="23" max="23" width="23" customWidth="1"/>
    <col min="24" max="24" width="17.6640625" customWidth="1"/>
    <col min="25" max="25" width="18.6640625" customWidth="1"/>
    <col min="26" max="26" width="21.5546875" customWidth="1"/>
    <col min="27" max="28" width="17" customWidth="1"/>
    <col min="29" max="29" width="15" customWidth="1"/>
    <col min="30" max="30" width="19" customWidth="1"/>
    <col min="31" max="31" width="24.109375" customWidth="1"/>
    <col min="32" max="32" width="22.44140625" customWidth="1"/>
  </cols>
  <sheetData>
    <row r="1" spans="1:34" x14ac:dyDescent="0.3">
      <c r="A1" t="s">
        <v>0</v>
      </c>
      <c r="B1" t="s">
        <v>1</v>
      </c>
      <c r="C1" t="s">
        <v>2</v>
      </c>
      <c r="D1" t="s">
        <v>3</v>
      </c>
      <c r="E1" t="s">
        <v>4</v>
      </c>
      <c r="F1" t="s">
        <v>5</v>
      </c>
      <c r="G1" t="s">
        <v>92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96</v>
      </c>
      <c r="AC1" t="s">
        <v>26</v>
      </c>
      <c r="AD1" t="s">
        <v>27</v>
      </c>
      <c r="AE1" t="s">
        <v>61</v>
      </c>
      <c r="AF1" t="s">
        <v>28</v>
      </c>
      <c r="AG1" t="s">
        <v>29</v>
      </c>
      <c r="AH1" t="s">
        <v>30</v>
      </c>
    </row>
    <row r="2" spans="1:34" x14ac:dyDescent="0.3">
      <c r="A2" t="s">
        <v>57</v>
      </c>
      <c r="B2">
        <v>1</v>
      </c>
      <c r="C2" t="s">
        <v>32</v>
      </c>
      <c r="D2">
        <v>1102</v>
      </c>
      <c r="E2" t="s">
        <v>33</v>
      </c>
      <c r="F2">
        <v>1</v>
      </c>
      <c r="G2" t="str">
        <f>IF(Table2[[#This Row],[DistanceFromHome]]&lt;=5, "short", IF(Table2[[#This Row],[DistanceFromHome]]&lt;=15, "medium", "long"))</f>
        <v>short</v>
      </c>
      <c r="H2">
        <v>2</v>
      </c>
      <c r="I2" t="s">
        <v>34</v>
      </c>
      <c r="J2">
        <v>1</v>
      </c>
      <c r="K2">
        <v>2</v>
      </c>
      <c r="L2" t="s">
        <v>35</v>
      </c>
      <c r="M2">
        <v>94</v>
      </c>
      <c r="N2">
        <v>3</v>
      </c>
      <c r="O2">
        <v>2</v>
      </c>
      <c r="P2" t="s">
        <v>36</v>
      </c>
      <c r="Q2">
        <v>4</v>
      </c>
      <c r="R2" t="s">
        <v>37</v>
      </c>
      <c r="S2">
        <v>5993</v>
      </c>
      <c r="T2">
        <v>19479</v>
      </c>
      <c r="U2">
        <v>8</v>
      </c>
      <c r="V2" t="s">
        <v>31</v>
      </c>
      <c r="W2">
        <v>11</v>
      </c>
      <c r="X2">
        <v>3</v>
      </c>
      <c r="Y2">
        <v>1</v>
      </c>
      <c r="Z2">
        <v>0</v>
      </c>
      <c r="AA2">
        <v>8</v>
      </c>
      <c r="AB2" t="str">
        <f>IF(Table2[[#This Row],[TotalWorkingYears]]&lt;=5,"Early (0-5)",IF(Table2[[#This Row],[TotalWorkingYears]]&lt;=15,"Mid (6-15)","Senior (16+)"))</f>
        <v>Mid (6-15)</v>
      </c>
      <c r="AC2">
        <v>0</v>
      </c>
      <c r="AD2">
        <v>1</v>
      </c>
      <c r="AE2" t="s">
        <v>62</v>
      </c>
      <c r="AF2">
        <v>4</v>
      </c>
      <c r="AG2">
        <v>0</v>
      </c>
      <c r="AH2">
        <v>5</v>
      </c>
    </row>
    <row r="3" spans="1:34" x14ac:dyDescent="0.3">
      <c r="A3" t="s">
        <v>58</v>
      </c>
      <c r="B3">
        <v>0</v>
      </c>
      <c r="C3" t="s">
        <v>39</v>
      </c>
      <c r="D3">
        <v>279</v>
      </c>
      <c r="E3" t="s">
        <v>40</v>
      </c>
      <c r="F3">
        <v>8</v>
      </c>
      <c r="G3" t="str">
        <f>IF(Table2[[#This Row],[DistanceFromHome]]&lt;=5, "short", IF(Table2[[#This Row],[DistanceFromHome]]&lt;=15, "medium", "long"))</f>
        <v>medium</v>
      </c>
      <c r="H3">
        <v>1</v>
      </c>
      <c r="I3" t="s">
        <v>34</v>
      </c>
      <c r="J3">
        <v>2</v>
      </c>
      <c r="K3">
        <v>3</v>
      </c>
      <c r="L3" t="s">
        <v>41</v>
      </c>
      <c r="M3">
        <v>61</v>
      </c>
      <c r="N3">
        <v>2</v>
      </c>
      <c r="O3">
        <v>2</v>
      </c>
      <c r="P3" t="s">
        <v>42</v>
      </c>
      <c r="Q3">
        <v>2</v>
      </c>
      <c r="R3" t="s">
        <v>43</v>
      </c>
      <c r="S3">
        <v>5130</v>
      </c>
      <c r="T3">
        <v>24907</v>
      </c>
      <c r="U3">
        <v>1</v>
      </c>
      <c r="V3" t="s">
        <v>38</v>
      </c>
      <c r="W3">
        <v>23</v>
      </c>
      <c r="X3">
        <v>4</v>
      </c>
      <c r="Y3">
        <v>4</v>
      </c>
      <c r="Z3">
        <v>1</v>
      </c>
      <c r="AA3">
        <v>10</v>
      </c>
      <c r="AB3" t="str">
        <f>IF(Table2[[#This Row],[TotalWorkingYears]]&lt;=5,"Early (0-5)",IF(Table2[[#This Row],[TotalWorkingYears]]&lt;=15,"Mid (6-15)","Senior (16+)"))</f>
        <v>Mid (6-15)</v>
      </c>
      <c r="AC3">
        <v>3</v>
      </c>
      <c r="AD3">
        <v>3</v>
      </c>
      <c r="AE3" t="s">
        <v>62</v>
      </c>
      <c r="AF3">
        <v>7</v>
      </c>
      <c r="AG3">
        <v>1</v>
      </c>
      <c r="AH3">
        <v>7</v>
      </c>
    </row>
    <row r="4" spans="1:34" x14ac:dyDescent="0.3">
      <c r="A4" t="s">
        <v>57</v>
      </c>
      <c r="B4">
        <v>1</v>
      </c>
      <c r="C4" t="s">
        <v>32</v>
      </c>
      <c r="D4">
        <v>1373</v>
      </c>
      <c r="E4" t="s">
        <v>40</v>
      </c>
      <c r="F4">
        <v>2</v>
      </c>
      <c r="G4" t="str">
        <f>IF(Table2[[#This Row],[DistanceFromHome]]&lt;=5, "short", IF(Table2[[#This Row],[DistanceFromHome]]&lt;=15, "medium", "long"))</f>
        <v>short</v>
      </c>
      <c r="H4">
        <v>2</v>
      </c>
      <c r="I4" t="s">
        <v>44</v>
      </c>
      <c r="J4">
        <v>4</v>
      </c>
      <c r="K4">
        <v>4</v>
      </c>
      <c r="L4" t="s">
        <v>41</v>
      </c>
      <c r="M4">
        <v>92</v>
      </c>
      <c r="N4">
        <v>2</v>
      </c>
      <c r="O4">
        <v>1</v>
      </c>
      <c r="P4" t="s">
        <v>45</v>
      </c>
      <c r="Q4">
        <v>3</v>
      </c>
      <c r="R4" t="s">
        <v>37</v>
      </c>
      <c r="S4">
        <v>2090</v>
      </c>
      <c r="T4">
        <v>2396</v>
      </c>
      <c r="U4">
        <v>6</v>
      </c>
      <c r="V4" t="s">
        <v>31</v>
      </c>
      <c r="W4">
        <v>15</v>
      </c>
      <c r="X4">
        <v>3</v>
      </c>
      <c r="Y4">
        <v>2</v>
      </c>
      <c r="Z4">
        <v>0</v>
      </c>
      <c r="AA4">
        <v>7</v>
      </c>
      <c r="AB4" t="str">
        <f>IF(Table2[[#This Row],[TotalWorkingYears]]&lt;=5,"Early (0-5)",IF(Table2[[#This Row],[TotalWorkingYears]]&lt;=15,"Mid (6-15)","Senior (16+)"))</f>
        <v>Mid (6-15)</v>
      </c>
      <c r="AC4">
        <v>3</v>
      </c>
      <c r="AD4">
        <v>3</v>
      </c>
      <c r="AE4" t="s">
        <v>63</v>
      </c>
      <c r="AF4">
        <v>0</v>
      </c>
      <c r="AG4">
        <v>0</v>
      </c>
      <c r="AH4">
        <v>0</v>
      </c>
    </row>
    <row r="5" spans="1:34" x14ac:dyDescent="0.3">
      <c r="A5" t="s">
        <v>59</v>
      </c>
      <c r="B5">
        <v>0</v>
      </c>
      <c r="C5" t="s">
        <v>39</v>
      </c>
      <c r="D5">
        <v>1392</v>
      </c>
      <c r="E5" t="s">
        <v>40</v>
      </c>
      <c r="F5">
        <v>3</v>
      </c>
      <c r="G5" t="str">
        <f>IF(Table2[[#This Row],[DistanceFromHome]]&lt;=5, "short", IF(Table2[[#This Row],[DistanceFromHome]]&lt;=15, "medium", "long"))</f>
        <v>short</v>
      </c>
      <c r="H5">
        <v>4</v>
      </c>
      <c r="I5" t="s">
        <v>34</v>
      </c>
      <c r="J5">
        <v>5</v>
      </c>
      <c r="K5">
        <v>4</v>
      </c>
      <c r="L5" t="s">
        <v>35</v>
      </c>
      <c r="M5">
        <v>56</v>
      </c>
      <c r="N5">
        <v>3</v>
      </c>
      <c r="O5">
        <v>1</v>
      </c>
      <c r="P5" t="s">
        <v>42</v>
      </c>
      <c r="Q5">
        <v>3</v>
      </c>
      <c r="R5" t="s">
        <v>43</v>
      </c>
      <c r="S5">
        <v>2909</v>
      </c>
      <c r="T5">
        <v>23159</v>
      </c>
      <c r="U5">
        <v>1</v>
      </c>
      <c r="V5" t="s">
        <v>31</v>
      </c>
      <c r="W5">
        <v>11</v>
      </c>
      <c r="X5">
        <v>3</v>
      </c>
      <c r="Y5">
        <v>3</v>
      </c>
      <c r="Z5">
        <v>0</v>
      </c>
      <c r="AA5">
        <v>8</v>
      </c>
      <c r="AB5" t="str">
        <f>IF(Table2[[#This Row],[TotalWorkingYears]]&lt;=5,"Early (0-5)",IF(Table2[[#This Row],[TotalWorkingYears]]&lt;=15,"Mid (6-15)","Senior (16+)"))</f>
        <v>Mid (6-15)</v>
      </c>
      <c r="AC5">
        <v>3</v>
      </c>
      <c r="AD5">
        <v>3</v>
      </c>
      <c r="AE5" t="s">
        <v>62</v>
      </c>
      <c r="AF5">
        <v>7</v>
      </c>
      <c r="AG5">
        <v>3</v>
      </c>
      <c r="AH5">
        <v>0</v>
      </c>
    </row>
    <row r="6" spans="1:34" x14ac:dyDescent="0.3">
      <c r="A6" t="s">
        <v>59</v>
      </c>
      <c r="B6">
        <v>0</v>
      </c>
      <c r="C6" t="s">
        <v>32</v>
      </c>
      <c r="D6">
        <v>591</v>
      </c>
      <c r="E6" t="s">
        <v>40</v>
      </c>
      <c r="F6">
        <v>2</v>
      </c>
      <c r="G6" t="str">
        <f>IF(Table2[[#This Row],[DistanceFromHome]]&lt;=5, "short", IF(Table2[[#This Row],[DistanceFromHome]]&lt;=15, "medium", "long"))</f>
        <v>short</v>
      </c>
      <c r="H6">
        <v>1</v>
      </c>
      <c r="I6" t="s">
        <v>46</v>
      </c>
      <c r="J6">
        <v>7</v>
      </c>
      <c r="K6">
        <v>1</v>
      </c>
      <c r="L6" t="s">
        <v>41</v>
      </c>
      <c r="M6">
        <v>40</v>
      </c>
      <c r="N6">
        <v>3</v>
      </c>
      <c r="O6">
        <v>1</v>
      </c>
      <c r="P6" t="s">
        <v>45</v>
      </c>
      <c r="Q6">
        <v>2</v>
      </c>
      <c r="R6" t="s">
        <v>43</v>
      </c>
      <c r="S6">
        <v>3468</v>
      </c>
      <c r="T6">
        <v>16632</v>
      </c>
      <c r="U6">
        <v>9</v>
      </c>
      <c r="V6" t="s">
        <v>38</v>
      </c>
      <c r="W6">
        <v>12</v>
      </c>
      <c r="X6">
        <v>3</v>
      </c>
      <c r="Y6">
        <v>4</v>
      </c>
      <c r="Z6">
        <v>1</v>
      </c>
      <c r="AA6">
        <v>6</v>
      </c>
      <c r="AB6" t="str">
        <f>IF(Table2[[#This Row],[TotalWorkingYears]]&lt;=5,"Early (0-5)",IF(Table2[[#This Row],[TotalWorkingYears]]&lt;=15,"Mid (6-15)","Senior (16+)"))</f>
        <v>Mid (6-15)</v>
      </c>
      <c r="AC6">
        <v>3</v>
      </c>
      <c r="AD6">
        <v>3</v>
      </c>
      <c r="AE6" t="s">
        <v>63</v>
      </c>
      <c r="AF6">
        <v>2</v>
      </c>
      <c r="AG6">
        <v>2</v>
      </c>
      <c r="AH6">
        <v>2</v>
      </c>
    </row>
    <row r="7" spans="1:34" x14ac:dyDescent="0.3">
      <c r="A7" t="s">
        <v>59</v>
      </c>
      <c r="B7">
        <v>0</v>
      </c>
      <c r="C7" t="s">
        <v>39</v>
      </c>
      <c r="D7">
        <v>1005</v>
      </c>
      <c r="E7" t="s">
        <v>40</v>
      </c>
      <c r="F7">
        <v>2</v>
      </c>
      <c r="G7" t="str">
        <f>IF(Table2[[#This Row],[DistanceFromHome]]&lt;=5, "short", IF(Table2[[#This Row],[DistanceFromHome]]&lt;=15, "medium", "long"))</f>
        <v>short</v>
      </c>
      <c r="H7">
        <v>2</v>
      </c>
      <c r="I7" t="s">
        <v>34</v>
      </c>
      <c r="J7">
        <v>8</v>
      </c>
      <c r="K7">
        <v>4</v>
      </c>
      <c r="L7" t="s">
        <v>41</v>
      </c>
      <c r="M7">
        <v>79</v>
      </c>
      <c r="N7">
        <v>3</v>
      </c>
      <c r="O7">
        <v>1</v>
      </c>
      <c r="P7" t="s">
        <v>45</v>
      </c>
      <c r="Q7">
        <v>4</v>
      </c>
      <c r="R7" t="s">
        <v>37</v>
      </c>
      <c r="S7">
        <v>3068</v>
      </c>
      <c r="T7">
        <v>11864</v>
      </c>
      <c r="U7">
        <v>0</v>
      </c>
      <c r="V7" t="s">
        <v>38</v>
      </c>
      <c r="W7">
        <v>13</v>
      </c>
      <c r="X7">
        <v>3</v>
      </c>
      <c r="Y7">
        <v>3</v>
      </c>
      <c r="Z7">
        <v>0</v>
      </c>
      <c r="AA7">
        <v>8</v>
      </c>
      <c r="AB7" t="str">
        <f>IF(Table2[[#This Row],[TotalWorkingYears]]&lt;=5,"Early (0-5)",IF(Table2[[#This Row],[TotalWorkingYears]]&lt;=15,"Mid (6-15)","Senior (16+)"))</f>
        <v>Mid (6-15)</v>
      </c>
      <c r="AC7">
        <v>2</v>
      </c>
      <c r="AD7">
        <v>2</v>
      </c>
      <c r="AE7" t="s">
        <v>62</v>
      </c>
      <c r="AF7">
        <v>7</v>
      </c>
      <c r="AG7">
        <v>3</v>
      </c>
      <c r="AH7">
        <v>6</v>
      </c>
    </row>
    <row r="8" spans="1:34" x14ac:dyDescent="0.3">
      <c r="A8" t="s">
        <v>58</v>
      </c>
      <c r="B8">
        <v>0</v>
      </c>
      <c r="C8" t="s">
        <v>32</v>
      </c>
      <c r="D8">
        <v>1324</v>
      </c>
      <c r="E8" t="s">
        <v>40</v>
      </c>
      <c r="F8">
        <v>3</v>
      </c>
      <c r="G8" t="str">
        <f>IF(Table2[[#This Row],[DistanceFromHome]]&lt;=5, "short", IF(Table2[[#This Row],[DistanceFromHome]]&lt;=15, "medium", "long"))</f>
        <v>short</v>
      </c>
      <c r="H8">
        <v>3</v>
      </c>
      <c r="I8" t="s">
        <v>46</v>
      </c>
      <c r="J8">
        <v>10</v>
      </c>
      <c r="K8">
        <v>3</v>
      </c>
      <c r="L8" t="s">
        <v>35</v>
      </c>
      <c r="M8">
        <v>81</v>
      </c>
      <c r="N8">
        <v>4</v>
      </c>
      <c r="O8">
        <v>1</v>
      </c>
      <c r="P8" t="s">
        <v>45</v>
      </c>
      <c r="Q8">
        <v>1</v>
      </c>
      <c r="R8" t="s">
        <v>43</v>
      </c>
      <c r="S8">
        <v>2670</v>
      </c>
      <c r="T8">
        <v>9964</v>
      </c>
      <c r="U8">
        <v>4</v>
      </c>
      <c r="V8" t="s">
        <v>31</v>
      </c>
      <c r="W8">
        <v>20</v>
      </c>
      <c r="X8">
        <v>4</v>
      </c>
      <c r="Y8">
        <v>1</v>
      </c>
      <c r="Z8">
        <v>3</v>
      </c>
      <c r="AA8">
        <v>12</v>
      </c>
      <c r="AB8" t="str">
        <f>IF(Table2[[#This Row],[TotalWorkingYears]]&lt;=5,"Early (0-5)",IF(Table2[[#This Row],[TotalWorkingYears]]&lt;=15,"Mid (6-15)","Senior (16+)"))</f>
        <v>Mid (6-15)</v>
      </c>
      <c r="AC8">
        <v>3</v>
      </c>
      <c r="AD8">
        <v>2</v>
      </c>
      <c r="AE8" t="s">
        <v>63</v>
      </c>
      <c r="AF8">
        <v>0</v>
      </c>
      <c r="AG8">
        <v>0</v>
      </c>
      <c r="AH8">
        <v>0</v>
      </c>
    </row>
    <row r="9" spans="1:34" x14ac:dyDescent="0.3">
      <c r="A9" t="s">
        <v>59</v>
      </c>
      <c r="B9">
        <v>0</v>
      </c>
      <c r="C9" t="s">
        <v>32</v>
      </c>
      <c r="D9">
        <v>1358</v>
      </c>
      <c r="E9" t="s">
        <v>40</v>
      </c>
      <c r="F9">
        <v>24</v>
      </c>
      <c r="G9" t="str">
        <f>IF(Table2[[#This Row],[DistanceFromHome]]&lt;=5, "short", IF(Table2[[#This Row],[DistanceFromHome]]&lt;=15, "medium", "long"))</f>
        <v>long</v>
      </c>
      <c r="H9">
        <v>1</v>
      </c>
      <c r="I9" t="s">
        <v>34</v>
      </c>
      <c r="J9">
        <v>11</v>
      </c>
      <c r="K9">
        <v>4</v>
      </c>
      <c r="L9" t="s">
        <v>41</v>
      </c>
      <c r="M9">
        <v>67</v>
      </c>
      <c r="N9">
        <v>3</v>
      </c>
      <c r="O9">
        <v>1</v>
      </c>
      <c r="P9" t="s">
        <v>45</v>
      </c>
      <c r="Q9">
        <v>3</v>
      </c>
      <c r="R9" t="s">
        <v>47</v>
      </c>
      <c r="S9">
        <v>2693</v>
      </c>
      <c r="T9">
        <v>13335</v>
      </c>
      <c r="U9">
        <v>1</v>
      </c>
      <c r="V9" t="s">
        <v>38</v>
      </c>
      <c r="W9">
        <v>22</v>
      </c>
      <c r="X9">
        <v>4</v>
      </c>
      <c r="Y9">
        <v>2</v>
      </c>
      <c r="Z9">
        <v>1</v>
      </c>
      <c r="AA9">
        <v>1</v>
      </c>
      <c r="AB9" t="str">
        <f>IF(Table2[[#This Row],[TotalWorkingYears]]&lt;=5,"Early (0-5)",IF(Table2[[#This Row],[TotalWorkingYears]]&lt;=15,"Mid (6-15)","Senior (16+)"))</f>
        <v>Early (0-5)</v>
      </c>
      <c r="AC9">
        <v>2</v>
      </c>
      <c r="AD9">
        <v>3</v>
      </c>
      <c r="AE9" t="s">
        <v>63</v>
      </c>
      <c r="AF9">
        <v>0</v>
      </c>
      <c r="AG9">
        <v>0</v>
      </c>
      <c r="AH9">
        <v>0</v>
      </c>
    </row>
    <row r="10" spans="1:34" x14ac:dyDescent="0.3">
      <c r="A10" t="s">
        <v>57</v>
      </c>
      <c r="B10">
        <v>0</v>
      </c>
      <c r="C10" t="s">
        <v>39</v>
      </c>
      <c r="D10">
        <v>216</v>
      </c>
      <c r="E10" t="s">
        <v>40</v>
      </c>
      <c r="F10">
        <v>23</v>
      </c>
      <c r="G10" t="str">
        <f>IF(Table2[[#This Row],[DistanceFromHome]]&lt;=5, "short", IF(Table2[[#This Row],[DistanceFromHome]]&lt;=15, "medium", "long"))</f>
        <v>long</v>
      </c>
      <c r="H10">
        <v>3</v>
      </c>
      <c r="I10" t="s">
        <v>34</v>
      </c>
      <c r="J10">
        <v>12</v>
      </c>
      <c r="K10">
        <v>4</v>
      </c>
      <c r="L10" t="s">
        <v>41</v>
      </c>
      <c r="M10">
        <v>44</v>
      </c>
      <c r="N10">
        <v>2</v>
      </c>
      <c r="O10">
        <v>3</v>
      </c>
      <c r="P10" t="s">
        <v>48</v>
      </c>
      <c r="Q10">
        <v>3</v>
      </c>
      <c r="R10" t="s">
        <v>37</v>
      </c>
      <c r="S10">
        <v>9526</v>
      </c>
      <c r="T10">
        <v>8787</v>
      </c>
      <c r="U10">
        <v>0</v>
      </c>
      <c r="V10" t="s">
        <v>38</v>
      </c>
      <c r="W10">
        <v>21</v>
      </c>
      <c r="X10">
        <v>4</v>
      </c>
      <c r="Y10">
        <v>2</v>
      </c>
      <c r="Z10">
        <v>0</v>
      </c>
      <c r="AA10">
        <v>10</v>
      </c>
      <c r="AB10" t="str">
        <f>IF(Table2[[#This Row],[TotalWorkingYears]]&lt;=5,"Early (0-5)",IF(Table2[[#This Row],[TotalWorkingYears]]&lt;=15,"Mid (6-15)","Senior (16+)"))</f>
        <v>Mid (6-15)</v>
      </c>
      <c r="AC10">
        <v>2</v>
      </c>
      <c r="AD10">
        <v>3</v>
      </c>
      <c r="AE10" t="s">
        <v>62</v>
      </c>
      <c r="AF10">
        <v>7</v>
      </c>
      <c r="AG10">
        <v>1</v>
      </c>
      <c r="AH10">
        <v>8</v>
      </c>
    </row>
    <row r="11" spans="1:34" x14ac:dyDescent="0.3">
      <c r="A11" t="s">
        <v>57</v>
      </c>
      <c r="B11">
        <v>0</v>
      </c>
      <c r="C11" t="s">
        <v>32</v>
      </c>
      <c r="D11">
        <v>1299</v>
      </c>
      <c r="E11" t="s">
        <v>40</v>
      </c>
      <c r="F11">
        <v>27</v>
      </c>
      <c r="G11" t="str">
        <f>IF(Table2[[#This Row],[DistanceFromHome]]&lt;=5, "short", IF(Table2[[#This Row],[DistanceFromHome]]&lt;=15, "medium", "long"))</f>
        <v>long</v>
      </c>
      <c r="H11">
        <v>3</v>
      </c>
      <c r="I11" t="s">
        <v>46</v>
      </c>
      <c r="J11">
        <v>13</v>
      </c>
      <c r="K11">
        <v>3</v>
      </c>
      <c r="L11" t="s">
        <v>41</v>
      </c>
      <c r="M11">
        <v>94</v>
      </c>
      <c r="N11">
        <v>3</v>
      </c>
      <c r="O11">
        <v>2</v>
      </c>
      <c r="P11" t="s">
        <v>49</v>
      </c>
      <c r="Q11">
        <v>3</v>
      </c>
      <c r="R11" t="s">
        <v>43</v>
      </c>
      <c r="S11">
        <v>5237</v>
      </c>
      <c r="T11">
        <v>16577</v>
      </c>
      <c r="U11">
        <v>6</v>
      </c>
      <c r="V11" t="s">
        <v>38</v>
      </c>
      <c r="W11">
        <v>13</v>
      </c>
      <c r="X11">
        <v>3</v>
      </c>
      <c r="Y11">
        <v>2</v>
      </c>
      <c r="Z11">
        <v>2</v>
      </c>
      <c r="AA11">
        <v>17</v>
      </c>
      <c r="AB11" t="str">
        <f>IF(Table2[[#This Row],[TotalWorkingYears]]&lt;=5,"Early (0-5)",IF(Table2[[#This Row],[TotalWorkingYears]]&lt;=15,"Mid (6-15)","Senior (16+)"))</f>
        <v>Senior (16+)</v>
      </c>
      <c r="AC11">
        <v>3</v>
      </c>
      <c r="AD11">
        <v>2</v>
      </c>
      <c r="AE11" t="s">
        <v>62</v>
      </c>
      <c r="AF11">
        <v>7</v>
      </c>
      <c r="AG11">
        <v>7</v>
      </c>
      <c r="AH11">
        <v>7</v>
      </c>
    </row>
    <row r="12" spans="1:34" x14ac:dyDescent="0.3">
      <c r="A12" t="s">
        <v>59</v>
      </c>
      <c r="B12">
        <v>0</v>
      </c>
      <c r="C12" t="s">
        <v>32</v>
      </c>
      <c r="D12">
        <v>809</v>
      </c>
      <c r="E12" t="s">
        <v>40</v>
      </c>
      <c r="F12">
        <v>16</v>
      </c>
      <c r="G12" t="str">
        <f>IF(Table2[[#This Row],[DistanceFromHome]]&lt;=5, "short", IF(Table2[[#This Row],[DistanceFromHome]]&lt;=15, "medium", "long"))</f>
        <v>long</v>
      </c>
      <c r="H12">
        <v>3</v>
      </c>
      <c r="I12" t="s">
        <v>46</v>
      </c>
      <c r="J12">
        <v>14</v>
      </c>
      <c r="K12">
        <v>1</v>
      </c>
      <c r="L12" t="s">
        <v>41</v>
      </c>
      <c r="M12">
        <v>84</v>
      </c>
      <c r="N12">
        <v>4</v>
      </c>
      <c r="O12">
        <v>1</v>
      </c>
      <c r="P12" t="s">
        <v>45</v>
      </c>
      <c r="Q12">
        <v>2</v>
      </c>
      <c r="R12" t="s">
        <v>43</v>
      </c>
      <c r="S12">
        <v>2426</v>
      </c>
      <c r="T12">
        <v>16479</v>
      </c>
      <c r="U12">
        <v>0</v>
      </c>
      <c r="V12" t="s">
        <v>38</v>
      </c>
      <c r="W12">
        <v>13</v>
      </c>
      <c r="X12">
        <v>3</v>
      </c>
      <c r="Y12">
        <v>3</v>
      </c>
      <c r="Z12">
        <v>1</v>
      </c>
      <c r="AA12">
        <v>6</v>
      </c>
      <c r="AB12" t="str">
        <f>IF(Table2[[#This Row],[TotalWorkingYears]]&lt;=5,"Early (0-5)",IF(Table2[[#This Row],[TotalWorkingYears]]&lt;=15,"Mid (6-15)","Senior (16+)"))</f>
        <v>Mid (6-15)</v>
      </c>
      <c r="AC12">
        <v>5</v>
      </c>
      <c r="AD12">
        <v>3</v>
      </c>
      <c r="AE12" t="s">
        <v>64</v>
      </c>
      <c r="AF12">
        <v>4</v>
      </c>
      <c r="AG12">
        <v>0</v>
      </c>
      <c r="AH12">
        <v>3</v>
      </c>
    </row>
    <row r="13" spans="1:34" x14ac:dyDescent="0.3">
      <c r="A13" t="s">
        <v>59</v>
      </c>
      <c r="B13">
        <v>0</v>
      </c>
      <c r="C13" t="s">
        <v>32</v>
      </c>
      <c r="D13">
        <v>153</v>
      </c>
      <c r="E13" t="s">
        <v>40</v>
      </c>
      <c r="F13">
        <v>15</v>
      </c>
      <c r="G13" t="str">
        <f>IF(Table2[[#This Row],[DistanceFromHome]]&lt;=5, "short", IF(Table2[[#This Row],[DistanceFromHome]]&lt;=15, "medium", "long"))</f>
        <v>medium</v>
      </c>
      <c r="H13">
        <v>2</v>
      </c>
      <c r="I13" t="s">
        <v>34</v>
      </c>
      <c r="J13">
        <v>15</v>
      </c>
      <c r="K13">
        <v>4</v>
      </c>
      <c r="L13" t="s">
        <v>35</v>
      </c>
      <c r="M13">
        <v>49</v>
      </c>
      <c r="N13">
        <v>2</v>
      </c>
      <c r="O13">
        <v>2</v>
      </c>
      <c r="P13" t="s">
        <v>45</v>
      </c>
      <c r="Q13">
        <v>3</v>
      </c>
      <c r="R13" t="s">
        <v>37</v>
      </c>
      <c r="S13">
        <v>4193</v>
      </c>
      <c r="T13">
        <v>12682</v>
      </c>
      <c r="U13">
        <v>0</v>
      </c>
      <c r="V13" t="s">
        <v>31</v>
      </c>
      <c r="W13">
        <v>12</v>
      </c>
      <c r="X13">
        <v>3</v>
      </c>
      <c r="Y13">
        <v>4</v>
      </c>
      <c r="Z13">
        <v>0</v>
      </c>
      <c r="AA13">
        <v>10</v>
      </c>
      <c r="AB13" t="str">
        <f>IF(Table2[[#This Row],[TotalWorkingYears]]&lt;=5,"Early (0-5)",IF(Table2[[#This Row],[TotalWorkingYears]]&lt;=15,"Mid (6-15)","Senior (16+)"))</f>
        <v>Mid (6-15)</v>
      </c>
      <c r="AC13">
        <v>3</v>
      </c>
      <c r="AD13">
        <v>3</v>
      </c>
      <c r="AE13" t="s">
        <v>62</v>
      </c>
      <c r="AF13">
        <v>5</v>
      </c>
      <c r="AG13">
        <v>0</v>
      </c>
      <c r="AH13">
        <v>8</v>
      </c>
    </row>
    <row r="14" spans="1:34" x14ac:dyDescent="0.3">
      <c r="A14" t="s">
        <v>59</v>
      </c>
      <c r="B14">
        <v>0</v>
      </c>
      <c r="C14" t="s">
        <v>32</v>
      </c>
      <c r="D14">
        <v>670</v>
      </c>
      <c r="E14" t="s">
        <v>40</v>
      </c>
      <c r="F14">
        <v>26</v>
      </c>
      <c r="G14" t="str">
        <f>IF(Table2[[#This Row],[DistanceFromHome]]&lt;=5, "short", IF(Table2[[#This Row],[DistanceFromHome]]&lt;=15, "medium", "long"))</f>
        <v>long</v>
      </c>
      <c r="H14">
        <v>1</v>
      </c>
      <c r="I14" t="s">
        <v>34</v>
      </c>
      <c r="J14">
        <v>16</v>
      </c>
      <c r="K14">
        <v>1</v>
      </c>
      <c r="L14" t="s">
        <v>41</v>
      </c>
      <c r="M14">
        <v>31</v>
      </c>
      <c r="N14">
        <v>3</v>
      </c>
      <c r="O14">
        <v>1</v>
      </c>
      <c r="P14" t="s">
        <v>42</v>
      </c>
      <c r="Q14">
        <v>3</v>
      </c>
      <c r="R14" t="s">
        <v>47</v>
      </c>
      <c r="S14">
        <v>2911</v>
      </c>
      <c r="T14">
        <v>15170</v>
      </c>
      <c r="U14">
        <v>1</v>
      </c>
      <c r="V14" t="s">
        <v>38</v>
      </c>
      <c r="W14">
        <v>17</v>
      </c>
      <c r="X14">
        <v>3</v>
      </c>
      <c r="Y14">
        <v>4</v>
      </c>
      <c r="Z14">
        <v>1</v>
      </c>
      <c r="AA14">
        <v>5</v>
      </c>
      <c r="AB14" t="str">
        <f>IF(Table2[[#This Row],[TotalWorkingYears]]&lt;=5,"Early (0-5)",IF(Table2[[#This Row],[TotalWorkingYears]]&lt;=15,"Mid (6-15)","Senior (16+)"))</f>
        <v>Early (0-5)</v>
      </c>
      <c r="AC14">
        <v>1</v>
      </c>
      <c r="AD14">
        <v>2</v>
      </c>
      <c r="AE14" t="s">
        <v>64</v>
      </c>
      <c r="AF14">
        <v>2</v>
      </c>
      <c r="AG14">
        <v>4</v>
      </c>
      <c r="AH14">
        <v>3</v>
      </c>
    </row>
    <row r="15" spans="1:34" x14ac:dyDescent="0.3">
      <c r="A15" t="s">
        <v>59</v>
      </c>
      <c r="B15">
        <v>0</v>
      </c>
      <c r="C15" t="s">
        <v>32</v>
      </c>
      <c r="D15">
        <v>1346</v>
      </c>
      <c r="E15" t="s">
        <v>40</v>
      </c>
      <c r="F15">
        <v>19</v>
      </c>
      <c r="G15" t="str">
        <f>IF(Table2[[#This Row],[DistanceFromHome]]&lt;=5, "short", IF(Table2[[#This Row],[DistanceFromHome]]&lt;=15, "medium", "long"))</f>
        <v>long</v>
      </c>
      <c r="H15">
        <v>2</v>
      </c>
      <c r="I15" t="s">
        <v>46</v>
      </c>
      <c r="J15">
        <v>18</v>
      </c>
      <c r="K15">
        <v>2</v>
      </c>
      <c r="L15" t="s">
        <v>41</v>
      </c>
      <c r="M15">
        <v>93</v>
      </c>
      <c r="N15">
        <v>3</v>
      </c>
      <c r="O15">
        <v>1</v>
      </c>
      <c r="P15" t="s">
        <v>45</v>
      </c>
      <c r="Q15">
        <v>4</v>
      </c>
      <c r="R15" t="s">
        <v>47</v>
      </c>
      <c r="S15">
        <v>2661</v>
      </c>
      <c r="T15">
        <v>8758</v>
      </c>
      <c r="U15">
        <v>0</v>
      </c>
      <c r="V15" t="s">
        <v>38</v>
      </c>
      <c r="W15">
        <v>11</v>
      </c>
      <c r="X15">
        <v>3</v>
      </c>
      <c r="Y15">
        <v>3</v>
      </c>
      <c r="Z15">
        <v>1</v>
      </c>
      <c r="AA15">
        <v>3</v>
      </c>
      <c r="AB15" t="str">
        <f>IF(Table2[[#This Row],[TotalWorkingYears]]&lt;=5,"Early (0-5)",IF(Table2[[#This Row],[TotalWorkingYears]]&lt;=15,"Mid (6-15)","Senior (16+)"))</f>
        <v>Early (0-5)</v>
      </c>
      <c r="AC15">
        <v>2</v>
      </c>
      <c r="AD15">
        <v>3</v>
      </c>
      <c r="AE15" t="s">
        <v>63</v>
      </c>
      <c r="AF15">
        <v>2</v>
      </c>
      <c r="AG15">
        <v>1</v>
      </c>
      <c r="AH15">
        <v>2</v>
      </c>
    </row>
    <row r="16" spans="1:34" x14ac:dyDescent="0.3">
      <c r="A16" t="s">
        <v>59</v>
      </c>
      <c r="B16">
        <v>1</v>
      </c>
      <c r="C16" t="s">
        <v>32</v>
      </c>
      <c r="D16">
        <v>103</v>
      </c>
      <c r="E16" t="s">
        <v>40</v>
      </c>
      <c r="F16">
        <v>24</v>
      </c>
      <c r="G16" t="str">
        <f>IF(Table2[[#This Row],[DistanceFromHome]]&lt;=5, "short", IF(Table2[[#This Row],[DistanceFromHome]]&lt;=15, "medium", "long"))</f>
        <v>long</v>
      </c>
      <c r="H16">
        <v>3</v>
      </c>
      <c r="I16" t="s">
        <v>34</v>
      </c>
      <c r="J16">
        <v>19</v>
      </c>
      <c r="K16">
        <v>3</v>
      </c>
      <c r="L16" t="s">
        <v>41</v>
      </c>
      <c r="M16">
        <v>50</v>
      </c>
      <c r="N16">
        <v>2</v>
      </c>
      <c r="O16">
        <v>1</v>
      </c>
      <c r="P16" t="s">
        <v>45</v>
      </c>
      <c r="Q16">
        <v>3</v>
      </c>
      <c r="R16" t="s">
        <v>37</v>
      </c>
      <c r="S16">
        <v>2028</v>
      </c>
      <c r="T16">
        <v>12947</v>
      </c>
      <c r="U16">
        <v>5</v>
      </c>
      <c r="V16" t="s">
        <v>31</v>
      </c>
      <c r="W16">
        <v>14</v>
      </c>
      <c r="X16">
        <v>3</v>
      </c>
      <c r="Y16">
        <v>2</v>
      </c>
      <c r="Z16">
        <v>0</v>
      </c>
      <c r="AA16">
        <v>6</v>
      </c>
      <c r="AB16" t="str">
        <f>IF(Table2[[#This Row],[TotalWorkingYears]]&lt;=5,"Early (0-5)",IF(Table2[[#This Row],[TotalWorkingYears]]&lt;=15,"Mid (6-15)","Senior (16+)"))</f>
        <v>Mid (6-15)</v>
      </c>
      <c r="AC16">
        <v>4</v>
      </c>
      <c r="AD16">
        <v>3</v>
      </c>
      <c r="AE16" t="s">
        <v>64</v>
      </c>
      <c r="AF16">
        <v>2</v>
      </c>
      <c r="AG16">
        <v>0</v>
      </c>
      <c r="AH16">
        <v>3</v>
      </c>
    </row>
    <row r="17" spans="1:34" x14ac:dyDescent="0.3">
      <c r="A17" t="s">
        <v>59</v>
      </c>
      <c r="B17">
        <v>0</v>
      </c>
      <c r="C17" t="s">
        <v>32</v>
      </c>
      <c r="D17">
        <v>1389</v>
      </c>
      <c r="E17" t="s">
        <v>40</v>
      </c>
      <c r="F17">
        <v>21</v>
      </c>
      <c r="G17" t="str">
        <f>IF(Table2[[#This Row],[DistanceFromHome]]&lt;=5, "short", IF(Table2[[#This Row],[DistanceFromHome]]&lt;=15, "medium", "long"))</f>
        <v>long</v>
      </c>
      <c r="H17">
        <v>4</v>
      </c>
      <c r="I17" t="s">
        <v>34</v>
      </c>
      <c r="J17">
        <v>20</v>
      </c>
      <c r="K17">
        <v>2</v>
      </c>
      <c r="L17" t="s">
        <v>35</v>
      </c>
      <c r="M17">
        <v>51</v>
      </c>
      <c r="N17">
        <v>4</v>
      </c>
      <c r="O17">
        <v>3</v>
      </c>
      <c r="P17" t="s">
        <v>48</v>
      </c>
      <c r="Q17">
        <v>1</v>
      </c>
      <c r="R17" t="s">
        <v>47</v>
      </c>
      <c r="S17">
        <v>9980</v>
      </c>
      <c r="T17">
        <v>10195</v>
      </c>
      <c r="U17">
        <v>1</v>
      </c>
      <c r="V17" t="s">
        <v>38</v>
      </c>
      <c r="W17">
        <v>11</v>
      </c>
      <c r="X17">
        <v>3</v>
      </c>
      <c r="Y17">
        <v>3</v>
      </c>
      <c r="Z17">
        <v>1</v>
      </c>
      <c r="AA17">
        <v>10</v>
      </c>
      <c r="AB17" t="str">
        <f>IF(Table2[[#This Row],[TotalWorkingYears]]&lt;=5,"Early (0-5)",IF(Table2[[#This Row],[TotalWorkingYears]]&lt;=15,"Mid (6-15)","Senior (16+)"))</f>
        <v>Mid (6-15)</v>
      </c>
      <c r="AC17">
        <v>1</v>
      </c>
      <c r="AD17">
        <v>3</v>
      </c>
      <c r="AE17" t="s">
        <v>62</v>
      </c>
      <c r="AF17">
        <v>9</v>
      </c>
      <c r="AG17">
        <v>8</v>
      </c>
      <c r="AH17">
        <v>8</v>
      </c>
    </row>
    <row r="18" spans="1:34" x14ac:dyDescent="0.3">
      <c r="A18" t="s">
        <v>59</v>
      </c>
      <c r="B18">
        <v>0</v>
      </c>
      <c r="C18" t="s">
        <v>32</v>
      </c>
      <c r="D18">
        <v>334</v>
      </c>
      <c r="E18" t="s">
        <v>40</v>
      </c>
      <c r="F18">
        <v>5</v>
      </c>
      <c r="G18" t="str">
        <f>IF(Table2[[#This Row],[DistanceFromHome]]&lt;=5, "short", IF(Table2[[#This Row],[DistanceFromHome]]&lt;=15, "medium", "long"))</f>
        <v>short</v>
      </c>
      <c r="H18">
        <v>2</v>
      </c>
      <c r="I18" t="s">
        <v>34</v>
      </c>
      <c r="J18">
        <v>21</v>
      </c>
      <c r="K18">
        <v>1</v>
      </c>
      <c r="L18" t="s">
        <v>41</v>
      </c>
      <c r="M18">
        <v>80</v>
      </c>
      <c r="N18">
        <v>4</v>
      </c>
      <c r="O18">
        <v>1</v>
      </c>
      <c r="P18" t="s">
        <v>42</v>
      </c>
      <c r="Q18">
        <v>2</v>
      </c>
      <c r="R18" t="s">
        <v>47</v>
      </c>
      <c r="S18">
        <v>3298</v>
      </c>
      <c r="T18">
        <v>15053</v>
      </c>
      <c r="U18">
        <v>0</v>
      </c>
      <c r="V18" t="s">
        <v>31</v>
      </c>
      <c r="W18">
        <v>12</v>
      </c>
      <c r="X18">
        <v>3</v>
      </c>
      <c r="Y18">
        <v>4</v>
      </c>
      <c r="Z18">
        <v>2</v>
      </c>
      <c r="AA18">
        <v>7</v>
      </c>
      <c r="AB18" t="str">
        <f>IF(Table2[[#This Row],[TotalWorkingYears]]&lt;=5,"Early (0-5)",IF(Table2[[#This Row],[TotalWorkingYears]]&lt;=15,"Mid (6-15)","Senior (16+)"))</f>
        <v>Mid (6-15)</v>
      </c>
      <c r="AC18">
        <v>5</v>
      </c>
      <c r="AD18">
        <v>2</v>
      </c>
      <c r="AE18" t="s">
        <v>62</v>
      </c>
      <c r="AF18">
        <v>2</v>
      </c>
      <c r="AG18">
        <v>0</v>
      </c>
      <c r="AH18">
        <v>5</v>
      </c>
    </row>
    <row r="19" spans="1:34" x14ac:dyDescent="0.3">
      <c r="A19" t="s">
        <v>60</v>
      </c>
      <c r="B19">
        <v>0</v>
      </c>
      <c r="C19" t="s">
        <v>50</v>
      </c>
      <c r="D19">
        <v>1123</v>
      </c>
      <c r="E19" t="s">
        <v>40</v>
      </c>
      <c r="F19">
        <v>16</v>
      </c>
      <c r="G19" t="str">
        <f>IF(Table2[[#This Row],[DistanceFromHome]]&lt;=5, "short", IF(Table2[[#This Row],[DistanceFromHome]]&lt;=15, "medium", "long"))</f>
        <v>long</v>
      </c>
      <c r="H19">
        <v>2</v>
      </c>
      <c r="I19" t="s">
        <v>46</v>
      </c>
      <c r="J19">
        <v>22</v>
      </c>
      <c r="K19">
        <v>4</v>
      </c>
      <c r="L19" t="s">
        <v>41</v>
      </c>
      <c r="M19">
        <v>96</v>
      </c>
      <c r="N19">
        <v>4</v>
      </c>
      <c r="O19">
        <v>1</v>
      </c>
      <c r="P19" t="s">
        <v>45</v>
      </c>
      <c r="Q19">
        <v>4</v>
      </c>
      <c r="R19" t="s">
        <v>47</v>
      </c>
      <c r="S19">
        <v>2935</v>
      </c>
      <c r="T19">
        <v>7324</v>
      </c>
      <c r="U19">
        <v>1</v>
      </c>
      <c r="V19" t="s">
        <v>31</v>
      </c>
      <c r="W19">
        <v>13</v>
      </c>
      <c r="X19">
        <v>3</v>
      </c>
      <c r="Y19">
        <v>2</v>
      </c>
      <c r="Z19">
        <v>2</v>
      </c>
      <c r="AA19">
        <v>1</v>
      </c>
      <c r="AB19" t="str">
        <f>IF(Table2[[#This Row],[TotalWorkingYears]]&lt;=5,"Early (0-5)",IF(Table2[[#This Row],[TotalWorkingYears]]&lt;=15,"Mid (6-15)","Senior (16+)"))</f>
        <v>Early (0-5)</v>
      </c>
      <c r="AC19">
        <v>2</v>
      </c>
      <c r="AD19">
        <v>2</v>
      </c>
      <c r="AE19" t="s">
        <v>63</v>
      </c>
      <c r="AF19">
        <v>0</v>
      </c>
      <c r="AG19">
        <v>0</v>
      </c>
      <c r="AH19">
        <v>0</v>
      </c>
    </row>
    <row r="20" spans="1:34" x14ac:dyDescent="0.3">
      <c r="A20" t="s">
        <v>58</v>
      </c>
      <c r="B20">
        <v>0</v>
      </c>
      <c r="C20" t="s">
        <v>32</v>
      </c>
      <c r="D20">
        <v>1219</v>
      </c>
      <c r="E20" t="s">
        <v>33</v>
      </c>
      <c r="F20">
        <v>2</v>
      </c>
      <c r="G20" t="str">
        <f>IF(Table2[[#This Row],[DistanceFromHome]]&lt;=5, "short", IF(Table2[[#This Row],[DistanceFromHome]]&lt;=15, "medium", "long"))</f>
        <v>short</v>
      </c>
      <c r="H20">
        <v>4</v>
      </c>
      <c r="I20" t="s">
        <v>34</v>
      </c>
      <c r="J20">
        <v>23</v>
      </c>
      <c r="K20">
        <v>1</v>
      </c>
      <c r="L20" t="s">
        <v>35</v>
      </c>
      <c r="M20">
        <v>78</v>
      </c>
      <c r="N20">
        <v>2</v>
      </c>
      <c r="O20">
        <v>4</v>
      </c>
      <c r="P20" t="s">
        <v>51</v>
      </c>
      <c r="Q20">
        <v>4</v>
      </c>
      <c r="R20" t="s">
        <v>43</v>
      </c>
      <c r="S20">
        <v>15427</v>
      </c>
      <c r="T20">
        <v>22021</v>
      </c>
      <c r="U20">
        <v>2</v>
      </c>
      <c r="V20" t="s">
        <v>38</v>
      </c>
      <c r="W20">
        <v>16</v>
      </c>
      <c r="X20">
        <v>3</v>
      </c>
      <c r="Y20">
        <v>3</v>
      </c>
      <c r="Z20">
        <v>0</v>
      </c>
      <c r="AA20">
        <v>31</v>
      </c>
      <c r="AB20" t="str">
        <f>IF(Table2[[#This Row],[TotalWorkingYears]]&lt;=5,"Early (0-5)",IF(Table2[[#This Row],[TotalWorkingYears]]&lt;=15,"Mid (6-15)","Senior (16+)"))</f>
        <v>Senior (16+)</v>
      </c>
      <c r="AC20">
        <v>3</v>
      </c>
      <c r="AD20">
        <v>3</v>
      </c>
      <c r="AE20" t="s">
        <v>65</v>
      </c>
      <c r="AF20">
        <v>8</v>
      </c>
      <c r="AG20">
        <v>3</v>
      </c>
      <c r="AH20">
        <v>7</v>
      </c>
    </row>
    <row r="21" spans="1:34" x14ac:dyDescent="0.3">
      <c r="A21" t="s">
        <v>57</v>
      </c>
      <c r="B21">
        <v>0</v>
      </c>
      <c r="C21" t="s">
        <v>32</v>
      </c>
      <c r="D21">
        <v>371</v>
      </c>
      <c r="E21" t="s">
        <v>40</v>
      </c>
      <c r="F21">
        <v>2</v>
      </c>
      <c r="G21" t="str">
        <f>IF(Table2[[#This Row],[DistanceFromHome]]&lt;=5, "short", IF(Table2[[#This Row],[DistanceFromHome]]&lt;=15, "medium", "long"))</f>
        <v>short</v>
      </c>
      <c r="H21">
        <v>3</v>
      </c>
      <c r="I21" t="s">
        <v>34</v>
      </c>
      <c r="J21">
        <v>24</v>
      </c>
      <c r="K21">
        <v>4</v>
      </c>
      <c r="L21" t="s">
        <v>41</v>
      </c>
      <c r="M21">
        <v>45</v>
      </c>
      <c r="N21">
        <v>3</v>
      </c>
      <c r="O21">
        <v>1</v>
      </c>
      <c r="P21" t="s">
        <v>42</v>
      </c>
      <c r="Q21">
        <v>4</v>
      </c>
      <c r="R21" t="s">
        <v>37</v>
      </c>
      <c r="S21">
        <v>3944</v>
      </c>
      <c r="T21">
        <v>4306</v>
      </c>
      <c r="U21">
        <v>5</v>
      </c>
      <c r="V21" t="s">
        <v>31</v>
      </c>
      <c r="W21">
        <v>11</v>
      </c>
      <c r="X21">
        <v>3</v>
      </c>
      <c r="Y21">
        <v>3</v>
      </c>
      <c r="Z21">
        <v>0</v>
      </c>
      <c r="AA21">
        <v>6</v>
      </c>
      <c r="AB21" t="str">
        <f>IF(Table2[[#This Row],[TotalWorkingYears]]&lt;=5,"Early (0-5)",IF(Table2[[#This Row],[TotalWorkingYears]]&lt;=15,"Mid (6-15)","Senior (16+)"))</f>
        <v>Mid (6-15)</v>
      </c>
      <c r="AC21">
        <v>3</v>
      </c>
      <c r="AD21">
        <v>3</v>
      </c>
      <c r="AE21" t="s">
        <v>64</v>
      </c>
      <c r="AF21">
        <v>2</v>
      </c>
      <c r="AG21">
        <v>1</v>
      </c>
      <c r="AH21">
        <v>2</v>
      </c>
    </row>
    <row r="22" spans="1:34" x14ac:dyDescent="0.3">
      <c r="A22" t="s">
        <v>60</v>
      </c>
      <c r="B22">
        <v>0</v>
      </c>
      <c r="C22" t="s">
        <v>50</v>
      </c>
      <c r="D22">
        <v>673</v>
      </c>
      <c r="E22" t="s">
        <v>40</v>
      </c>
      <c r="F22">
        <v>11</v>
      </c>
      <c r="G22" t="str">
        <f>IF(Table2[[#This Row],[DistanceFromHome]]&lt;=5, "short", IF(Table2[[#This Row],[DistanceFromHome]]&lt;=15, "medium", "long"))</f>
        <v>medium</v>
      </c>
      <c r="H22">
        <v>2</v>
      </c>
      <c r="I22" t="s">
        <v>44</v>
      </c>
      <c r="J22">
        <v>26</v>
      </c>
      <c r="K22">
        <v>1</v>
      </c>
      <c r="L22" t="s">
        <v>35</v>
      </c>
      <c r="M22">
        <v>96</v>
      </c>
      <c r="N22">
        <v>4</v>
      </c>
      <c r="O22">
        <v>2</v>
      </c>
      <c r="P22" t="s">
        <v>48</v>
      </c>
      <c r="Q22">
        <v>3</v>
      </c>
      <c r="R22" t="s">
        <v>47</v>
      </c>
      <c r="S22">
        <v>4011</v>
      </c>
      <c r="T22">
        <v>8232</v>
      </c>
      <c r="U22">
        <v>0</v>
      </c>
      <c r="V22" t="s">
        <v>38</v>
      </c>
      <c r="W22">
        <v>18</v>
      </c>
      <c r="X22">
        <v>3</v>
      </c>
      <c r="Y22">
        <v>4</v>
      </c>
      <c r="Z22">
        <v>1</v>
      </c>
      <c r="AA22">
        <v>5</v>
      </c>
      <c r="AB22" t="str">
        <f>IF(Table2[[#This Row],[TotalWorkingYears]]&lt;=5,"Early (0-5)",IF(Table2[[#This Row],[TotalWorkingYears]]&lt;=15,"Mid (6-15)","Senior (16+)"))</f>
        <v>Early (0-5)</v>
      </c>
      <c r="AC22">
        <v>5</v>
      </c>
      <c r="AD22">
        <v>2</v>
      </c>
      <c r="AE22" t="s">
        <v>64</v>
      </c>
      <c r="AF22">
        <v>2</v>
      </c>
      <c r="AG22">
        <v>1</v>
      </c>
      <c r="AH22">
        <v>3</v>
      </c>
    </row>
    <row r="23" spans="1:34" x14ac:dyDescent="0.3">
      <c r="A23" t="s">
        <v>57</v>
      </c>
      <c r="B23">
        <v>1</v>
      </c>
      <c r="C23" t="s">
        <v>32</v>
      </c>
      <c r="D23">
        <v>1218</v>
      </c>
      <c r="E23" t="s">
        <v>33</v>
      </c>
      <c r="F23">
        <v>9</v>
      </c>
      <c r="G23" t="str">
        <f>IF(Table2[[#This Row],[DistanceFromHome]]&lt;=5, "short", IF(Table2[[#This Row],[DistanceFromHome]]&lt;=15, "medium", "long"))</f>
        <v>medium</v>
      </c>
      <c r="H23">
        <v>4</v>
      </c>
      <c r="I23" t="s">
        <v>34</v>
      </c>
      <c r="J23">
        <v>27</v>
      </c>
      <c r="K23">
        <v>3</v>
      </c>
      <c r="L23" t="s">
        <v>41</v>
      </c>
      <c r="M23">
        <v>82</v>
      </c>
      <c r="N23">
        <v>2</v>
      </c>
      <c r="O23">
        <v>1</v>
      </c>
      <c r="P23" t="s">
        <v>52</v>
      </c>
      <c r="Q23">
        <v>1</v>
      </c>
      <c r="R23" t="s">
        <v>37</v>
      </c>
      <c r="S23">
        <v>3407</v>
      </c>
      <c r="T23">
        <v>6986</v>
      </c>
      <c r="U23">
        <v>7</v>
      </c>
      <c r="V23" t="s">
        <v>38</v>
      </c>
      <c r="W23">
        <v>23</v>
      </c>
      <c r="X23">
        <v>4</v>
      </c>
      <c r="Y23">
        <v>2</v>
      </c>
      <c r="Z23">
        <v>0</v>
      </c>
      <c r="AA23">
        <v>10</v>
      </c>
      <c r="AB23" t="str">
        <f>IF(Table2[[#This Row],[TotalWorkingYears]]&lt;=5,"Early (0-5)",IF(Table2[[#This Row],[TotalWorkingYears]]&lt;=15,"Mid (6-15)","Senior (16+)"))</f>
        <v>Mid (6-15)</v>
      </c>
      <c r="AC23">
        <v>4</v>
      </c>
      <c r="AD23">
        <v>3</v>
      </c>
      <c r="AE23" t="s">
        <v>64</v>
      </c>
      <c r="AF23">
        <v>3</v>
      </c>
      <c r="AG23">
        <v>0</v>
      </c>
      <c r="AH23">
        <v>3</v>
      </c>
    </row>
    <row r="24" spans="1:34" x14ac:dyDescent="0.3">
      <c r="A24" t="s">
        <v>59</v>
      </c>
      <c r="B24">
        <v>0</v>
      </c>
      <c r="C24" t="s">
        <v>32</v>
      </c>
      <c r="D24">
        <v>419</v>
      </c>
      <c r="E24" t="s">
        <v>40</v>
      </c>
      <c r="F24">
        <v>7</v>
      </c>
      <c r="G24" t="str">
        <f>IF(Table2[[#This Row],[DistanceFromHome]]&lt;=5, "short", IF(Table2[[#This Row],[DistanceFromHome]]&lt;=15, "medium", "long"))</f>
        <v>medium</v>
      </c>
      <c r="H24">
        <v>4</v>
      </c>
      <c r="I24" t="s">
        <v>34</v>
      </c>
      <c r="J24">
        <v>28</v>
      </c>
      <c r="K24">
        <v>1</v>
      </c>
      <c r="L24" t="s">
        <v>35</v>
      </c>
      <c r="M24">
        <v>53</v>
      </c>
      <c r="N24">
        <v>3</v>
      </c>
      <c r="O24">
        <v>3</v>
      </c>
      <c r="P24" t="s">
        <v>53</v>
      </c>
      <c r="Q24">
        <v>2</v>
      </c>
      <c r="R24" t="s">
        <v>37</v>
      </c>
      <c r="S24">
        <v>11994</v>
      </c>
      <c r="T24">
        <v>21293</v>
      </c>
      <c r="U24">
        <v>0</v>
      </c>
      <c r="V24" t="s">
        <v>38</v>
      </c>
      <c r="W24">
        <v>11</v>
      </c>
      <c r="X24">
        <v>3</v>
      </c>
      <c r="Y24">
        <v>3</v>
      </c>
      <c r="Z24">
        <v>0</v>
      </c>
      <c r="AA24">
        <v>13</v>
      </c>
      <c r="AB24" t="str">
        <f>IF(Table2[[#This Row],[TotalWorkingYears]]&lt;=5,"Early (0-5)",IF(Table2[[#This Row],[TotalWorkingYears]]&lt;=15,"Mid (6-15)","Senior (16+)"))</f>
        <v>Mid (6-15)</v>
      </c>
      <c r="AC24">
        <v>4</v>
      </c>
      <c r="AD24">
        <v>3</v>
      </c>
      <c r="AE24" t="s">
        <v>65</v>
      </c>
      <c r="AF24">
        <v>6</v>
      </c>
      <c r="AG24">
        <v>2</v>
      </c>
      <c r="AH24">
        <v>11</v>
      </c>
    </row>
    <row r="25" spans="1:34" x14ac:dyDescent="0.3">
      <c r="A25" t="s">
        <v>60</v>
      </c>
      <c r="B25">
        <v>0</v>
      </c>
      <c r="C25" t="s">
        <v>32</v>
      </c>
      <c r="D25">
        <v>391</v>
      </c>
      <c r="E25" t="s">
        <v>40</v>
      </c>
      <c r="F25">
        <v>15</v>
      </c>
      <c r="G25" t="str">
        <f>IF(Table2[[#This Row],[DistanceFromHome]]&lt;=5, "short", IF(Table2[[#This Row],[DistanceFromHome]]&lt;=15, "medium", "long"))</f>
        <v>medium</v>
      </c>
      <c r="H25">
        <v>2</v>
      </c>
      <c r="I25" t="s">
        <v>34</v>
      </c>
      <c r="J25">
        <v>30</v>
      </c>
      <c r="K25">
        <v>3</v>
      </c>
      <c r="L25" t="s">
        <v>41</v>
      </c>
      <c r="M25">
        <v>96</v>
      </c>
      <c r="N25">
        <v>3</v>
      </c>
      <c r="O25">
        <v>1</v>
      </c>
      <c r="P25" t="s">
        <v>42</v>
      </c>
      <c r="Q25">
        <v>4</v>
      </c>
      <c r="R25" t="s">
        <v>37</v>
      </c>
      <c r="S25">
        <v>1232</v>
      </c>
      <c r="T25">
        <v>19281</v>
      </c>
      <c r="U25">
        <v>1</v>
      </c>
      <c r="V25" t="s">
        <v>38</v>
      </c>
      <c r="W25">
        <v>14</v>
      </c>
      <c r="X25">
        <v>3</v>
      </c>
      <c r="Y25">
        <v>4</v>
      </c>
      <c r="Z25">
        <v>0</v>
      </c>
      <c r="AA25">
        <v>0</v>
      </c>
      <c r="AB25" t="str">
        <f>IF(Table2[[#This Row],[TotalWorkingYears]]&lt;=5,"Early (0-5)",IF(Table2[[#This Row],[TotalWorkingYears]]&lt;=15,"Mid (6-15)","Senior (16+)"))</f>
        <v>Early (0-5)</v>
      </c>
      <c r="AC25">
        <v>6</v>
      </c>
      <c r="AD25">
        <v>3</v>
      </c>
      <c r="AE25" t="s">
        <v>63</v>
      </c>
      <c r="AF25">
        <v>0</v>
      </c>
      <c r="AG25">
        <v>0</v>
      </c>
      <c r="AH25">
        <v>0</v>
      </c>
    </row>
    <row r="26" spans="1:34" x14ac:dyDescent="0.3">
      <c r="A26" t="s">
        <v>59</v>
      </c>
      <c r="B26">
        <v>1</v>
      </c>
      <c r="C26" t="s">
        <v>32</v>
      </c>
      <c r="D26">
        <v>699</v>
      </c>
      <c r="E26" t="s">
        <v>40</v>
      </c>
      <c r="F26">
        <v>6</v>
      </c>
      <c r="G26" t="str">
        <f>IF(Table2[[#This Row],[DistanceFromHome]]&lt;=5, "short", IF(Table2[[#This Row],[DistanceFromHome]]&lt;=15, "medium", "long"))</f>
        <v>medium</v>
      </c>
      <c r="H26">
        <v>1</v>
      </c>
      <c r="I26" t="s">
        <v>46</v>
      </c>
      <c r="J26">
        <v>31</v>
      </c>
      <c r="K26">
        <v>2</v>
      </c>
      <c r="L26" t="s">
        <v>41</v>
      </c>
      <c r="M26">
        <v>83</v>
      </c>
      <c r="N26">
        <v>3</v>
      </c>
      <c r="O26">
        <v>1</v>
      </c>
      <c r="P26" t="s">
        <v>42</v>
      </c>
      <c r="Q26">
        <v>1</v>
      </c>
      <c r="R26" t="s">
        <v>37</v>
      </c>
      <c r="S26">
        <v>2960</v>
      </c>
      <c r="T26">
        <v>17102</v>
      </c>
      <c r="U26">
        <v>2</v>
      </c>
      <c r="V26" t="s">
        <v>38</v>
      </c>
      <c r="W26">
        <v>11</v>
      </c>
      <c r="X26">
        <v>3</v>
      </c>
      <c r="Y26">
        <v>3</v>
      </c>
      <c r="Z26">
        <v>0</v>
      </c>
      <c r="AA26">
        <v>8</v>
      </c>
      <c r="AB26" t="str">
        <f>IF(Table2[[#This Row],[TotalWorkingYears]]&lt;=5,"Early (0-5)",IF(Table2[[#This Row],[TotalWorkingYears]]&lt;=15,"Mid (6-15)","Senior (16+)"))</f>
        <v>Mid (6-15)</v>
      </c>
      <c r="AC26">
        <v>2</v>
      </c>
      <c r="AD26">
        <v>3</v>
      </c>
      <c r="AE26" t="s">
        <v>64</v>
      </c>
      <c r="AF26">
        <v>2</v>
      </c>
      <c r="AG26">
        <v>1</v>
      </c>
      <c r="AH26">
        <v>3</v>
      </c>
    </row>
    <row r="27" spans="1:34" x14ac:dyDescent="0.3">
      <c r="A27" t="s">
        <v>58</v>
      </c>
      <c r="B27">
        <v>0</v>
      </c>
      <c r="C27" t="s">
        <v>32</v>
      </c>
      <c r="D27">
        <v>1282</v>
      </c>
      <c r="E27" t="s">
        <v>40</v>
      </c>
      <c r="F27">
        <v>5</v>
      </c>
      <c r="G27" t="str">
        <f>IF(Table2[[#This Row],[DistanceFromHome]]&lt;=5, "short", IF(Table2[[#This Row],[DistanceFromHome]]&lt;=15, "medium", "long"))</f>
        <v>short</v>
      </c>
      <c r="H27">
        <v>3</v>
      </c>
      <c r="I27" t="s">
        <v>44</v>
      </c>
      <c r="J27">
        <v>32</v>
      </c>
      <c r="K27">
        <v>3</v>
      </c>
      <c r="L27" t="s">
        <v>35</v>
      </c>
      <c r="M27">
        <v>58</v>
      </c>
      <c r="N27">
        <v>3</v>
      </c>
      <c r="O27">
        <v>5</v>
      </c>
      <c r="P27" t="s">
        <v>51</v>
      </c>
      <c r="Q27">
        <v>3</v>
      </c>
      <c r="R27" t="s">
        <v>47</v>
      </c>
      <c r="S27">
        <v>19094</v>
      </c>
      <c r="T27">
        <v>10735</v>
      </c>
      <c r="U27">
        <v>4</v>
      </c>
      <c r="V27" t="s">
        <v>38</v>
      </c>
      <c r="W27">
        <v>11</v>
      </c>
      <c r="X27">
        <v>3</v>
      </c>
      <c r="Y27">
        <v>4</v>
      </c>
      <c r="Z27">
        <v>1</v>
      </c>
      <c r="AA27">
        <v>26</v>
      </c>
      <c r="AB27" t="str">
        <f>IF(Table2[[#This Row],[TotalWorkingYears]]&lt;=5,"Early (0-5)",IF(Table2[[#This Row],[TotalWorkingYears]]&lt;=15,"Mid (6-15)","Senior (16+)"))</f>
        <v>Senior (16+)</v>
      </c>
      <c r="AC27">
        <v>3</v>
      </c>
      <c r="AD27">
        <v>2</v>
      </c>
      <c r="AE27" t="s">
        <v>65</v>
      </c>
      <c r="AF27">
        <v>13</v>
      </c>
      <c r="AG27">
        <v>4</v>
      </c>
      <c r="AH27">
        <v>8</v>
      </c>
    </row>
    <row r="28" spans="1:34" x14ac:dyDescent="0.3">
      <c r="A28" t="s">
        <v>59</v>
      </c>
      <c r="B28">
        <v>1</v>
      </c>
      <c r="C28" t="s">
        <v>39</v>
      </c>
      <c r="D28">
        <v>1125</v>
      </c>
      <c r="E28" t="s">
        <v>40</v>
      </c>
      <c r="F28">
        <v>16</v>
      </c>
      <c r="G28" t="str">
        <f>IF(Table2[[#This Row],[DistanceFromHome]]&lt;=5, "short", IF(Table2[[#This Row],[DistanceFromHome]]&lt;=15, "medium", "long"))</f>
        <v>long</v>
      </c>
      <c r="H28">
        <v>1</v>
      </c>
      <c r="I28" t="s">
        <v>34</v>
      </c>
      <c r="J28">
        <v>33</v>
      </c>
      <c r="K28">
        <v>2</v>
      </c>
      <c r="L28" t="s">
        <v>35</v>
      </c>
      <c r="M28">
        <v>72</v>
      </c>
      <c r="N28">
        <v>1</v>
      </c>
      <c r="O28">
        <v>1</v>
      </c>
      <c r="P28" t="s">
        <v>42</v>
      </c>
      <c r="Q28">
        <v>1</v>
      </c>
      <c r="R28" t="s">
        <v>37</v>
      </c>
      <c r="S28">
        <v>3919</v>
      </c>
      <c r="T28">
        <v>4681</v>
      </c>
      <c r="U28">
        <v>1</v>
      </c>
      <c r="V28" t="s">
        <v>31</v>
      </c>
      <c r="W28">
        <v>22</v>
      </c>
      <c r="X28">
        <v>4</v>
      </c>
      <c r="Y28">
        <v>2</v>
      </c>
      <c r="Z28">
        <v>0</v>
      </c>
      <c r="AA28">
        <v>10</v>
      </c>
      <c r="AB28" t="str">
        <f>IF(Table2[[#This Row],[TotalWorkingYears]]&lt;=5,"Early (0-5)",IF(Table2[[#This Row],[TotalWorkingYears]]&lt;=15,"Mid (6-15)","Senior (16+)"))</f>
        <v>Mid (6-15)</v>
      </c>
      <c r="AC28">
        <v>5</v>
      </c>
      <c r="AD28">
        <v>3</v>
      </c>
      <c r="AE28" t="s">
        <v>62</v>
      </c>
      <c r="AF28">
        <v>2</v>
      </c>
      <c r="AG28">
        <v>6</v>
      </c>
      <c r="AH28">
        <v>7</v>
      </c>
    </row>
    <row r="29" spans="1:34" x14ac:dyDescent="0.3">
      <c r="A29" t="s">
        <v>57</v>
      </c>
      <c r="B29">
        <v>0</v>
      </c>
      <c r="C29" t="s">
        <v>32</v>
      </c>
      <c r="D29">
        <v>691</v>
      </c>
      <c r="E29" t="s">
        <v>33</v>
      </c>
      <c r="F29">
        <v>8</v>
      </c>
      <c r="G29" t="str">
        <f>IF(Table2[[#This Row],[DistanceFromHome]]&lt;=5, "short", IF(Table2[[#This Row],[DistanceFromHome]]&lt;=15, "medium", "long"))</f>
        <v>medium</v>
      </c>
      <c r="H29">
        <v>4</v>
      </c>
      <c r="I29" t="s">
        <v>54</v>
      </c>
      <c r="J29">
        <v>35</v>
      </c>
      <c r="K29">
        <v>3</v>
      </c>
      <c r="L29" t="s">
        <v>41</v>
      </c>
      <c r="M29">
        <v>48</v>
      </c>
      <c r="N29">
        <v>3</v>
      </c>
      <c r="O29">
        <v>2</v>
      </c>
      <c r="P29" t="s">
        <v>36</v>
      </c>
      <c r="Q29">
        <v>2</v>
      </c>
      <c r="R29" t="s">
        <v>43</v>
      </c>
      <c r="S29">
        <v>6825</v>
      </c>
      <c r="T29">
        <v>21173</v>
      </c>
      <c r="U29">
        <v>0</v>
      </c>
      <c r="V29" t="s">
        <v>38</v>
      </c>
      <c r="W29">
        <v>11</v>
      </c>
      <c r="X29">
        <v>3</v>
      </c>
      <c r="Y29">
        <v>4</v>
      </c>
      <c r="Z29">
        <v>1</v>
      </c>
      <c r="AA29">
        <v>10</v>
      </c>
      <c r="AB29" t="str">
        <f>IF(Table2[[#This Row],[TotalWorkingYears]]&lt;=5,"Early (0-5)",IF(Table2[[#This Row],[TotalWorkingYears]]&lt;=15,"Mid (6-15)","Senior (16+)"))</f>
        <v>Mid (6-15)</v>
      </c>
      <c r="AC29">
        <v>2</v>
      </c>
      <c r="AD29">
        <v>3</v>
      </c>
      <c r="AE29" t="s">
        <v>62</v>
      </c>
      <c r="AF29">
        <v>7</v>
      </c>
      <c r="AG29">
        <v>4</v>
      </c>
      <c r="AH29">
        <v>2</v>
      </c>
    </row>
    <row r="30" spans="1:34" x14ac:dyDescent="0.3">
      <c r="A30" t="s">
        <v>57</v>
      </c>
      <c r="B30">
        <v>0</v>
      </c>
      <c r="C30" t="s">
        <v>32</v>
      </c>
      <c r="D30">
        <v>477</v>
      </c>
      <c r="E30" t="s">
        <v>40</v>
      </c>
      <c r="F30">
        <v>7</v>
      </c>
      <c r="G30" t="str">
        <f>IF(Table2[[#This Row],[DistanceFromHome]]&lt;=5, "short", IF(Table2[[#This Row],[DistanceFromHome]]&lt;=15, "medium", "long"))</f>
        <v>medium</v>
      </c>
      <c r="H30">
        <v>4</v>
      </c>
      <c r="I30" t="s">
        <v>46</v>
      </c>
      <c r="J30">
        <v>36</v>
      </c>
      <c r="K30">
        <v>1</v>
      </c>
      <c r="L30" t="s">
        <v>35</v>
      </c>
      <c r="M30">
        <v>42</v>
      </c>
      <c r="N30">
        <v>2</v>
      </c>
      <c r="O30">
        <v>3</v>
      </c>
      <c r="P30" t="s">
        <v>49</v>
      </c>
      <c r="Q30">
        <v>4</v>
      </c>
      <c r="R30" t="s">
        <v>43</v>
      </c>
      <c r="S30">
        <v>10248</v>
      </c>
      <c r="T30">
        <v>2094</v>
      </c>
      <c r="U30">
        <v>3</v>
      </c>
      <c r="V30" t="s">
        <v>38</v>
      </c>
      <c r="W30">
        <v>14</v>
      </c>
      <c r="X30">
        <v>3</v>
      </c>
      <c r="Y30">
        <v>4</v>
      </c>
      <c r="Z30">
        <v>1</v>
      </c>
      <c r="AA30">
        <v>24</v>
      </c>
      <c r="AB30" t="str">
        <f>IF(Table2[[#This Row],[TotalWorkingYears]]&lt;=5,"Early (0-5)",IF(Table2[[#This Row],[TotalWorkingYears]]&lt;=15,"Mid (6-15)","Senior (16+)"))</f>
        <v>Senior (16+)</v>
      </c>
      <c r="AC30">
        <v>4</v>
      </c>
      <c r="AD30">
        <v>3</v>
      </c>
      <c r="AE30" t="s">
        <v>65</v>
      </c>
      <c r="AF30">
        <v>6</v>
      </c>
      <c r="AG30">
        <v>5</v>
      </c>
      <c r="AH30">
        <v>17</v>
      </c>
    </row>
    <row r="31" spans="1:34" x14ac:dyDescent="0.3">
      <c r="A31" t="s">
        <v>58</v>
      </c>
      <c r="B31">
        <v>0</v>
      </c>
      <c r="C31" t="s">
        <v>32</v>
      </c>
      <c r="D31">
        <v>705</v>
      </c>
      <c r="E31" t="s">
        <v>33</v>
      </c>
      <c r="F31">
        <v>2</v>
      </c>
      <c r="G31" t="str">
        <f>IF(Table2[[#This Row],[DistanceFromHome]]&lt;=5, "short", IF(Table2[[#This Row],[DistanceFromHome]]&lt;=15, "medium", "long"))</f>
        <v>short</v>
      </c>
      <c r="H31">
        <v>4</v>
      </c>
      <c r="I31" t="s">
        <v>54</v>
      </c>
      <c r="J31">
        <v>38</v>
      </c>
      <c r="K31">
        <v>2</v>
      </c>
      <c r="L31" t="s">
        <v>35</v>
      </c>
      <c r="M31">
        <v>83</v>
      </c>
      <c r="N31">
        <v>3</v>
      </c>
      <c r="O31">
        <v>5</v>
      </c>
      <c r="P31" t="s">
        <v>51</v>
      </c>
      <c r="Q31">
        <v>1</v>
      </c>
      <c r="R31" t="s">
        <v>37</v>
      </c>
      <c r="S31">
        <v>18947</v>
      </c>
      <c r="T31">
        <v>22822</v>
      </c>
      <c r="U31">
        <v>3</v>
      </c>
      <c r="V31" t="s">
        <v>38</v>
      </c>
      <c r="W31">
        <v>12</v>
      </c>
      <c r="X31">
        <v>3</v>
      </c>
      <c r="Y31">
        <v>4</v>
      </c>
      <c r="Z31">
        <v>0</v>
      </c>
      <c r="AA31">
        <v>22</v>
      </c>
      <c r="AB31" t="str">
        <f>IF(Table2[[#This Row],[TotalWorkingYears]]&lt;=5,"Early (0-5)",IF(Table2[[#This Row],[TotalWorkingYears]]&lt;=15,"Mid (6-15)","Senior (16+)"))</f>
        <v>Senior (16+)</v>
      </c>
      <c r="AC31">
        <v>2</v>
      </c>
      <c r="AD31">
        <v>2</v>
      </c>
      <c r="AE31" t="s">
        <v>63</v>
      </c>
      <c r="AF31">
        <v>2</v>
      </c>
      <c r="AG31">
        <v>2</v>
      </c>
      <c r="AH31">
        <v>1</v>
      </c>
    </row>
    <row r="32" spans="1:34" x14ac:dyDescent="0.3">
      <c r="A32" t="s">
        <v>59</v>
      </c>
      <c r="B32">
        <v>0</v>
      </c>
      <c r="C32" t="s">
        <v>32</v>
      </c>
      <c r="D32">
        <v>924</v>
      </c>
      <c r="E32" t="s">
        <v>40</v>
      </c>
      <c r="F32">
        <v>2</v>
      </c>
      <c r="G32" t="str">
        <f>IF(Table2[[#This Row],[DistanceFromHome]]&lt;=5, "short", IF(Table2[[#This Row],[DistanceFromHome]]&lt;=15, "medium", "long"))</f>
        <v>short</v>
      </c>
      <c r="H32">
        <v>3</v>
      </c>
      <c r="I32" t="s">
        <v>46</v>
      </c>
      <c r="J32">
        <v>39</v>
      </c>
      <c r="K32">
        <v>3</v>
      </c>
      <c r="L32" t="s">
        <v>41</v>
      </c>
      <c r="M32">
        <v>78</v>
      </c>
      <c r="N32">
        <v>3</v>
      </c>
      <c r="O32">
        <v>1</v>
      </c>
      <c r="P32" t="s">
        <v>45</v>
      </c>
      <c r="Q32">
        <v>4</v>
      </c>
      <c r="R32" t="s">
        <v>37</v>
      </c>
      <c r="S32">
        <v>2496</v>
      </c>
      <c r="T32">
        <v>6670</v>
      </c>
      <c r="U32">
        <v>4</v>
      </c>
      <c r="V32" t="s">
        <v>38</v>
      </c>
      <c r="W32">
        <v>11</v>
      </c>
      <c r="X32">
        <v>3</v>
      </c>
      <c r="Y32">
        <v>4</v>
      </c>
      <c r="Z32">
        <v>0</v>
      </c>
      <c r="AA32">
        <v>7</v>
      </c>
      <c r="AB32" t="str">
        <f>IF(Table2[[#This Row],[TotalWorkingYears]]&lt;=5,"Early (0-5)",IF(Table2[[#This Row],[TotalWorkingYears]]&lt;=15,"Mid (6-15)","Senior (16+)"))</f>
        <v>Mid (6-15)</v>
      </c>
      <c r="AC32">
        <v>3</v>
      </c>
      <c r="AD32">
        <v>3</v>
      </c>
      <c r="AE32" t="s">
        <v>63</v>
      </c>
      <c r="AF32">
        <v>1</v>
      </c>
      <c r="AG32">
        <v>0</v>
      </c>
      <c r="AH32">
        <v>0</v>
      </c>
    </row>
    <row r="33" spans="1:34" x14ac:dyDescent="0.3">
      <c r="A33" t="s">
        <v>57</v>
      </c>
      <c r="B33">
        <v>0</v>
      </c>
      <c r="C33" t="s">
        <v>32</v>
      </c>
      <c r="D33">
        <v>1459</v>
      </c>
      <c r="E33" t="s">
        <v>40</v>
      </c>
      <c r="F33">
        <v>10</v>
      </c>
      <c r="G33" t="str">
        <f>IF(Table2[[#This Row],[DistanceFromHome]]&lt;=5, "short", IF(Table2[[#This Row],[DistanceFromHome]]&lt;=15, "medium", "long"))</f>
        <v>medium</v>
      </c>
      <c r="H33">
        <v>4</v>
      </c>
      <c r="I33" t="s">
        <v>44</v>
      </c>
      <c r="J33">
        <v>40</v>
      </c>
      <c r="K33">
        <v>4</v>
      </c>
      <c r="L33" t="s">
        <v>41</v>
      </c>
      <c r="M33">
        <v>41</v>
      </c>
      <c r="N33">
        <v>3</v>
      </c>
      <c r="O33">
        <v>2</v>
      </c>
      <c r="P33" t="s">
        <v>49</v>
      </c>
      <c r="Q33">
        <v>4</v>
      </c>
      <c r="R33" t="s">
        <v>43</v>
      </c>
      <c r="S33">
        <v>6465</v>
      </c>
      <c r="T33">
        <v>19121</v>
      </c>
      <c r="U33">
        <v>2</v>
      </c>
      <c r="V33" t="s">
        <v>31</v>
      </c>
      <c r="W33">
        <v>13</v>
      </c>
      <c r="X33">
        <v>3</v>
      </c>
      <c r="Y33">
        <v>4</v>
      </c>
      <c r="Z33">
        <v>0</v>
      </c>
      <c r="AA33">
        <v>9</v>
      </c>
      <c r="AB33" t="str">
        <f>IF(Table2[[#This Row],[TotalWorkingYears]]&lt;=5,"Early (0-5)",IF(Table2[[#This Row],[TotalWorkingYears]]&lt;=15,"Mid (6-15)","Senior (16+)"))</f>
        <v>Mid (6-15)</v>
      </c>
      <c r="AC33">
        <v>5</v>
      </c>
      <c r="AD33">
        <v>4</v>
      </c>
      <c r="AE33" t="s">
        <v>64</v>
      </c>
      <c r="AF33">
        <v>2</v>
      </c>
      <c r="AG33">
        <v>1</v>
      </c>
      <c r="AH33">
        <v>3</v>
      </c>
    </row>
    <row r="34" spans="1:34" x14ac:dyDescent="0.3">
      <c r="A34" t="s">
        <v>59</v>
      </c>
      <c r="B34">
        <v>0</v>
      </c>
      <c r="C34" t="s">
        <v>32</v>
      </c>
      <c r="D34">
        <v>125</v>
      </c>
      <c r="E34" t="s">
        <v>40</v>
      </c>
      <c r="F34">
        <v>9</v>
      </c>
      <c r="G34" t="str">
        <f>IF(Table2[[#This Row],[DistanceFromHome]]&lt;=5, "short", IF(Table2[[#This Row],[DistanceFromHome]]&lt;=15, "medium", "long"))</f>
        <v>medium</v>
      </c>
      <c r="H34">
        <v>2</v>
      </c>
      <c r="I34" t="s">
        <v>46</v>
      </c>
      <c r="J34">
        <v>41</v>
      </c>
      <c r="K34">
        <v>4</v>
      </c>
      <c r="L34" t="s">
        <v>41</v>
      </c>
      <c r="M34">
        <v>83</v>
      </c>
      <c r="N34">
        <v>2</v>
      </c>
      <c r="O34">
        <v>1</v>
      </c>
      <c r="P34" t="s">
        <v>45</v>
      </c>
      <c r="Q34">
        <v>3</v>
      </c>
      <c r="R34" t="s">
        <v>37</v>
      </c>
      <c r="S34">
        <v>2206</v>
      </c>
      <c r="T34">
        <v>16117</v>
      </c>
      <c r="U34">
        <v>1</v>
      </c>
      <c r="V34" t="s">
        <v>38</v>
      </c>
      <c r="W34">
        <v>13</v>
      </c>
      <c r="X34">
        <v>3</v>
      </c>
      <c r="Y34">
        <v>1</v>
      </c>
      <c r="Z34">
        <v>0</v>
      </c>
      <c r="AA34">
        <v>10</v>
      </c>
      <c r="AB34" t="str">
        <f>IF(Table2[[#This Row],[TotalWorkingYears]]&lt;=5,"Early (0-5)",IF(Table2[[#This Row],[TotalWorkingYears]]&lt;=15,"Mid (6-15)","Senior (16+)"))</f>
        <v>Mid (6-15)</v>
      </c>
      <c r="AC34">
        <v>5</v>
      </c>
      <c r="AD34">
        <v>3</v>
      </c>
      <c r="AE34" t="s">
        <v>62</v>
      </c>
      <c r="AF34">
        <v>0</v>
      </c>
      <c r="AG34">
        <v>1</v>
      </c>
      <c r="AH34">
        <v>8</v>
      </c>
    </row>
    <row r="35" spans="1:34" x14ac:dyDescent="0.3">
      <c r="A35" t="s">
        <v>57</v>
      </c>
      <c r="B35">
        <v>1</v>
      </c>
      <c r="C35" t="s">
        <v>32</v>
      </c>
      <c r="D35">
        <v>895</v>
      </c>
      <c r="E35" t="s">
        <v>33</v>
      </c>
      <c r="F35">
        <v>5</v>
      </c>
      <c r="G35" t="str">
        <f>IF(Table2[[#This Row],[DistanceFromHome]]&lt;=5, "short", IF(Table2[[#This Row],[DistanceFromHome]]&lt;=15, "medium", "long"))</f>
        <v>short</v>
      </c>
      <c r="H35">
        <v>3</v>
      </c>
      <c r="I35" t="s">
        <v>55</v>
      </c>
      <c r="J35">
        <v>42</v>
      </c>
      <c r="K35">
        <v>4</v>
      </c>
      <c r="L35" t="s">
        <v>41</v>
      </c>
      <c r="M35">
        <v>56</v>
      </c>
      <c r="N35">
        <v>3</v>
      </c>
      <c r="O35">
        <v>2</v>
      </c>
      <c r="P35" t="s">
        <v>52</v>
      </c>
      <c r="Q35">
        <v>4</v>
      </c>
      <c r="R35" t="s">
        <v>43</v>
      </c>
      <c r="S35">
        <v>2086</v>
      </c>
      <c r="T35">
        <v>3335</v>
      </c>
      <c r="U35">
        <v>3</v>
      </c>
      <c r="V35" t="s">
        <v>38</v>
      </c>
      <c r="W35">
        <v>14</v>
      </c>
      <c r="X35">
        <v>3</v>
      </c>
      <c r="Y35">
        <v>3</v>
      </c>
      <c r="Z35">
        <v>1</v>
      </c>
      <c r="AA35">
        <v>19</v>
      </c>
      <c r="AB35" t="str">
        <f>IF(Table2[[#This Row],[TotalWorkingYears]]&lt;=5,"Early (0-5)",IF(Table2[[#This Row],[TotalWorkingYears]]&lt;=15,"Mid (6-15)","Senior (16+)"))</f>
        <v>Senior (16+)</v>
      </c>
      <c r="AC35">
        <v>6</v>
      </c>
      <c r="AD35">
        <v>4</v>
      </c>
      <c r="AE35" t="s">
        <v>63</v>
      </c>
      <c r="AF35">
        <v>0</v>
      </c>
      <c r="AG35">
        <v>0</v>
      </c>
      <c r="AH35">
        <v>0</v>
      </c>
    </row>
    <row r="36" spans="1:34" x14ac:dyDescent="0.3">
      <c r="A36" t="s">
        <v>60</v>
      </c>
      <c r="B36">
        <v>1</v>
      </c>
      <c r="C36" t="s">
        <v>32</v>
      </c>
      <c r="D36">
        <v>813</v>
      </c>
      <c r="E36" t="s">
        <v>40</v>
      </c>
      <c r="F36">
        <v>1</v>
      </c>
      <c r="G36" t="str">
        <f>IF(Table2[[#This Row],[DistanceFromHome]]&lt;=5, "short", IF(Table2[[#This Row],[DistanceFromHome]]&lt;=15, "medium", "long"))</f>
        <v>short</v>
      </c>
      <c r="H36">
        <v>3</v>
      </c>
      <c r="I36" t="s">
        <v>46</v>
      </c>
      <c r="J36">
        <v>45</v>
      </c>
      <c r="K36">
        <v>2</v>
      </c>
      <c r="L36" t="s">
        <v>41</v>
      </c>
      <c r="M36">
        <v>61</v>
      </c>
      <c r="N36">
        <v>3</v>
      </c>
      <c r="O36">
        <v>1</v>
      </c>
      <c r="P36" t="s">
        <v>42</v>
      </c>
      <c r="Q36">
        <v>4</v>
      </c>
      <c r="R36" t="s">
        <v>43</v>
      </c>
      <c r="S36">
        <v>2293</v>
      </c>
      <c r="T36">
        <v>3020</v>
      </c>
      <c r="U36">
        <v>2</v>
      </c>
      <c r="V36" t="s">
        <v>31</v>
      </c>
      <c r="W36">
        <v>16</v>
      </c>
      <c r="X36">
        <v>3</v>
      </c>
      <c r="Y36">
        <v>1</v>
      </c>
      <c r="Z36">
        <v>1</v>
      </c>
      <c r="AA36">
        <v>6</v>
      </c>
      <c r="AB36" t="str">
        <f>IF(Table2[[#This Row],[TotalWorkingYears]]&lt;=5,"Early (0-5)",IF(Table2[[#This Row],[TotalWorkingYears]]&lt;=15,"Mid (6-15)","Senior (16+)"))</f>
        <v>Mid (6-15)</v>
      </c>
      <c r="AC36">
        <v>2</v>
      </c>
      <c r="AD36">
        <v>2</v>
      </c>
      <c r="AE36" t="s">
        <v>63</v>
      </c>
      <c r="AF36">
        <v>0</v>
      </c>
      <c r="AG36">
        <v>2</v>
      </c>
      <c r="AH36">
        <v>0</v>
      </c>
    </row>
    <row r="37" spans="1:34" x14ac:dyDescent="0.3">
      <c r="A37" t="s">
        <v>57</v>
      </c>
      <c r="B37">
        <v>0</v>
      </c>
      <c r="C37" t="s">
        <v>32</v>
      </c>
      <c r="D37">
        <v>1273</v>
      </c>
      <c r="E37" t="s">
        <v>40</v>
      </c>
      <c r="F37">
        <v>2</v>
      </c>
      <c r="G37" t="str">
        <f>IF(Table2[[#This Row],[DistanceFromHome]]&lt;=5, "short", IF(Table2[[#This Row],[DistanceFromHome]]&lt;=15, "medium", "long"))</f>
        <v>short</v>
      </c>
      <c r="H37">
        <v>2</v>
      </c>
      <c r="I37" t="s">
        <v>46</v>
      </c>
      <c r="J37">
        <v>46</v>
      </c>
      <c r="K37">
        <v>4</v>
      </c>
      <c r="L37" t="s">
        <v>35</v>
      </c>
      <c r="M37">
        <v>72</v>
      </c>
      <c r="N37">
        <v>4</v>
      </c>
      <c r="O37">
        <v>1</v>
      </c>
      <c r="P37" t="s">
        <v>42</v>
      </c>
      <c r="Q37">
        <v>3</v>
      </c>
      <c r="R37" t="s">
        <v>47</v>
      </c>
      <c r="S37">
        <v>2645</v>
      </c>
      <c r="T37">
        <v>21923</v>
      </c>
      <c r="U37">
        <v>1</v>
      </c>
      <c r="V37" t="s">
        <v>38</v>
      </c>
      <c r="W37">
        <v>12</v>
      </c>
      <c r="X37">
        <v>3</v>
      </c>
      <c r="Y37">
        <v>4</v>
      </c>
      <c r="Z37">
        <v>2</v>
      </c>
      <c r="AA37">
        <v>6</v>
      </c>
      <c r="AB37" t="str">
        <f>IF(Table2[[#This Row],[TotalWorkingYears]]&lt;=5,"Early (0-5)",IF(Table2[[#This Row],[TotalWorkingYears]]&lt;=15,"Mid (6-15)","Senior (16+)"))</f>
        <v>Mid (6-15)</v>
      </c>
      <c r="AC37">
        <v>3</v>
      </c>
      <c r="AD37">
        <v>2</v>
      </c>
      <c r="AE37" t="s">
        <v>64</v>
      </c>
      <c r="AF37">
        <v>3</v>
      </c>
      <c r="AG37">
        <v>1</v>
      </c>
      <c r="AH37">
        <v>4</v>
      </c>
    </row>
    <row r="38" spans="1:34" x14ac:dyDescent="0.3">
      <c r="A38" t="s">
        <v>58</v>
      </c>
      <c r="B38">
        <v>1</v>
      </c>
      <c r="C38" t="s">
        <v>32</v>
      </c>
      <c r="D38">
        <v>869</v>
      </c>
      <c r="E38" t="s">
        <v>33</v>
      </c>
      <c r="F38">
        <v>3</v>
      </c>
      <c r="G38" t="str">
        <f>IF(Table2[[#This Row],[DistanceFromHome]]&lt;=5, "short", IF(Table2[[#This Row],[DistanceFromHome]]&lt;=15, "medium", "long"))</f>
        <v>short</v>
      </c>
      <c r="H38">
        <v>2</v>
      </c>
      <c r="I38" t="s">
        <v>54</v>
      </c>
      <c r="J38">
        <v>47</v>
      </c>
      <c r="K38">
        <v>1</v>
      </c>
      <c r="L38" t="s">
        <v>41</v>
      </c>
      <c r="M38">
        <v>86</v>
      </c>
      <c r="N38">
        <v>2</v>
      </c>
      <c r="O38">
        <v>1</v>
      </c>
      <c r="P38" t="s">
        <v>52</v>
      </c>
      <c r="Q38">
        <v>3</v>
      </c>
      <c r="R38" t="s">
        <v>43</v>
      </c>
      <c r="S38">
        <v>2683</v>
      </c>
      <c r="T38">
        <v>3810</v>
      </c>
      <c r="U38">
        <v>1</v>
      </c>
      <c r="V38" t="s">
        <v>31</v>
      </c>
      <c r="W38">
        <v>14</v>
      </c>
      <c r="X38">
        <v>3</v>
      </c>
      <c r="Y38">
        <v>3</v>
      </c>
      <c r="Z38">
        <v>0</v>
      </c>
      <c r="AA38">
        <v>3</v>
      </c>
      <c r="AB38" t="str">
        <f>IF(Table2[[#This Row],[TotalWorkingYears]]&lt;=5,"Early (0-5)",IF(Table2[[#This Row],[TotalWorkingYears]]&lt;=15,"Mid (6-15)","Senior (16+)"))</f>
        <v>Early (0-5)</v>
      </c>
      <c r="AC38">
        <v>2</v>
      </c>
      <c r="AD38">
        <v>3</v>
      </c>
      <c r="AE38" t="s">
        <v>64</v>
      </c>
      <c r="AF38">
        <v>2</v>
      </c>
      <c r="AG38">
        <v>0</v>
      </c>
      <c r="AH38">
        <v>2</v>
      </c>
    </row>
    <row r="39" spans="1:34" x14ac:dyDescent="0.3">
      <c r="A39" t="s">
        <v>59</v>
      </c>
      <c r="B39">
        <v>0</v>
      </c>
      <c r="C39" t="s">
        <v>32</v>
      </c>
      <c r="D39">
        <v>890</v>
      </c>
      <c r="E39" t="s">
        <v>33</v>
      </c>
      <c r="F39">
        <v>2</v>
      </c>
      <c r="G39" t="str">
        <f>IF(Table2[[#This Row],[DistanceFromHome]]&lt;=5, "short", IF(Table2[[#This Row],[DistanceFromHome]]&lt;=15, "medium", "long"))</f>
        <v>short</v>
      </c>
      <c r="H39">
        <v>3</v>
      </c>
      <c r="I39" t="s">
        <v>54</v>
      </c>
      <c r="J39">
        <v>49</v>
      </c>
      <c r="K39">
        <v>4</v>
      </c>
      <c r="L39" t="s">
        <v>35</v>
      </c>
      <c r="M39">
        <v>97</v>
      </c>
      <c r="N39">
        <v>3</v>
      </c>
      <c r="O39">
        <v>1</v>
      </c>
      <c r="P39" t="s">
        <v>52</v>
      </c>
      <c r="Q39">
        <v>4</v>
      </c>
      <c r="R39" t="s">
        <v>43</v>
      </c>
      <c r="S39">
        <v>2014</v>
      </c>
      <c r="T39">
        <v>9687</v>
      </c>
      <c r="U39">
        <v>1</v>
      </c>
      <c r="V39" t="s">
        <v>38</v>
      </c>
      <c r="W39">
        <v>13</v>
      </c>
      <c r="X39">
        <v>3</v>
      </c>
      <c r="Y39">
        <v>1</v>
      </c>
      <c r="Z39">
        <v>0</v>
      </c>
      <c r="AA39">
        <v>2</v>
      </c>
      <c r="AB39" t="str">
        <f>IF(Table2[[#This Row],[TotalWorkingYears]]&lt;=5,"Early (0-5)",IF(Table2[[#This Row],[TotalWorkingYears]]&lt;=15,"Mid (6-15)","Senior (16+)"))</f>
        <v>Early (0-5)</v>
      </c>
      <c r="AC39">
        <v>3</v>
      </c>
      <c r="AD39">
        <v>3</v>
      </c>
      <c r="AE39" t="s">
        <v>63</v>
      </c>
      <c r="AF39">
        <v>2</v>
      </c>
      <c r="AG39">
        <v>2</v>
      </c>
      <c r="AH39">
        <v>2</v>
      </c>
    </row>
    <row r="40" spans="1:34" x14ac:dyDescent="0.3">
      <c r="A40" t="s">
        <v>57</v>
      </c>
      <c r="B40">
        <v>0</v>
      </c>
      <c r="C40" t="s">
        <v>32</v>
      </c>
      <c r="D40">
        <v>852</v>
      </c>
      <c r="E40" t="s">
        <v>40</v>
      </c>
      <c r="F40">
        <v>5</v>
      </c>
      <c r="G40" t="str">
        <f>IF(Table2[[#This Row],[DistanceFromHome]]&lt;=5, "short", IF(Table2[[#This Row],[DistanceFromHome]]&lt;=15, "medium", "long"))</f>
        <v>short</v>
      </c>
      <c r="H40">
        <v>4</v>
      </c>
      <c r="I40" t="s">
        <v>34</v>
      </c>
      <c r="J40">
        <v>51</v>
      </c>
      <c r="K40">
        <v>2</v>
      </c>
      <c r="L40" t="s">
        <v>35</v>
      </c>
      <c r="M40">
        <v>82</v>
      </c>
      <c r="N40">
        <v>2</v>
      </c>
      <c r="O40">
        <v>1</v>
      </c>
      <c r="P40" t="s">
        <v>42</v>
      </c>
      <c r="Q40">
        <v>1</v>
      </c>
      <c r="R40" t="s">
        <v>43</v>
      </c>
      <c r="S40">
        <v>3419</v>
      </c>
      <c r="T40">
        <v>13072</v>
      </c>
      <c r="U40">
        <v>9</v>
      </c>
      <c r="V40" t="s">
        <v>31</v>
      </c>
      <c r="W40">
        <v>14</v>
      </c>
      <c r="X40">
        <v>3</v>
      </c>
      <c r="Y40">
        <v>4</v>
      </c>
      <c r="Z40">
        <v>1</v>
      </c>
      <c r="AA40">
        <v>6</v>
      </c>
      <c r="AB40" t="str">
        <f>IF(Table2[[#This Row],[TotalWorkingYears]]&lt;=5,"Early (0-5)",IF(Table2[[#This Row],[TotalWorkingYears]]&lt;=15,"Mid (6-15)","Senior (16+)"))</f>
        <v>Mid (6-15)</v>
      </c>
      <c r="AC40">
        <v>3</v>
      </c>
      <c r="AD40">
        <v>4</v>
      </c>
      <c r="AE40" t="s">
        <v>63</v>
      </c>
      <c r="AF40">
        <v>1</v>
      </c>
      <c r="AG40">
        <v>0</v>
      </c>
      <c r="AH40">
        <v>0</v>
      </c>
    </row>
    <row r="41" spans="1:34" x14ac:dyDescent="0.3">
      <c r="A41" t="s">
        <v>59</v>
      </c>
      <c r="B41">
        <v>0</v>
      </c>
      <c r="C41" t="s">
        <v>39</v>
      </c>
      <c r="D41">
        <v>1141</v>
      </c>
      <c r="E41" t="s">
        <v>33</v>
      </c>
      <c r="F41">
        <v>1</v>
      </c>
      <c r="G41" t="str">
        <f>IF(Table2[[#This Row],[DistanceFromHome]]&lt;=5, "short", IF(Table2[[#This Row],[DistanceFromHome]]&lt;=15, "medium", "long"))</f>
        <v>short</v>
      </c>
      <c r="H41">
        <v>3</v>
      </c>
      <c r="I41" t="s">
        <v>34</v>
      </c>
      <c r="J41">
        <v>52</v>
      </c>
      <c r="K41">
        <v>3</v>
      </c>
      <c r="L41" t="s">
        <v>35</v>
      </c>
      <c r="M41">
        <v>42</v>
      </c>
      <c r="N41">
        <v>4</v>
      </c>
      <c r="O41">
        <v>2</v>
      </c>
      <c r="P41" t="s">
        <v>36</v>
      </c>
      <c r="Q41">
        <v>1</v>
      </c>
      <c r="R41" t="s">
        <v>43</v>
      </c>
      <c r="S41">
        <v>5376</v>
      </c>
      <c r="T41">
        <v>3193</v>
      </c>
      <c r="U41">
        <v>2</v>
      </c>
      <c r="V41" t="s">
        <v>38</v>
      </c>
      <c r="W41">
        <v>19</v>
      </c>
      <c r="X41">
        <v>3</v>
      </c>
      <c r="Y41">
        <v>1</v>
      </c>
      <c r="Z41">
        <v>2</v>
      </c>
      <c r="AA41">
        <v>10</v>
      </c>
      <c r="AB41" t="str">
        <f>IF(Table2[[#This Row],[TotalWorkingYears]]&lt;=5,"Early (0-5)",IF(Table2[[#This Row],[TotalWorkingYears]]&lt;=15,"Mid (6-15)","Senior (16+)"))</f>
        <v>Mid (6-15)</v>
      </c>
      <c r="AC41">
        <v>3</v>
      </c>
      <c r="AD41">
        <v>3</v>
      </c>
      <c r="AE41" t="s">
        <v>64</v>
      </c>
      <c r="AF41">
        <v>3</v>
      </c>
      <c r="AG41">
        <v>1</v>
      </c>
      <c r="AH41">
        <v>3</v>
      </c>
    </row>
    <row r="42" spans="1:34" x14ac:dyDescent="0.3">
      <c r="A42" t="s">
        <v>59</v>
      </c>
      <c r="B42">
        <v>0</v>
      </c>
      <c r="C42" t="s">
        <v>32</v>
      </c>
      <c r="D42">
        <v>464</v>
      </c>
      <c r="E42" t="s">
        <v>40</v>
      </c>
      <c r="F42">
        <v>4</v>
      </c>
      <c r="G42" t="str">
        <f>IF(Table2[[#This Row],[DistanceFromHome]]&lt;=5, "short", IF(Table2[[#This Row],[DistanceFromHome]]&lt;=15, "medium", "long"))</f>
        <v>short</v>
      </c>
      <c r="H42">
        <v>2</v>
      </c>
      <c r="I42" t="s">
        <v>44</v>
      </c>
      <c r="J42">
        <v>53</v>
      </c>
      <c r="K42">
        <v>3</v>
      </c>
      <c r="L42" t="s">
        <v>41</v>
      </c>
      <c r="M42">
        <v>75</v>
      </c>
      <c r="N42">
        <v>3</v>
      </c>
      <c r="O42">
        <v>1</v>
      </c>
      <c r="P42" t="s">
        <v>45</v>
      </c>
      <c r="Q42">
        <v>4</v>
      </c>
      <c r="R42" t="s">
        <v>47</v>
      </c>
      <c r="S42">
        <v>1951</v>
      </c>
      <c r="T42">
        <v>10910</v>
      </c>
      <c r="U42">
        <v>1</v>
      </c>
      <c r="V42" t="s">
        <v>38</v>
      </c>
      <c r="W42">
        <v>12</v>
      </c>
      <c r="X42">
        <v>3</v>
      </c>
      <c r="Y42">
        <v>3</v>
      </c>
      <c r="Z42">
        <v>1</v>
      </c>
      <c r="AA42">
        <v>1</v>
      </c>
      <c r="AB42" t="str">
        <f>IF(Table2[[#This Row],[TotalWorkingYears]]&lt;=5,"Early (0-5)",IF(Table2[[#This Row],[TotalWorkingYears]]&lt;=15,"Mid (6-15)","Senior (16+)"))</f>
        <v>Early (0-5)</v>
      </c>
      <c r="AC42">
        <v>3</v>
      </c>
      <c r="AD42">
        <v>3</v>
      </c>
      <c r="AE42" t="s">
        <v>63</v>
      </c>
      <c r="AF42">
        <v>0</v>
      </c>
      <c r="AG42">
        <v>0</v>
      </c>
      <c r="AH42">
        <v>0</v>
      </c>
    </row>
    <row r="43" spans="1:34" x14ac:dyDescent="0.3">
      <c r="A43" t="s">
        <v>59</v>
      </c>
      <c r="B43">
        <v>0</v>
      </c>
      <c r="C43" t="s">
        <v>32</v>
      </c>
      <c r="D43">
        <v>1240</v>
      </c>
      <c r="E43" t="s">
        <v>40</v>
      </c>
      <c r="F43">
        <v>2</v>
      </c>
      <c r="G43" t="str">
        <f>IF(Table2[[#This Row],[DistanceFromHome]]&lt;=5, "short", IF(Table2[[#This Row],[DistanceFromHome]]&lt;=15, "medium", "long"))</f>
        <v>short</v>
      </c>
      <c r="H43">
        <v>4</v>
      </c>
      <c r="I43" t="s">
        <v>34</v>
      </c>
      <c r="J43">
        <v>54</v>
      </c>
      <c r="K43">
        <v>4</v>
      </c>
      <c r="L43" t="s">
        <v>35</v>
      </c>
      <c r="M43">
        <v>33</v>
      </c>
      <c r="N43">
        <v>3</v>
      </c>
      <c r="O43">
        <v>1</v>
      </c>
      <c r="P43" t="s">
        <v>45</v>
      </c>
      <c r="Q43">
        <v>1</v>
      </c>
      <c r="R43" t="s">
        <v>47</v>
      </c>
      <c r="S43">
        <v>2341</v>
      </c>
      <c r="T43">
        <v>19715</v>
      </c>
      <c r="U43">
        <v>1</v>
      </c>
      <c r="V43" t="s">
        <v>38</v>
      </c>
      <c r="W43">
        <v>13</v>
      </c>
      <c r="X43">
        <v>3</v>
      </c>
      <c r="Y43">
        <v>4</v>
      </c>
      <c r="Z43">
        <v>1</v>
      </c>
      <c r="AA43">
        <v>1</v>
      </c>
      <c r="AB43" t="str">
        <f>IF(Table2[[#This Row],[TotalWorkingYears]]&lt;=5,"Early (0-5)",IF(Table2[[#This Row],[TotalWorkingYears]]&lt;=15,"Mid (6-15)","Senior (16+)"))</f>
        <v>Early (0-5)</v>
      </c>
      <c r="AC43">
        <v>6</v>
      </c>
      <c r="AD43">
        <v>3</v>
      </c>
      <c r="AE43" t="s">
        <v>63</v>
      </c>
      <c r="AF43">
        <v>0</v>
      </c>
      <c r="AG43">
        <v>0</v>
      </c>
      <c r="AH43">
        <v>0</v>
      </c>
    </row>
    <row r="44" spans="1:34" x14ac:dyDescent="0.3">
      <c r="A44" t="s">
        <v>59</v>
      </c>
      <c r="B44">
        <v>1</v>
      </c>
      <c r="C44" t="s">
        <v>32</v>
      </c>
      <c r="D44">
        <v>1357</v>
      </c>
      <c r="E44" t="s">
        <v>40</v>
      </c>
      <c r="F44">
        <v>25</v>
      </c>
      <c r="G44" t="str">
        <f>IF(Table2[[#This Row],[DistanceFromHome]]&lt;=5, "short", IF(Table2[[#This Row],[DistanceFromHome]]&lt;=15, "medium", "long"))</f>
        <v>long</v>
      </c>
      <c r="H44">
        <v>3</v>
      </c>
      <c r="I44" t="s">
        <v>34</v>
      </c>
      <c r="J44">
        <v>55</v>
      </c>
      <c r="K44">
        <v>1</v>
      </c>
      <c r="L44" t="s">
        <v>41</v>
      </c>
      <c r="M44">
        <v>48</v>
      </c>
      <c r="N44">
        <v>1</v>
      </c>
      <c r="O44">
        <v>1</v>
      </c>
      <c r="P44" t="s">
        <v>45</v>
      </c>
      <c r="Q44">
        <v>3</v>
      </c>
      <c r="R44" t="s">
        <v>37</v>
      </c>
      <c r="S44">
        <v>2293</v>
      </c>
      <c r="T44">
        <v>10558</v>
      </c>
      <c r="U44">
        <v>1</v>
      </c>
      <c r="V44" t="s">
        <v>38</v>
      </c>
      <c r="W44">
        <v>12</v>
      </c>
      <c r="X44">
        <v>3</v>
      </c>
      <c r="Y44">
        <v>3</v>
      </c>
      <c r="Z44">
        <v>0</v>
      </c>
      <c r="AA44">
        <v>1</v>
      </c>
      <c r="AB44" t="str">
        <f>IF(Table2[[#This Row],[TotalWorkingYears]]&lt;=5,"Early (0-5)",IF(Table2[[#This Row],[TotalWorkingYears]]&lt;=15,"Mid (6-15)","Senior (16+)"))</f>
        <v>Early (0-5)</v>
      </c>
      <c r="AC44">
        <v>2</v>
      </c>
      <c r="AD44">
        <v>2</v>
      </c>
      <c r="AE44" t="s">
        <v>63</v>
      </c>
      <c r="AF44">
        <v>0</v>
      </c>
      <c r="AG44">
        <v>0</v>
      </c>
      <c r="AH44">
        <v>1</v>
      </c>
    </row>
    <row r="45" spans="1:34" x14ac:dyDescent="0.3">
      <c r="A45" t="s">
        <v>59</v>
      </c>
      <c r="B45">
        <v>0</v>
      </c>
      <c r="C45" t="s">
        <v>39</v>
      </c>
      <c r="D45">
        <v>994</v>
      </c>
      <c r="E45" t="s">
        <v>33</v>
      </c>
      <c r="F45">
        <v>8</v>
      </c>
      <c r="G45" t="str">
        <f>IF(Table2[[#This Row],[DistanceFromHome]]&lt;=5, "short", IF(Table2[[#This Row],[DistanceFromHome]]&lt;=15, "medium", "long"))</f>
        <v>medium</v>
      </c>
      <c r="H45">
        <v>3</v>
      </c>
      <c r="I45" t="s">
        <v>34</v>
      </c>
      <c r="J45">
        <v>56</v>
      </c>
      <c r="K45">
        <v>4</v>
      </c>
      <c r="L45" t="s">
        <v>41</v>
      </c>
      <c r="M45">
        <v>37</v>
      </c>
      <c r="N45">
        <v>3</v>
      </c>
      <c r="O45">
        <v>3</v>
      </c>
      <c r="P45" t="s">
        <v>36</v>
      </c>
      <c r="Q45">
        <v>3</v>
      </c>
      <c r="R45" t="s">
        <v>37</v>
      </c>
      <c r="S45">
        <v>8726</v>
      </c>
      <c r="T45">
        <v>2975</v>
      </c>
      <c r="U45">
        <v>1</v>
      </c>
      <c r="V45" t="s">
        <v>38</v>
      </c>
      <c r="W45">
        <v>15</v>
      </c>
      <c r="X45">
        <v>3</v>
      </c>
      <c r="Y45">
        <v>4</v>
      </c>
      <c r="Z45">
        <v>0</v>
      </c>
      <c r="AA45">
        <v>9</v>
      </c>
      <c r="AB45" t="str">
        <f>IF(Table2[[#This Row],[TotalWorkingYears]]&lt;=5,"Early (0-5)",IF(Table2[[#This Row],[TotalWorkingYears]]&lt;=15,"Mid (6-15)","Senior (16+)"))</f>
        <v>Mid (6-15)</v>
      </c>
      <c r="AC45">
        <v>0</v>
      </c>
      <c r="AD45">
        <v>3</v>
      </c>
      <c r="AE45" t="s">
        <v>62</v>
      </c>
      <c r="AF45">
        <v>8</v>
      </c>
      <c r="AG45">
        <v>1</v>
      </c>
      <c r="AH45">
        <v>7</v>
      </c>
    </row>
    <row r="46" spans="1:34" x14ac:dyDescent="0.3">
      <c r="A46" t="s">
        <v>59</v>
      </c>
      <c r="B46">
        <v>0</v>
      </c>
      <c r="C46" t="s">
        <v>39</v>
      </c>
      <c r="D46">
        <v>721</v>
      </c>
      <c r="E46" t="s">
        <v>40</v>
      </c>
      <c r="F46">
        <v>1</v>
      </c>
      <c r="G46" t="str">
        <f>IF(Table2[[#This Row],[DistanceFromHome]]&lt;=5, "short", IF(Table2[[#This Row],[DistanceFromHome]]&lt;=15, "medium", "long"))</f>
        <v>short</v>
      </c>
      <c r="H46">
        <v>2</v>
      </c>
      <c r="I46" t="s">
        <v>46</v>
      </c>
      <c r="J46">
        <v>57</v>
      </c>
      <c r="K46">
        <v>3</v>
      </c>
      <c r="L46" t="s">
        <v>35</v>
      </c>
      <c r="M46">
        <v>58</v>
      </c>
      <c r="N46">
        <v>3</v>
      </c>
      <c r="O46">
        <v>2</v>
      </c>
      <c r="P46" t="s">
        <v>45</v>
      </c>
      <c r="Q46">
        <v>4</v>
      </c>
      <c r="R46" t="s">
        <v>37</v>
      </c>
      <c r="S46">
        <v>4011</v>
      </c>
      <c r="T46">
        <v>10781</v>
      </c>
      <c r="U46">
        <v>1</v>
      </c>
      <c r="V46" t="s">
        <v>38</v>
      </c>
      <c r="W46">
        <v>23</v>
      </c>
      <c r="X46">
        <v>4</v>
      </c>
      <c r="Y46">
        <v>4</v>
      </c>
      <c r="Z46">
        <v>0</v>
      </c>
      <c r="AA46">
        <v>12</v>
      </c>
      <c r="AB46" t="str">
        <f>IF(Table2[[#This Row],[TotalWorkingYears]]&lt;=5,"Early (0-5)",IF(Table2[[#This Row],[TotalWorkingYears]]&lt;=15,"Mid (6-15)","Senior (16+)"))</f>
        <v>Mid (6-15)</v>
      </c>
      <c r="AC46">
        <v>2</v>
      </c>
      <c r="AD46">
        <v>3</v>
      </c>
      <c r="AE46" t="s">
        <v>65</v>
      </c>
      <c r="AF46">
        <v>8</v>
      </c>
      <c r="AG46">
        <v>3</v>
      </c>
      <c r="AH46">
        <v>7</v>
      </c>
    </row>
    <row r="47" spans="1:34" x14ac:dyDescent="0.3">
      <c r="A47" t="s">
        <v>57</v>
      </c>
      <c r="B47">
        <v>1</v>
      </c>
      <c r="C47" t="s">
        <v>32</v>
      </c>
      <c r="D47">
        <v>1360</v>
      </c>
      <c r="E47" t="s">
        <v>40</v>
      </c>
      <c r="F47">
        <v>12</v>
      </c>
      <c r="G47" t="str">
        <f>IF(Table2[[#This Row],[DistanceFromHome]]&lt;=5, "short", IF(Table2[[#This Row],[DistanceFromHome]]&lt;=15, "medium", "long"))</f>
        <v>medium</v>
      </c>
      <c r="H47">
        <v>3</v>
      </c>
      <c r="I47" t="s">
        <v>55</v>
      </c>
      <c r="J47">
        <v>58</v>
      </c>
      <c r="K47">
        <v>2</v>
      </c>
      <c r="L47" t="s">
        <v>35</v>
      </c>
      <c r="M47">
        <v>49</v>
      </c>
      <c r="N47">
        <v>3</v>
      </c>
      <c r="O47">
        <v>5</v>
      </c>
      <c r="P47" t="s">
        <v>53</v>
      </c>
      <c r="Q47">
        <v>3</v>
      </c>
      <c r="R47" t="s">
        <v>43</v>
      </c>
      <c r="S47">
        <v>19545</v>
      </c>
      <c r="T47">
        <v>16280</v>
      </c>
      <c r="U47">
        <v>1</v>
      </c>
      <c r="V47" t="s">
        <v>38</v>
      </c>
      <c r="W47">
        <v>12</v>
      </c>
      <c r="X47">
        <v>3</v>
      </c>
      <c r="Y47">
        <v>4</v>
      </c>
      <c r="Z47">
        <v>0</v>
      </c>
      <c r="AA47">
        <v>23</v>
      </c>
      <c r="AB47" t="str">
        <f>IF(Table2[[#This Row],[TotalWorkingYears]]&lt;=5,"Early (0-5)",IF(Table2[[#This Row],[TotalWorkingYears]]&lt;=15,"Mid (6-15)","Senior (16+)"))</f>
        <v>Senior (16+)</v>
      </c>
      <c r="AC47">
        <v>0</v>
      </c>
      <c r="AD47">
        <v>3</v>
      </c>
      <c r="AE47" t="s">
        <v>65</v>
      </c>
      <c r="AF47">
        <v>15</v>
      </c>
      <c r="AG47">
        <v>15</v>
      </c>
      <c r="AH47">
        <v>8</v>
      </c>
    </row>
    <row r="48" spans="1:34" x14ac:dyDescent="0.3">
      <c r="A48" t="s">
        <v>59</v>
      </c>
      <c r="B48">
        <v>0</v>
      </c>
      <c r="C48" t="s">
        <v>50</v>
      </c>
      <c r="D48">
        <v>1065</v>
      </c>
      <c r="E48" t="s">
        <v>33</v>
      </c>
      <c r="F48">
        <v>23</v>
      </c>
      <c r="G48" t="str">
        <f>IF(Table2[[#This Row],[DistanceFromHome]]&lt;=5, "short", IF(Table2[[#This Row],[DistanceFromHome]]&lt;=15, "medium", "long"))</f>
        <v>long</v>
      </c>
      <c r="H48">
        <v>4</v>
      </c>
      <c r="I48" t="s">
        <v>54</v>
      </c>
      <c r="J48">
        <v>60</v>
      </c>
      <c r="K48">
        <v>2</v>
      </c>
      <c r="L48" t="s">
        <v>41</v>
      </c>
      <c r="M48">
        <v>72</v>
      </c>
      <c r="N48">
        <v>3</v>
      </c>
      <c r="O48">
        <v>2</v>
      </c>
      <c r="P48" t="s">
        <v>36</v>
      </c>
      <c r="Q48">
        <v>3</v>
      </c>
      <c r="R48" t="s">
        <v>37</v>
      </c>
      <c r="S48">
        <v>4568</v>
      </c>
      <c r="T48">
        <v>10034</v>
      </c>
      <c r="U48">
        <v>0</v>
      </c>
      <c r="V48" t="s">
        <v>38</v>
      </c>
      <c r="W48">
        <v>20</v>
      </c>
      <c r="X48">
        <v>4</v>
      </c>
      <c r="Y48">
        <v>3</v>
      </c>
      <c r="Z48">
        <v>0</v>
      </c>
      <c r="AA48">
        <v>10</v>
      </c>
      <c r="AB48" t="str">
        <f>IF(Table2[[#This Row],[TotalWorkingYears]]&lt;=5,"Early (0-5)",IF(Table2[[#This Row],[TotalWorkingYears]]&lt;=15,"Mid (6-15)","Senior (16+)"))</f>
        <v>Mid (6-15)</v>
      </c>
      <c r="AC48">
        <v>2</v>
      </c>
      <c r="AD48">
        <v>3</v>
      </c>
      <c r="AE48" t="s">
        <v>62</v>
      </c>
      <c r="AF48">
        <v>5</v>
      </c>
      <c r="AG48">
        <v>8</v>
      </c>
      <c r="AH48">
        <v>7</v>
      </c>
    </row>
    <row r="49" spans="1:34" x14ac:dyDescent="0.3">
      <c r="A49" t="s">
        <v>57</v>
      </c>
      <c r="B49">
        <v>0</v>
      </c>
      <c r="C49" t="s">
        <v>32</v>
      </c>
      <c r="D49">
        <v>408</v>
      </c>
      <c r="E49" t="s">
        <v>40</v>
      </c>
      <c r="F49">
        <v>19</v>
      </c>
      <c r="G49" t="str">
        <f>IF(Table2[[#This Row],[DistanceFromHome]]&lt;=5, "short", IF(Table2[[#This Row],[DistanceFromHome]]&lt;=15, "medium", "long"))</f>
        <v>long</v>
      </c>
      <c r="H49">
        <v>2</v>
      </c>
      <c r="I49" t="s">
        <v>34</v>
      </c>
      <c r="J49">
        <v>61</v>
      </c>
      <c r="K49">
        <v>2</v>
      </c>
      <c r="L49" t="s">
        <v>41</v>
      </c>
      <c r="M49">
        <v>73</v>
      </c>
      <c r="N49">
        <v>3</v>
      </c>
      <c r="O49">
        <v>1</v>
      </c>
      <c r="P49" t="s">
        <v>42</v>
      </c>
      <c r="Q49">
        <v>2</v>
      </c>
      <c r="R49" t="s">
        <v>43</v>
      </c>
      <c r="S49">
        <v>3022</v>
      </c>
      <c r="T49">
        <v>10227</v>
      </c>
      <c r="U49">
        <v>4</v>
      </c>
      <c r="V49" t="s">
        <v>38</v>
      </c>
      <c r="W49">
        <v>21</v>
      </c>
      <c r="X49">
        <v>4</v>
      </c>
      <c r="Y49">
        <v>1</v>
      </c>
      <c r="Z49">
        <v>0</v>
      </c>
      <c r="AA49">
        <v>8</v>
      </c>
      <c r="AB49" t="str">
        <f>IF(Table2[[#This Row],[TotalWorkingYears]]&lt;=5,"Early (0-5)",IF(Table2[[#This Row],[TotalWorkingYears]]&lt;=15,"Mid (6-15)","Senior (16+)"))</f>
        <v>Mid (6-15)</v>
      </c>
      <c r="AC49">
        <v>1</v>
      </c>
      <c r="AD49">
        <v>3</v>
      </c>
      <c r="AE49" t="s">
        <v>63</v>
      </c>
      <c r="AF49">
        <v>0</v>
      </c>
      <c r="AG49">
        <v>0</v>
      </c>
      <c r="AH49">
        <v>0</v>
      </c>
    </row>
    <row r="50" spans="1:34" x14ac:dyDescent="0.3">
      <c r="A50" t="s">
        <v>58</v>
      </c>
      <c r="B50">
        <v>0</v>
      </c>
      <c r="C50" t="s">
        <v>39</v>
      </c>
      <c r="D50">
        <v>1211</v>
      </c>
      <c r="E50" t="s">
        <v>33</v>
      </c>
      <c r="F50">
        <v>5</v>
      </c>
      <c r="G50" t="str">
        <f>IF(Table2[[#This Row],[DistanceFromHome]]&lt;=5, "short", IF(Table2[[#This Row],[DistanceFromHome]]&lt;=15, "medium", "long"))</f>
        <v>short</v>
      </c>
      <c r="H50">
        <v>4</v>
      </c>
      <c r="I50" t="s">
        <v>54</v>
      </c>
      <c r="J50">
        <v>62</v>
      </c>
      <c r="K50">
        <v>1</v>
      </c>
      <c r="L50" t="s">
        <v>41</v>
      </c>
      <c r="M50">
        <v>98</v>
      </c>
      <c r="N50">
        <v>3</v>
      </c>
      <c r="O50">
        <v>2</v>
      </c>
      <c r="P50" t="s">
        <v>36</v>
      </c>
      <c r="Q50">
        <v>4</v>
      </c>
      <c r="R50" t="s">
        <v>37</v>
      </c>
      <c r="S50">
        <v>5772</v>
      </c>
      <c r="T50">
        <v>20445</v>
      </c>
      <c r="U50">
        <v>4</v>
      </c>
      <c r="V50" t="s">
        <v>31</v>
      </c>
      <c r="W50">
        <v>21</v>
      </c>
      <c r="X50">
        <v>4</v>
      </c>
      <c r="Y50">
        <v>3</v>
      </c>
      <c r="Z50">
        <v>0</v>
      </c>
      <c r="AA50">
        <v>14</v>
      </c>
      <c r="AB50" t="str">
        <f>IF(Table2[[#This Row],[TotalWorkingYears]]&lt;=5,"Early (0-5)",IF(Table2[[#This Row],[TotalWorkingYears]]&lt;=15,"Mid (6-15)","Senior (16+)"))</f>
        <v>Mid (6-15)</v>
      </c>
      <c r="AC50">
        <v>4</v>
      </c>
      <c r="AD50">
        <v>3</v>
      </c>
      <c r="AE50" t="s">
        <v>62</v>
      </c>
      <c r="AF50">
        <v>6</v>
      </c>
      <c r="AG50">
        <v>0</v>
      </c>
      <c r="AH50">
        <v>8</v>
      </c>
    </row>
    <row r="51" spans="1:34" x14ac:dyDescent="0.3">
      <c r="A51" t="s">
        <v>59</v>
      </c>
      <c r="B51">
        <v>0</v>
      </c>
      <c r="C51" t="s">
        <v>32</v>
      </c>
      <c r="D51">
        <v>1229</v>
      </c>
      <c r="E51" t="s">
        <v>40</v>
      </c>
      <c r="F51">
        <v>8</v>
      </c>
      <c r="G51" t="str">
        <f>IF(Table2[[#This Row],[DistanceFromHome]]&lt;=5, "short", IF(Table2[[#This Row],[DistanceFromHome]]&lt;=15, "medium", "long"))</f>
        <v>medium</v>
      </c>
      <c r="H51">
        <v>1</v>
      </c>
      <c r="I51" t="s">
        <v>34</v>
      </c>
      <c r="J51">
        <v>63</v>
      </c>
      <c r="K51">
        <v>4</v>
      </c>
      <c r="L51" t="s">
        <v>41</v>
      </c>
      <c r="M51">
        <v>36</v>
      </c>
      <c r="N51">
        <v>4</v>
      </c>
      <c r="O51">
        <v>1</v>
      </c>
      <c r="P51" t="s">
        <v>45</v>
      </c>
      <c r="Q51">
        <v>4</v>
      </c>
      <c r="R51" t="s">
        <v>43</v>
      </c>
      <c r="S51">
        <v>2269</v>
      </c>
      <c r="T51">
        <v>4892</v>
      </c>
      <c r="U51">
        <v>1</v>
      </c>
      <c r="V51" t="s">
        <v>38</v>
      </c>
      <c r="W51">
        <v>19</v>
      </c>
      <c r="X51">
        <v>3</v>
      </c>
      <c r="Y51">
        <v>4</v>
      </c>
      <c r="Z51">
        <v>0</v>
      </c>
      <c r="AA51">
        <v>1</v>
      </c>
      <c r="AB51" t="str">
        <f>IF(Table2[[#This Row],[TotalWorkingYears]]&lt;=5,"Early (0-5)",IF(Table2[[#This Row],[TotalWorkingYears]]&lt;=15,"Mid (6-15)","Senior (16+)"))</f>
        <v>Early (0-5)</v>
      </c>
      <c r="AC51">
        <v>2</v>
      </c>
      <c r="AD51">
        <v>3</v>
      </c>
      <c r="AE51" t="s">
        <v>63</v>
      </c>
      <c r="AF51">
        <v>0</v>
      </c>
      <c r="AG51">
        <v>0</v>
      </c>
      <c r="AH51">
        <v>1</v>
      </c>
    </row>
    <row r="52" spans="1:34" x14ac:dyDescent="0.3">
      <c r="A52" t="s">
        <v>58</v>
      </c>
      <c r="B52">
        <v>1</v>
      </c>
      <c r="C52" t="s">
        <v>32</v>
      </c>
      <c r="D52">
        <v>626</v>
      </c>
      <c r="E52" t="s">
        <v>40</v>
      </c>
      <c r="F52">
        <v>1</v>
      </c>
      <c r="G52" t="str">
        <f>IF(Table2[[#This Row],[DistanceFromHome]]&lt;=5, "short", IF(Table2[[#This Row],[DistanceFromHome]]&lt;=15, "medium", "long"))</f>
        <v>short</v>
      </c>
      <c r="H52">
        <v>2</v>
      </c>
      <c r="I52" t="s">
        <v>34</v>
      </c>
      <c r="J52">
        <v>64</v>
      </c>
      <c r="K52">
        <v>1</v>
      </c>
      <c r="L52" t="s">
        <v>41</v>
      </c>
      <c r="M52">
        <v>98</v>
      </c>
      <c r="N52">
        <v>2</v>
      </c>
      <c r="O52">
        <v>3</v>
      </c>
      <c r="P52" t="s">
        <v>45</v>
      </c>
      <c r="Q52">
        <v>3</v>
      </c>
      <c r="R52" t="s">
        <v>37</v>
      </c>
      <c r="S52">
        <v>5381</v>
      </c>
      <c r="T52">
        <v>19294</v>
      </c>
      <c r="U52">
        <v>9</v>
      </c>
      <c r="V52" t="s">
        <v>31</v>
      </c>
      <c r="W52">
        <v>13</v>
      </c>
      <c r="X52">
        <v>3</v>
      </c>
      <c r="Y52">
        <v>4</v>
      </c>
      <c r="Z52">
        <v>0</v>
      </c>
      <c r="AA52">
        <v>23</v>
      </c>
      <c r="AB52" t="str">
        <f>IF(Table2[[#This Row],[TotalWorkingYears]]&lt;=5,"Early (0-5)",IF(Table2[[#This Row],[TotalWorkingYears]]&lt;=15,"Mid (6-15)","Senior (16+)"))</f>
        <v>Senior (16+)</v>
      </c>
      <c r="AC52">
        <v>2</v>
      </c>
      <c r="AD52">
        <v>3</v>
      </c>
      <c r="AE52" t="s">
        <v>63</v>
      </c>
      <c r="AF52">
        <v>0</v>
      </c>
      <c r="AG52">
        <v>0</v>
      </c>
      <c r="AH52">
        <v>0</v>
      </c>
    </row>
    <row r="53" spans="1:34" x14ac:dyDescent="0.3">
      <c r="A53" t="s">
        <v>59</v>
      </c>
      <c r="B53">
        <v>1</v>
      </c>
      <c r="C53" t="s">
        <v>32</v>
      </c>
      <c r="D53">
        <v>1434</v>
      </c>
      <c r="E53" t="s">
        <v>40</v>
      </c>
      <c r="F53">
        <v>5</v>
      </c>
      <c r="G53" t="str">
        <f>IF(Table2[[#This Row],[DistanceFromHome]]&lt;=5, "short", IF(Table2[[#This Row],[DistanceFromHome]]&lt;=15, "medium", "long"))</f>
        <v>short</v>
      </c>
      <c r="H53">
        <v>4</v>
      </c>
      <c r="I53" t="s">
        <v>55</v>
      </c>
      <c r="J53">
        <v>65</v>
      </c>
      <c r="K53">
        <v>3</v>
      </c>
      <c r="L53" t="s">
        <v>41</v>
      </c>
      <c r="M53">
        <v>50</v>
      </c>
      <c r="N53">
        <v>3</v>
      </c>
      <c r="O53">
        <v>1</v>
      </c>
      <c r="P53" t="s">
        <v>45</v>
      </c>
      <c r="Q53">
        <v>3</v>
      </c>
      <c r="R53" t="s">
        <v>37</v>
      </c>
      <c r="S53">
        <v>3441</v>
      </c>
      <c r="T53">
        <v>11179</v>
      </c>
      <c r="U53">
        <v>1</v>
      </c>
      <c r="V53" t="s">
        <v>31</v>
      </c>
      <c r="W53">
        <v>13</v>
      </c>
      <c r="X53">
        <v>3</v>
      </c>
      <c r="Y53">
        <v>3</v>
      </c>
      <c r="Z53">
        <v>0</v>
      </c>
      <c r="AA53">
        <v>2</v>
      </c>
      <c r="AB53" t="str">
        <f>IF(Table2[[#This Row],[TotalWorkingYears]]&lt;=5,"Early (0-5)",IF(Table2[[#This Row],[TotalWorkingYears]]&lt;=15,"Mid (6-15)","Senior (16+)"))</f>
        <v>Early (0-5)</v>
      </c>
      <c r="AC53">
        <v>3</v>
      </c>
      <c r="AD53">
        <v>2</v>
      </c>
      <c r="AE53" t="s">
        <v>63</v>
      </c>
      <c r="AF53">
        <v>2</v>
      </c>
      <c r="AG53">
        <v>2</v>
      </c>
      <c r="AH53">
        <v>2</v>
      </c>
    </row>
    <row r="54" spans="1:34" x14ac:dyDescent="0.3">
      <c r="A54" t="s">
        <v>57</v>
      </c>
      <c r="B54">
        <v>0</v>
      </c>
      <c r="C54" t="s">
        <v>32</v>
      </c>
      <c r="D54">
        <v>1488</v>
      </c>
      <c r="E54" t="s">
        <v>33</v>
      </c>
      <c r="F54">
        <v>1</v>
      </c>
      <c r="G54" t="str">
        <f>IF(Table2[[#This Row],[DistanceFromHome]]&lt;=5, "short", IF(Table2[[#This Row],[DistanceFromHome]]&lt;=15, "medium", "long"))</f>
        <v>short</v>
      </c>
      <c r="H54">
        <v>5</v>
      </c>
      <c r="I54" t="s">
        <v>54</v>
      </c>
      <c r="J54">
        <v>68</v>
      </c>
      <c r="K54">
        <v>2</v>
      </c>
      <c r="L54" t="s">
        <v>35</v>
      </c>
      <c r="M54">
        <v>75</v>
      </c>
      <c r="N54">
        <v>3</v>
      </c>
      <c r="O54">
        <v>2</v>
      </c>
      <c r="P54" t="s">
        <v>36</v>
      </c>
      <c r="Q54">
        <v>1</v>
      </c>
      <c r="R54" t="s">
        <v>47</v>
      </c>
      <c r="S54">
        <v>5454</v>
      </c>
      <c r="T54">
        <v>4009</v>
      </c>
      <c r="U54">
        <v>5</v>
      </c>
      <c r="V54" t="s">
        <v>31</v>
      </c>
      <c r="W54">
        <v>21</v>
      </c>
      <c r="X54">
        <v>4</v>
      </c>
      <c r="Y54">
        <v>3</v>
      </c>
      <c r="Z54">
        <v>1</v>
      </c>
      <c r="AA54">
        <v>9</v>
      </c>
      <c r="AB54" t="str">
        <f>IF(Table2[[#This Row],[TotalWorkingYears]]&lt;=5,"Early (0-5)",IF(Table2[[#This Row],[TotalWorkingYears]]&lt;=15,"Mid (6-15)","Senior (16+)"))</f>
        <v>Mid (6-15)</v>
      </c>
      <c r="AC54">
        <v>2</v>
      </c>
      <c r="AD54">
        <v>2</v>
      </c>
      <c r="AE54" t="s">
        <v>64</v>
      </c>
      <c r="AF54">
        <v>3</v>
      </c>
      <c r="AG54">
        <v>1</v>
      </c>
      <c r="AH54">
        <v>3</v>
      </c>
    </row>
    <row r="55" spans="1:34" x14ac:dyDescent="0.3">
      <c r="A55" t="s">
        <v>59</v>
      </c>
      <c r="B55">
        <v>0</v>
      </c>
      <c r="C55" t="s">
        <v>50</v>
      </c>
      <c r="D55">
        <v>1097</v>
      </c>
      <c r="E55" t="s">
        <v>40</v>
      </c>
      <c r="F55">
        <v>11</v>
      </c>
      <c r="G55" t="str">
        <f>IF(Table2[[#This Row],[DistanceFromHome]]&lt;=5, "short", IF(Table2[[#This Row],[DistanceFromHome]]&lt;=15, "medium", "long"))</f>
        <v>medium</v>
      </c>
      <c r="H55">
        <v>2</v>
      </c>
      <c r="I55" t="s">
        <v>46</v>
      </c>
      <c r="J55">
        <v>70</v>
      </c>
      <c r="K55">
        <v>3</v>
      </c>
      <c r="L55" t="s">
        <v>41</v>
      </c>
      <c r="M55">
        <v>79</v>
      </c>
      <c r="N55">
        <v>2</v>
      </c>
      <c r="O55">
        <v>3</v>
      </c>
      <c r="P55" t="s">
        <v>49</v>
      </c>
      <c r="Q55">
        <v>1</v>
      </c>
      <c r="R55" t="s">
        <v>43</v>
      </c>
      <c r="S55">
        <v>9884</v>
      </c>
      <c r="T55">
        <v>8302</v>
      </c>
      <c r="U55">
        <v>2</v>
      </c>
      <c r="V55" t="s">
        <v>31</v>
      </c>
      <c r="W55">
        <v>13</v>
      </c>
      <c r="X55">
        <v>3</v>
      </c>
      <c r="Y55">
        <v>3</v>
      </c>
      <c r="Z55">
        <v>1</v>
      </c>
      <c r="AA55">
        <v>10</v>
      </c>
      <c r="AB55" t="str">
        <f>IF(Table2[[#This Row],[TotalWorkingYears]]&lt;=5,"Early (0-5)",IF(Table2[[#This Row],[TotalWorkingYears]]&lt;=15,"Mid (6-15)","Senior (16+)"))</f>
        <v>Mid (6-15)</v>
      </c>
      <c r="AC55">
        <v>3</v>
      </c>
      <c r="AD55">
        <v>3</v>
      </c>
      <c r="AE55" t="s">
        <v>64</v>
      </c>
      <c r="AF55">
        <v>0</v>
      </c>
      <c r="AG55">
        <v>2</v>
      </c>
      <c r="AH55">
        <v>3</v>
      </c>
    </row>
    <row r="56" spans="1:34" x14ac:dyDescent="0.3">
      <c r="A56" t="s">
        <v>59</v>
      </c>
      <c r="B56">
        <v>0</v>
      </c>
      <c r="C56" t="s">
        <v>32</v>
      </c>
      <c r="D56">
        <v>1443</v>
      </c>
      <c r="E56" t="s">
        <v>33</v>
      </c>
      <c r="F56">
        <v>23</v>
      </c>
      <c r="G56" t="str">
        <f>IF(Table2[[#This Row],[DistanceFromHome]]&lt;=5, "short", IF(Table2[[#This Row],[DistanceFromHome]]&lt;=15, "medium", "long"))</f>
        <v>long</v>
      </c>
      <c r="H56">
        <v>3</v>
      </c>
      <c r="I56" t="s">
        <v>54</v>
      </c>
      <c r="J56">
        <v>72</v>
      </c>
      <c r="K56">
        <v>3</v>
      </c>
      <c r="L56" t="s">
        <v>35</v>
      </c>
      <c r="M56">
        <v>47</v>
      </c>
      <c r="N56">
        <v>2</v>
      </c>
      <c r="O56">
        <v>2</v>
      </c>
      <c r="P56" t="s">
        <v>36</v>
      </c>
      <c r="Q56">
        <v>4</v>
      </c>
      <c r="R56" t="s">
        <v>43</v>
      </c>
      <c r="S56">
        <v>4157</v>
      </c>
      <c r="T56">
        <v>21436</v>
      </c>
      <c r="U56">
        <v>7</v>
      </c>
      <c r="V56" t="s">
        <v>31</v>
      </c>
      <c r="W56">
        <v>19</v>
      </c>
      <c r="X56">
        <v>3</v>
      </c>
      <c r="Y56">
        <v>3</v>
      </c>
      <c r="Z56">
        <v>1</v>
      </c>
      <c r="AA56">
        <v>5</v>
      </c>
      <c r="AB56" t="str">
        <f>IF(Table2[[#This Row],[TotalWorkingYears]]&lt;=5,"Early (0-5)",IF(Table2[[#This Row],[TotalWorkingYears]]&lt;=15,"Mid (6-15)","Senior (16+)"))</f>
        <v>Early (0-5)</v>
      </c>
      <c r="AC56">
        <v>2</v>
      </c>
      <c r="AD56">
        <v>2</v>
      </c>
      <c r="AE56" t="s">
        <v>63</v>
      </c>
      <c r="AF56">
        <v>2</v>
      </c>
      <c r="AG56">
        <v>0</v>
      </c>
      <c r="AH56">
        <v>0</v>
      </c>
    </row>
    <row r="57" spans="1:34" x14ac:dyDescent="0.3">
      <c r="A57" t="s">
        <v>59</v>
      </c>
      <c r="B57">
        <v>0</v>
      </c>
      <c r="C57" t="s">
        <v>39</v>
      </c>
      <c r="D57">
        <v>515</v>
      </c>
      <c r="E57" t="s">
        <v>40</v>
      </c>
      <c r="F57">
        <v>1</v>
      </c>
      <c r="G57" t="str">
        <f>IF(Table2[[#This Row],[DistanceFromHome]]&lt;=5, "short", IF(Table2[[#This Row],[DistanceFromHome]]&lt;=15, "medium", "long"))</f>
        <v>short</v>
      </c>
      <c r="H57">
        <v>2</v>
      </c>
      <c r="I57" t="s">
        <v>34</v>
      </c>
      <c r="J57">
        <v>73</v>
      </c>
      <c r="K57">
        <v>1</v>
      </c>
      <c r="L57" t="s">
        <v>35</v>
      </c>
      <c r="M57">
        <v>98</v>
      </c>
      <c r="N57">
        <v>3</v>
      </c>
      <c r="O57">
        <v>3</v>
      </c>
      <c r="P57" t="s">
        <v>53</v>
      </c>
      <c r="Q57">
        <v>4</v>
      </c>
      <c r="R57" t="s">
        <v>37</v>
      </c>
      <c r="S57">
        <v>13458</v>
      </c>
      <c r="T57">
        <v>15146</v>
      </c>
      <c r="U57">
        <v>1</v>
      </c>
      <c r="V57" t="s">
        <v>31</v>
      </c>
      <c r="W57">
        <v>12</v>
      </c>
      <c r="X57">
        <v>3</v>
      </c>
      <c r="Y57">
        <v>3</v>
      </c>
      <c r="Z57">
        <v>0</v>
      </c>
      <c r="AA57">
        <v>15</v>
      </c>
      <c r="AB57" t="str">
        <f>IF(Table2[[#This Row],[TotalWorkingYears]]&lt;=5,"Early (0-5)",IF(Table2[[#This Row],[TotalWorkingYears]]&lt;=15,"Mid (6-15)","Senior (16+)"))</f>
        <v>Mid (6-15)</v>
      </c>
      <c r="AC57">
        <v>1</v>
      </c>
      <c r="AD57">
        <v>3</v>
      </c>
      <c r="AE57" t="s">
        <v>65</v>
      </c>
      <c r="AF57">
        <v>14</v>
      </c>
      <c r="AG57">
        <v>8</v>
      </c>
      <c r="AH57">
        <v>12</v>
      </c>
    </row>
    <row r="58" spans="1:34" x14ac:dyDescent="0.3">
      <c r="A58" t="s">
        <v>59</v>
      </c>
      <c r="B58">
        <v>0</v>
      </c>
      <c r="C58" t="s">
        <v>39</v>
      </c>
      <c r="D58">
        <v>853</v>
      </c>
      <c r="E58" t="s">
        <v>33</v>
      </c>
      <c r="F58">
        <v>18</v>
      </c>
      <c r="G58" t="str">
        <f>IF(Table2[[#This Row],[DistanceFromHome]]&lt;=5, "short", IF(Table2[[#This Row],[DistanceFromHome]]&lt;=15, "medium", "long"))</f>
        <v>long</v>
      </c>
      <c r="H58">
        <v>5</v>
      </c>
      <c r="I58" t="s">
        <v>34</v>
      </c>
      <c r="J58">
        <v>74</v>
      </c>
      <c r="K58">
        <v>2</v>
      </c>
      <c r="L58" t="s">
        <v>41</v>
      </c>
      <c r="M58">
        <v>71</v>
      </c>
      <c r="N58">
        <v>3</v>
      </c>
      <c r="O58">
        <v>3</v>
      </c>
      <c r="P58" t="s">
        <v>36</v>
      </c>
      <c r="Q58">
        <v>1</v>
      </c>
      <c r="R58" t="s">
        <v>43</v>
      </c>
      <c r="S58">
        <v>9069</v>
      </c>
      <c r="T58">
        <v>11031</v>
      </c>
      <c r="U58">
        <v>1</v>
      </c>
      <c r="V58" t="s">
        <v>38</v>
      </c>
      <c r="W58">
        <v>22</v>
      </c>
      <c r="X58">
        <v>4</v>
      </c>
      <c r="Y58">
        <v>4</v>
      </c>
      <c r="Z58">
        <v>1</v>
      </c>
      <c r="AA58">
        <v>9</v>
      </c>
      <c r="AB58" t="str">
        <f>IF(Table2[[#This Row],[TotalWorkingYears]]&lt;=5,"Early (0-5)",IF(Table2[[#This Row],[TotalWorkingYears]]&lt;=15,"Mid (6-15)","Senior (16+)"))</f>
        <v>Mid (6-15)</v>
      </c>
      <c r="AC58">
        <v>3</v>
      </c>
      <c r="AD58">
        <v>2</v>
      </c>
      <c r="AE58" t="s">
        <v>62</v>
      </c>
      <c r="AF58">
        <v>8</v>
      </c>
      <c r="AG58">
        <v>1</v>
      </c>
      <c r="AH58">
        <v>8</v>
      </c>
    </row>
    <row r="59" spans="1:34" x14ac:dyDescent="0.3">
      <c r="A59" t="s">
        <v>59</v>
      </c>
      <c r="B59">
        <v>0</v>
      </c>
      <c r="C59" t="s">
        <v>32</v>
      </c>
      <c r="D59">
        <v>1142</v>
      </c>
      <c r="E59" t="s">
        <v>40</v>
      </c>
      <c r="F59">
        <v>23</v>
      </c>
      <c r="G59" t="str">
        <f>IF(Table2[[#This Row],[DistanceFromHome]]&lt;=5, "short", IF(Table2[[#This Row],[DistanceFromHome]]&lt;=15, "medium", "long"))</f>
        <v>long</v>
      </c>
      <c r="H59">
        <v>4</v>
      </c>
      <c r="I59" t="s">
        <v>46</v>
      </c>
      <c r="J59">
        <v>75</v>
      </c>
      <c r="K59">
        <v>3</v>
      </c>
      <c r="L59" t="s">
        <v>35</v>
      </c>
      <c r="M59">
        <v>30</v>
      </c>
      <c r="N59">
        <v>3</v>
      </c>
      <c r="O59">
        <v>1</v>
      </c>
      <c r="P59" t="s">
        <v>45</v>
      </c>
      <c r="Q59">
        <v>1</v>
      </c>
      <c r="R59" t="s">
        <v>43</v>
      </c>
      <c r="S59">
        <v>4014</v>
      </c>
      <c r="T59">
        <v>16002</v>
      </c>
      <c r="U59">
        <v>3</v>
      </c>
      <c r="V59" t="s">
        <v>31</v>
      </c>
      <c r="W59">
        <v>15</v>
      </c>
      <c r="X59">
        <v>3</v>
      </c>
      <c r="Y59">
        <v>3</v>
      </c>
      <c r="Z59">
        <v>1</v>
      </c>
      <c r="AA59">
        <v>4</v>
      </c>
      <c r="AB59" t="str">
        <f>IF(Table2[[#This Row],[TotalWorkingYears]]&lt;=5,"Early (0-5)",IF(Table2[[#This Row],[TotalWorkingYears]]&lt;=15,"Mid (6-15)","Senior (16+)"))</f>
        <v>Early (0-5)</v>
      </c>
      <c r="AC59">
        <v>3</v>
      </c>
      <c r="AD59">
        <v>3</v>
      </c>
      <c r="AE59" t="s">
        <v>63</v>
      </c>
      <c r="AF59">
        <v>2</v>
      </c>
      <c r="AG59">
        <v>2</v>
      </c>
      <c r="AH59">
        <v>2</v>
      </c>
    </row>
    <row r="60" spans="1:34" x14ac:dyDescent="0.3">
      <c r="A60" t="s">
        <v>59</v>
      </c>
      <c r="B60">
        <v>0</v>
      </c>
      <c r="C60" t="s">
        <v>32</v>
      </c>
      <c r="D60">
        <v>655</v>
      </c>
      <c r="E60" t="s">
        <v>40</v>
      </c>
      <c r="F60">
        <v>7</v>
      </c>
      <c r="G60" t="str">
        <f>IF(Table2[[#This Row],[DistanceFromHome]]&lt;=5, "short", IF(Table2[[#This Row],[DistanceFromHome]]&lt;=15, "medium", "long"))</f>
        <v>medium</v>
      </c>
      <c r="H60">
        <v>4</v>
      </c>
      <c r="I60" t="s">
        <v>34</v>
      </c>
      <c r="J60">
        <v>76</v>
      </c>
      <c r="K60">
        <v>4</v>
      </c>
      <c r="L60" t="s">
        <v>41</v>
      </c>
      <c r="M60">
        <v>48</v>
      </c>
      <c r="N60">
        <v>3</v>
      </c>
      <c r="O60">
        <v>2</v>
      </c>
      <c r="P60" t="s">
        <v>45</v>
      </c>
      <c r="Q60">
        <v>4</v>
      </c>
      <c r="R60" t="s">
        <v>47</v>
      </c>
      <c r="S60">
        <v>5915</v>
      </c>
      <c r="T60">
        <v>9528</v>
      </c>
      <c r="U60">
        <v>3</v>
      </c>
      <c r="V60" t="s">
        <v>38</v>
      </c>
      <c r="W60">
        <v>22</v>
      </c>
      <c r="X60">
        <v>4</v>
      </c>
      <c r="Y60">
        <v>4</v>
      </c>
      <c r="Z60">
        <v>1</v>
      </c>
      <c r="AA60">
        <v>10</v>
      </c>
      <c r="AB60" t="str">
        <f>IF(Table2[[#This Row],[TotalWorkingYears]]&lt;=5,"Early (0-5)",IF(Table2[[#This Row],[TotalWorkingYears]]&lt;=15,"Mid (6-15)","Senior (16+)"))</f>
        <v>Mid (6-15)</v>
      </c>
      <c r="AC60">
        <v>3</v>
      </c>
      <c r="AD60">
        <v>2</v>
      </c>
      <c r="AE60" t="s">
        <v>62</v>
      </c>
      <c r="AF60">
        <v>7</v>
      </c>
      <c r="AG60">
        <v>1</v>
      </c>
      <c r="AH60">
        <v>7</v>
      </c>
    </row>
    <row r="61" spans="1:34" x14ac:dyDescent="0.3">
      <c r="A61" t="s">
        <v>57</v>
      </c>
      <c r="B61">
        <v>0</v>
      </c>
      <c r="C61" t="s">
        <v>32</v>
      </c>
      <c r="D61">
        <v>1115</v>
      </c>
      <c r="E61" t="s">
        <v>40</v>
      </c>
      <c r="F61">
        <v>1</v>
      </c>
      <c r="G61" t="str">
        <f>IF(Table2[[#This Row],[DistanceFromHome]]&lt;=5, "short", IF(Table2[[#This Row],[DistanceFromHome]]&lt;=15, "medium", "long"))</f>
        <v>short</v>
      </c>
      <c r="H61">
        <v>4</v>
      </c>
      <c r="I61" t="s">
        <v>34</v>
      </c>
      <c r="J61">
        <v>77</v>
      </c>
      <c r="K61">
        <v>1</v>
      </c>
      <c r="L61" t="s">
        <v>41</v>
      </c>
      <c r="M61">
        <v>51</v>
      </c>
      <c r="N61">
        <v>2</v>
      </c>
      <c r="O61">
        <v>2</v>
      </c>
      <c r="P61" t="s">
        <v>48</v>
      </c>
      <c r="Q61">
        <v>3</v>
      </c>
      <c r="R61" t="s">
        <v>47</v>
      </c>
      <c r="S61">
        <v>5993</v>
      </c>
      <c r="T61">
        <v>2689</v>
      </c>
      <c r="U61">
        <v>1</v>
      </c>
      <c r="V61" t="s">
        <v>38</v>
      </c>
      <c r="W61">
        <v>18</v>
      </c>
      <c r="X61">
        <v>3</v>
      </c>
      <c r="Y61">
        <v>3</v>
      </c>
      <c r="Z61">
        <v>1</v>
      </c>
      <c r="AA61">
        <v>7</v>
      </c>
      <c r="AB61" t="str">
        <f>IF(Table2[[#This Row],[TotalWorkingYears]]&lt;=5,"Early (0-5)",IF(Table2[[#This Row],[TotalWorkingYears]]&lt;=15,"Mid (6-15)","Senior (16+)"))</f>
        <v>Mid (6-15)</v>
      </c>
      <c r="AC61">
        <v>2</v>
      </c>
      <c r="AD61">
        <v>4</v>
      </c>
      <c r="AE61" t="s">
        <v>62</v>
      </c>
      <c r="AF61">
        <v>5</v>
      </c>
      <c r="AG61">
        <v>0</v>
      </c>
      <c r="AH61">
        <v>7</v>
      </c>
    </row>
    <row r="62" spans="1:34" x14ac:dyDescent="0.3">
      <c r="A62" t="s">
        <v>59</v>
      </c>
      <c r="B62">
        <v>0</v>
      </c>
      <c r="C62" t="s">
        <v>32</v>
      </c>
      <c r="D62">
        <v>427</v>
      </c>
      <c r="E62" t="s">
        <v>40</v>
      </c>
      <c r="F62">
        <v>1</v>
      </c>
      <c r="G62" t="str">
        <f>IF(Table2[[#This Row],[DistanceFromHome]]&lt;=5, "short", IF(Table2[[#This Row],[DistanceFromHome]]&lt;=15, "medium", "long"))</f>
        <v>short</v>
      </c>
      <c r="H62">
        <v>3</v>
      </c>
      <c r="I62" t="s">
        <v>46</v>
      </c>
      <c r="J62">
        <v>78</v>
      </c>
      <c r="K62">
        <v>1</v>
      </c>
      <c r="L62" t="s">
        <v>41</v>
      </c>
      <c r="M62">
        <v>33</v>
      </c>
      <c r="N62">
        <v>3</v>
      </c>
      <c r="O62">
        <v>2</v>
      </c>
      <c r="P62" t="s">
        <v>48</v>
      </c>
      <c r="Q62">
        <v>4</v>
      </c>
      <c r="R62" t="s">
        <v>43</v>
      </c>
      <c r="S62">
        <v>6162</v>
      </c>
      <c r="T62">
        <v>10877</v>
      </c>
      <c r="U62">
        <v>1</v>
      </c>
      <c r="V62" t="s">
        <v>31</v>
      </c>
      <c r="W62">
        <v>22</v>
      </c>
      <c r="X62">
        <v>4</v>
      </c>
      <c r="Y62">
        <v>2</v>
      </c>
      <c r="Z62">
        <v>1</v>
      </c>
      <c r="AA62">
        <v>9</v>
      </c>
      <c r="AB62" t="str">
        <f>IF(Table2[[#This Row],[TotalWorkingYears]]&lt;=5,"Early (0-5)",IF(Table2[[#This Row],[TotalWorkingYears]]&lt;=15,"Mid (6-15)","Senior (16+)"))</f>
        <v>Mid (6-15)</v>
      </c>
      <c r="AC62">
        <v>3</v>
      </c>
      <c r="AD62">
        <v>3</v>
      </c>
      <c r="AE62" t="s">
        <v>62</v>
      </c>
      <c r="AF62">
        <v>8</v>
      </c>
      <c r="AG62">
        <v>7</v>
      </c>
      <c r="AH62">
        <v>8</v>
      </c>
    </row>
    <row r="63" spans="1:34" x14ac:dyDescent="0.3">
      <c r="A63" t="s">
        <v>57</v>
      </c>
      <c r="B63">
        <v>0</v>
      </c>
      <c r="C63" t="s">
        <v>39</v>
      </c>
      <c r="D63">
        <v>653</v>
      </c>
      <c r="E63" t="s">
        <v>40</v>
      </c>
      <c r="F63">
        <v>29</v>
      </c>
      <c r="G63" t="str">
        <f>IF(Table2[[#This Row],[DistanceFromHome]]&lt;=5, "short", IF(Table2[[#This Row],[DistanceFromHome]]&lt;=15, "medium", "long"))</f>
        <v>long</v>
      </c>
      <c r="H63">
        <v>5</v>
      </c>
      <c r="I63" t="s">
        <v>34</v>
      </c>
      <c r="J63">
        <v>79</v>
      </c>
      <c r="K63">
        <v>4</v>
      </c>
      <c r="L63" t="s">
        <v>35</v>
      </c>
      <c r="M63">
        <v>50</v>
      </c>
      <c r="N63">
        <v>3</v>
      </c>
      <c r="O63">
        <v>2</v>
      </c>
      <c r="P63" t="s">
        <v>45</v>
      </c>
      <c r="Q63">
        <v>4</v>
      </c>
      <c r="R63" t="s">
        <v>37</v>
      </c>
      <c r="S63">
        <v>2406</v>
      </c>
      <c r="T63">
        <v>5456</v>
      </c>
      <c r="U63">
        <v>1</v>
      </c>
      <c r="V63" t="s">
        <v>38</v>
      </c>
      <c r="W63">
        <v>11</v>
      </c>
      <c r="X63">
        <v>3</v>
      </c>
      <c r="Y63">
        <v>4</v>
      </c>
      <c r="Z63">
        <v>0</v>
      </c>
      <c r="AA63">
        <v>10</v>
      </c>
      <c r="AB63" t="str">
        <f>IF(Table2[[#This Row],[TotalWorkingYears]]&lt;=5,"Early (0-5)",IF(Table2[[#This Row],[TotalWorkingYears]]&lt;=15,"Mid (6-15)","Senior (16+)"))</f>
        <v>Mid (6-15)</v>
      </c>
      <c r="AC63">
        <v>2</v>
      </c>
      <c r="AD63">
        <v>3</v>
      </c>
      <c r="AE63" t="s">
        <v>62</v>
      </c>
      <c r="AF63">
        <v>3</v>
      </c>
      <c r="AG63">
        <v>9</v>
      </c>
      <c r="AH63">
        <v>9</v>
      </c>
    </row>
    <row r="64" spans="1:34" x14ac:dyDescent="0.3">
      <c r="A64" t="s">
        <v>58</v>
      </c>
      <c r="B64">
        <v>0</v>
      </c>
      <c r="C64" t="s">
        <v>32</v>
      </c>
      <c r="D64">
        <v>989</v>
      </c>
      <c r="E64" t="s">
        <v>40</v>
      </c>
      <c r="F64">
        <v>7</v>
      </c>
      <c r="G64" t="str">
        <f>IF(Table2[[#This Row],[DistanceFromHome]]&lt;=5, "short", IF(Table2[[#This Row],[DistanceFromHome]]&lt;=15, "medium", "long"))</f>
        <v>medium</v>
      </c>
      <c r="H64">
        <v>2</v>
      </c>
      <c r="I64" t="s">
        <v>46</v>
      </c>
      <c r="J64">
        <v>80</v>
      </c>
      <c r="K64">
        <v>2</v>
      </c>
      <c r="L64" t="s">
        <v>35</v>
      </c>
      <c r="M64">
        <v>43</v>
      </c>
      <c r="N64">
        <v>2</v>
      </c>
      <c r="O64">
        <v>5</v>
      </c>
      <c r="P64" t="s">
        <v>53</v>
      </c>
      <c r="Q64">
        <v>3</v>
      </c>
      <c r="R64" t="s">
        <v>47</v>
      </c>
      <c r="S64">
        <v>18740</v>
      </c>
      <c r="T64">
        <v>16701</v>
      </c>
      <c r="U64">
        <v>5</v>
      </c>
      <c r="V64" t="s">
        <v>31</v>
      </c>
      <c r="W64">
        <v>12</v>
      </c>
      <c r="X64">
        <v>3</v>
      </c>
      <c r="Y64">
        <v>4</v>
      </c>
      <c r="Z64">
        <v>1</v>
      </c>
      <c r="AA64">
        <v>29</v>
      </c>
      <c r="AB64" t="str">
        <f>IF(Table2[[#This Row],[TotalWorkingYears]]&lt;=5,"Early (0-5)",IF(Table2[[#This Row],[TotalWorkingYears]]&lt;=15,"Mid (6-15)","Senior (16+)"))</f>
        <v>Senior (16+)</v>
      </c>
      <c r="AC64">
        <v>2</v>
      </c>
      <c r="AD64">
        <v>2</v>
      </c>
      <c r="AE64" t="s">
        <v>65</v>
      </c>
      <c r="AF64">
        <v>3</v>
      </c>
      <c r="AG64">
        <v>13</v>
      </c>
      <c r="AH64">
        <v>8</v>
      </c>
    </row>
    <row r="65" spans="1:34" x14ac:dyDescent="0.3">
      <c r="A65" t="s">
        <v>58</v>
      </c>
      <c r="B65">
        <v>0</v>
      </c>
      <c r="C65" t="s">
        <v>32</v>
      </c>
      <c r="D65">
        <v>1435</v>
      </c>
      <c r="E65" t="s">
        <v>33</v>
      </c>
      <c r="F65">
        <v>25</v>
      </c>
      <c r="G65" t="str">
        <f>IF(Table2[[#This Row],[DistanceFromHome]]&lt;=5, "short", IF(Table2[[#This Row],[DistanceFromHome]]&lt;=15, "medium", "long"))</f>
        <v>long</v>
      </c>
      <c r="H65">
        <v>3</v>
      </c>
      <c r="I65" t="s">
        <v>34</v>
      </c>
      <c r="J65">
        <v>81</v>
      </c>
      <c r="K65">
        <v>1</v>
      </c>
      <c r="L65" t="s">
        <v>35</v>
      </c>
      <c r="M65">
        <v>99</v>
      </c>
      <c r="N65">
        <v>3</v>
      </c>
      <c r="O65">
        <v>3</v>
      </c>
      <c r="P65" t="s">
        <v>36</v>
      </c>
      <c r="Q65">
        <v>1</v>
      </c>
      <c r="R65" t="s">
        <v>37</v>
      </c>
      <c r="S65">
        <v>7637</v>
      </c>
      <c r="T65">
        <v>2354</v>
      </c>
      <c r="U65">
        <v>7</v>
      </c>
      <c r="V65" t="s">
        <v>38</v>
      </c>
      <c r="W65">
        <v>11</v>
      </c>
      <c r="X65">
        <v>3</v>
      </c>
      <c r="Y65">
        <v>4</v>
      </c>
      <c r="Z65">
        <v>0</v>
      </c>
      <c r="AA65">
        <v>28</v>
      </c>
      <c r="AB65" t="str">
        <f>IF(Table2[[#This Row],[TotalWorkingYears]]&lt;=5,"Early (0-5)",IF(Table2[[#This Row],[TotalWorkingYears]]&lt;=15,"Mid (6-15)","Senior (16+)"))</f>
        <v>Senior (16+)</v>
      </c>
      <c r="AC65">
        <v>3</v>
      </c>
      <c r="AD65">
        <v>2</v>
      </c>
      <c r="AE65" t="s">
        <v>65</v>
      </c>
      <c r="AF65">
        <v>16</v>
      </c>
      <c r="AG65">
        <v>7</v>
      </c>
      <c r="AH65">
        <v>9</v>
      </c>
    </row>
    <row r="66" spans="1:34" x14ac:dyDescent="0.3">
      <c r="A66" t="s">
        <v>57</v>
      </c>
      <c r="B66">
        <v>0</v>
      </c>
      <c r="C66" t="s">
        <v>32</v>
      </c>
      <c r="D66">
        <v>1223</v>
      </c>
      <c r="E66" t="s">
        <v>40</v>
      </c>
      <c r="F66">
        <v>8</v>
      </c>
      <c r="G66" t="str">
        <f>IF(Table2[[#This Row],[DistanceFromHome]]&lt;=5, "short", IF(Table2[[#This Row],[DistanceFromHome]]&lt;=15, "medium", "long"))</f>
        <v>medium</v>
      </c>
      <c r="H66">
        <v>3</v>
      </c>
      <c r="I66" t="s">
        <v>55</v>
      </c>
      <c r="J66">
        <v>83</v>
      </c>
      <c r="K66">
        <v>3</v>
      </c>
      <c r="L66" t="s">
        <v>35</v>
      </c>
      <c r="M66">
        <v>59</v>
      </c>
      <c r="N66">
        <v>3</v>
      </c>
      <c r="O66">
        <v>3</v>
      </c>
      <c r="P66" t="s">
        <v>49</v>
      </c>
      <c r="Q66">
        <v>3</v>
      </c>
      <c r="R66" t="s">
        <v>47</v>
      </c>
      <c r="S66">
        <v>10096</v>
      </c>
      <c r="T66">
        <v>8202</v>
      </c>
      <c r="U66">
        <v>1</v>
      </c>
      <c r="V66" t="s">
        <v>38</v>
      </c>
      <c r="W66">
        <v>13</v>
      </c>
      <c r="X66">
        <v>3</v>
      </c>
      <c r="Y66">
        <v>2</v>
      </c>
      <c r="Z66">
        <v>3</v>
      </c>
      <c r="AA66">
        <v>17</v>
      </c>
      <c r="AB66" t="str">
        <f>IF(Table2[[#This Row],[TotalWorkingYears]]&lt;=5,"Early (0-5)",IF(Table2[[#This Row],[TotalWorkingYears]]&lt;=15,"Mid (6-15)","Senior (16+)"))</f>
        <v>Senior (16+)</v>
      </c>
      <c r="AC66">
        <v>2</v>
      </c>
      <c r="AD66">
        <v>3</v>
      </c>
      <c r="AE66" t="s">
        <v>65</v>
      </c>
      <c r="AF66">
        <v>14</v>
      </c>
      <c r="AG66">
        <v>12</v>
      </c>
      <c r="AH66">
        <v>8</v>
      </c>
    </row>
    <row r="67" spans="1:34" x14ac:dyDescent="0.3">
      <c r="A67" t="s">
        <v>58</v>
      </c>
      <c r="B67">
        <v>0</v>
      </c>
      <c r="C67" t="s">
        <v>32</v>
      </c>
      <c r="D67">
        <v>836</v>
      </c>
      <c r="E67" t="s">
        <v>40</v>
      </c>
      <c r="F67">
        <v>8</v>
      </c>
      <c r="G67" t="str">
        <f>IF(Table2[[#This Row],[DistanceFromHome]]&lt;=5, "short", IF(Table2[[#This Row],[DistanceFromHome]]&lt;=15, "medium", "long"))</f>
        <v>medium</v>
      </c>
      <c r="H67">
        <v>3</v>
      </c>
      <c r="I67" t="s">
        <v>46</v>
      </c>
      <c r="J67">
        <v>84</v>
      </c>
      <c r="K67">
        <v>4</v>
      </c>
      <c r="L67" t="s">
        <v>35</v>
      </c>
      <c r="M67">
        <v>33</v>
      </c>
      <c r="N67">
        <v>3</v>
      </c>
      <c r="O67">
        <v>4</v>
      </c>
      <c r="P67" t="s">
        <v>51</v>
      </c>
      <c r="Q67">
        <v>3</v>
      </c>
      <c r="R67" t="s">
        <v>47</v>
      </c>
      <c r="S67">
        <v>14756</v>
      </c>
      <c r="T67">
        <v>19730</v>
      </c>
      <c r="U67">
        <v>2</v>
      </c>
      <c r="V67" t="s">
        <v>31</v>
      </c>
      <c r="W67">
        <v>14</v>
      </c>
      <c r="X67">
        <v>3</v>
      </c>
      <c r="Y67">
        <v>3</v>
      </c>
      <c r="Z67">
        <v>3</v>
      </c>
      <c r="AA67">
        <v>21</v>
      </c>
      <c r="AB67" t="str">
        <f>IF(Table2[[#This Row],[TotalWorkingYears]]&lt;=5,"Early (0-5)",IF(Table2[[#This Row],[TotalWorkingYears]]&lt;=15,"Mid (6-15)","Senior (16+)"))</f>
        <v>Senior (16+)</v>
      </c>
      <c r="AC67">
        <v>2</v>
      </c>
      <c r="AD67">
        <v>3</v>
      </c>
      <c r="AE67" t="s">
        <v>64</v>
      </c>
      <c r="AF67">
        <v>0</v>
      </c>
      <c r="AG67">
        <v>0</v>
      </c>
      <c r="AH67">
        <v>2</v>
      </c>
    </row>
    <row r="68" spans="1:34" x14ac:dyDescent="0.3">
      <c r="A68" t="s">
        <v>57</v>
      </c>
      <c r="B68">
        <v>0</v>
      </c>
      <c r="C68" t="s">
        <v>39</v>
      </c>
      <c r="D68">
        <v>1195</v>
      </c>
      <c r="E68" t="s">
        <v>40</v>
      </c>
      <c r="F68">
        <v>11</v>
      </c>
      <c r="G68" t="str">
        <f>IF(Table2[[#This Row],[DistanceFromHome]]&lt;=5, "short", IF(Table2[[#This Row],[DistanceFromHome]]&lt;=15, "medium", "long"))</f>
        <v>medium</v>
      </c>
      <c r="H68">
        <v>3</v>
      </c>
      <c r="I68" t="s">
        <v>34</v>
      </c>
      <c r="J68">
        <v>85</v>
      </c>
      <c r="K68">
        <v>2</v>
      </c>
      <c r="L68" t="s">
        <v>41</v>
      </c>
      <c r="M68">
        <v>95</v>
      </c>
      <c r="N68">
        <v>2</v>
      </c>
      <c r="O68">
        <v>2</v>
      </c>
      <c r="P68" t="s">
        <v>48</v>
      </c>
      <c r="Q68">
        <v>2</v>
      </c>
      <c r="R68" t="s">
        <v>37</v>
      </c>
      <c r="S68">
        <v>6499</v>
      </c>
      <c r="T68">
        <v>22656</v>
      </c>
      <c r="U68">
        <v>1</v>
      </c>
      <c r="V68" t="s">
        <v>38</v>
      </c>
      <c r="W68">
        <v>13</v>
      </c>
      <c r="X68">
        <v>3</v>
      </c>
      <c r="Y68">
        <v>3</v>
      </c>
      <c r="Z68">
        <v>0</v>
      </c>
      <c r="AA68">
        <v>6</v>
      </c>
      <c r="AB68" t="str">
        <f>IF(Table2[[#This Row],[TotalWorkingYears]]&lt;=5,"Early (0-5)",IF(Table2[[#This Row],[TotalWorkingYears]]&lt;=15,"Mid (6-15)","Senior (16+)"))</f>
        <v>Mid (6-15)</v>
      </c>
      <c r="AC68">
        <v>3</v>
      </c>
      <c r="AD68">
        <v>3</v>
      </c>
      <c r="AE68" t="s">
        <v>62</v>
      </c>
      <c r="AF68">
        <v>5</v>
      </c>
      <c r="AG68">
        <v>0</v>
      </c>
      <c r="AH68">
        <v>3</v>
      </c>
    </row>
    <row r="69" spans="1:34" x14ac:dyDescent="0.3">
      <c r="A69" t="s">
        <v>57</v>
      </c>
      <c r="B69">
        <v>0</v>
      </c>
      <c r="C69" t="s">
        <v>32</v>
      </c>
      <c r="D69">
        <v>1339</v>
      </c>
      <c r="E69" t="s">
        <v>40</v>
      </c>
      <c r="F69">
        <v>7</v>
      </c>
      <c r="G69" t="str">
        <f>IF(Table2[[#This Row],[DistanceFromHome]]&lt;=5, "short", IF(Table2[[#This Row],[DistanceFromHome]]&lt;=15, "medium", "long"))</f>
        <v>medium</v>
      </c>
      <c r="H69">
        <v>3</v>
      </c>
      <c r="I69" t="s">
        <v>34</v>
      </c>
      <c r="J69">
        <v>86</v>
      </c>
      <c r="K69">
        <v>2</v>
      </c>
      <c r="L69" t="s">
        <v>41</v>
      </c>
      <c r="M69">
        <v>59</v>
      </c>
      <c r="N69">
        <v>3</v>
      </c>
      <c r="O69">
        <v>3</v>
      </c>
      <c r="P69" t="s">
        <v>42</v>
      </c>
      <c r="Q69">
        <v>1</v>
      </c>
      <c r="R69" t="s">
        <v>47</v>
      </c>
      <c r="S69">
        <v>9724</v>
      </c>
      <c r="T69">
        <v>18787</v>
      </c>
      <c r="U69">
        <v>2</v>
      </c>
      <c r="V69" t="s">
        <v>38</v>
      </c>
      <c r="W69">
        <v>17</v>
      </c>
      <c r="X69">
        <v>3</v>
      </c>
      <c r="Y69">
        <v>3</v>
      </c>
      <c r="Z69">
        <v>1</v>
      </c>
      <c r="AA69">
        <v>25</v>
      </c>
      <c r="AB69" t="str">
        <f>IF(Table2[[#This Row],[TotalWorkingYears]]&lt;=5,"Early (0-5)",IF(Table2[[#This Row],[TotalWorkingYears]]&lt;=15,"Mid (6-15)","Senior (16+)"))</f>
        <v>Senior (16+)</v>
      </c>
      <c r="AC69">
        <v>2</v>
      </c>
      <c r="AD69">
        <v>3</v>
      </c>
      <c r="AE69" t="s">
        <v>63</v>
      </c>
      <c r="AF69">
        <v>0</v>
      </c>
      <c r="AG69">
        <v>0</v>
      </c>
      <c r="AH69">
        <v>0</v>
      </c>
    </row>
    <row r="70" spans="1:34" x14ac:dyDescent="0.3">
      <c r="A70" t="s">
        <v>59</v>
      </c>
      <c r="B70">
        <v>0</v>
      </c>
      <c r="C70" t="s">
        <v>39</v>
      </c>
      <c r="D70">
        <v>664</v>
      </c>
      <c r="E70" t="s">
        <v>40</v>
      </c>
      <c r="F70">
        <v>1</v>
      </c>
      <c r="G70" t="str">
        <f>IF(Table2[[#This Row],[DistanceFromHome]]&lt;=5, "short", IF(Table2[[#This Row],[DistanceFromHome]]&lt;=15, "medium", "long"))</f>
        <v>short</v>
      </c>
      <c r="H70">
        <v>3</v>
      </c>
      <c r="I70" t="s">
        <v>46</v>
      </c>
      <c r="J70">
        <v>88</v>
      </c>
      <c r="K70">
        <v>2</v>
      </c>
      <c r="L70" t="s">
        <v>41</v>
      </c>
      <c r="M70">
        <v>79</v>
      </c>
      <c r="N70">
        <v>3</v>
      </c>
      <c r="O70">
        <v>1</v>
      </c>
      <c r="P70" t="s">
        <v>42</v>
      </c>
      <c r="Q70">
        <v>1</v>
      </c>
      <c r="R70" t="s">
        <v>43</v>
      </c>
      <c r="S70">
        <v>2194</v>
      </c>
      <c r="T70">
        <v>5868</v>
      </c>
      <c r="U70">
        <v>4</v>
      </c>
      <c r="V70" t="s">
        <v>38</v>
      </c>
      <c r="W70">
        <v>13</v>
      </c>
      <c r="X70">
        <v>3</v>
      </c>
      <c r="Y70">
        <v>4</v>
      </c>
      <c r="Z70">
        <v>1</v>
      </c>
      <c r="AA70">
        <v>5</v>
      </c>
      <c r="AB70" t="str">
        <f>IF(Table2[[#This Row],[TotalWorkingYears]]&lt;=5,"Early (0-5)",IF(Table2[[#This Row],[TotalWorkingYears]]&lt;=15,"Mid (6-15)","Senior (16+)"))</f>
        <v>Early (0-5)</v>
      </c>
      <c r="AC70">
        <v>2</v>
      </c>
      <c r="AD70">
        <v>2</v>
      </c>
      <c r="AE70" t="s">
        <v>64</v>
      </c>
      <c r="AF70">
        <v>2</v>
      </c>
      <c r="AG70">
        <v>1</v>
      </c>
      <c r="AH70">
        <v>2</v>
      </c>
    </row>
    <row r="71" spans="1:34" x14ac:dyDescent="0.3">
      <c r="A71" t="s">
        <v>57</v>
      </c>
      <c r="B71">
        <v>1</v>
      </c>
      <c r="C71" t="s">
        <v>32</v>
      </c>
      <c r="D71">
        <v>318</v>
      </c>
      <c r="E71" t="s">
        <v>40</v>
      </c>
      <c r="F71">
        <v>9</v>
      </c>
      <c r="G71" t="str">
        <f>IF(Table2[[#This Row],[DistanceFromHome]]&lt;=5, "short", IF(Table2[[#This Row],[DistanceFromHome]]&lt;=15, "medium", "long"))</f>
        <v>medium</v>
      </c>
      <c r="H71">
        <v>3</v>
      </c>
      <c r="I71" t="s">
        <v>46</v>
      </c>
      <c r="J71">
        <v>90</v>
      </c>
      <c r="K71">
        <v>4</v>
      </c>
      <c r="L71" t="s">
        <v>41</v>
      </c>
      <c r="M71">
        <v>79</v>
      </c>
      <c r="N71">
        <v>2</v>
      </c>
      <c r="O71">
        <v>1</v>
      </c>
      <c r="P71" t="s">
        <v>42</v>
      </c>
      <c r="Q71">
        <v>3</v>
      </c>
      <c r="R71" t="s">
        <v>43</v>
      </c>
      <c r="S71">
        <v>3388</v>
      </c>
      <c r="T71">
        <v>21777</v>
      </c>
      <c r="U71">
        <v>0</v>
      </c>
      <c r="V71" t="s">
        <v>31</v>
      </c>
      <c r="W71">
        <v>17</v>
      </c>
      <c r="X71">
        <v>3</v>
      </c>
      <c r="Y71">
        <v>1</v>
      </c>
      <c r="Z71">
        <v>1</v>
      </c>
      <c r="AA71">
        <v>2</v>
      </c>
      <c r="AB71" t="str">
        <f>IF(Table2[[#This Row],[TotalWorkingYears]]&lt;=5,"Early (0-5)",IF(Table2[[#This Row],[TotalWorkingYears]]&lt;=15,"Mid (6-15)","Senior (16+)"))</f>
        <v>Early (0-5)</v>
      </c>
      <c r="AC71">
        <v>0</v>
      </c>
      <c r="AD71">
        <v>2</v>
      </c>
      <c r="AE71" t="s">
        <v>63</v>
      </c>
      <c r="AF71">
        <v>0</v>
      </c>
      <c r="AG71">
        <v>0</v>
      </c>
      <c r="AH71">
        <v>0</v>
      </c>
    </row>
    <row r="72" spans="1:34" x14ac:dyDescent="0.3">
      <c r="A72" t="s">
        <v>58</v>
      </c>
      <c r="B72">
        <v>0</v>
      </c>
      <c r="C72" t="s">
        <v>39</v>
      </c>
      <c r="D72">
        <v>1225</v>
      </c>
      <c r="E72" t="s">
        <v>33</v>
      </c>
      <c r="F72">
        <v>1</v>
      </c>
      <c r="G72" t="str">
        <f>IF(Table2[[#This Row],[DistanceFromHome]]&lt;=5, "short", IF(Table2[[#This Row],[DistanceFromHome]]&lt;=15, "medium", "long"))</f>
        <v>short</v>
      </c>
      <c r="H72">
        <v>1</v>
      </c>
      <c r="I72" t="s">
        <v>34</v>
      </c>
      <c r="J72">
        <v>91</v>
      </c>
      <c r="K72">
        <v>1</v>
      </c>
      <c r="L72" t="s">
        <v>35</v>
      </c>
      <c r="M72">
        <v>57</v>
      </c>
      <c r="N72">
        <v>2</v>
      </c>
      <c r="O72">
        <v>2</v>
      </c>
      <c r="P72" t="s">
        <v>36</v>
      </c>
      <c r="Q72">
        <v>3</v>
      </c>
      <c r="R72" t="s">
        <v>37</v>
      </c>
      <c r="S72">
        <v>5473</v>
      </c>
      <c r="T72">
        <v>24668</v>
      </c>
      <c r="U72">
        <v>7</v>
      </c>
      <c r="V72" t="s">
        <v>38</v>
      </c>
      <c r="W72">
        <v>11</v>
      </c>
      <c r="X72">
        <v>3</v>
      </c>
      <c r="Y72">
        <v>4</v>
      </c>
      <c r="Z72">
        <v>0</v>
      </c>
      <c r="AA72">
        <v>20</v>
      </c>
      <c r="AB72" t="str">
        <f>IF(Table2[[#This Row],[TotalWorkingYears]]&lt;=5,"Early (0-5)",IF(Table2[[#This Row],[TotalWorkingYears]]&lt;=15,"Mid (6-15)","Senior (16+)"))</f>
        <v>Senior (16+)</v>
      </c>
      <c r="AC72">
        <v>2</v>
      </c>
      <c r="AD72">
        <v>2</v>
      </c>
      <c r="AE72" t="s">
        <v>64</v>
      </c>
      <c r="AF72">
        <v>3</v>
      </c>
      <c r="AG72">
        <v>1</v>
      </c>
      <c r="AH72">
        <v>3</v>
      </c>
    </row>
    <row r="73" spans="1:34" x14ac:dyDescent="0.3">
      <c r="A73" t="s">
        <v>59</v>
      </c>
      <c r="B73">
        <v>0</v>
      </c>
      <c r="C73" t="s">
        <v>32</v>
      </c>
      <c r="D73">
        <v>1328</v>
      </c>
      <c r="E73" t="s">
        <v>40</v>
      </c>
      <c r="F73">
        <v>2</v>
      </c>
      <c r="G73" t="str">
        <f>IF(Table2[[#This Row],[DistanceFromHome]]&lt;=5, "short", IF(Table2[[#This Row],[DistanceFromHome]]&lt;=15, "medium", "long"))</f>
        <v>short</v>
      </c>
      <c r="H73">
        <v>3</v>
      </c>
      <c r="I73" t="s">
        <v>34</v>
      </c>
      <c r="J73">
        <v>94</v>
      </c>
      <c r="K73">
        <v>3</v>
      </c>
      <c r="L73" t="s">
        <v>41</v>
      </c>
      <c r="M73">
        <v>76</v>
      </c>
      <c r="N73">
        <v>3</v>
      </c>
      <c r="O73">
        <v>1</v>
      </c>
      <c r="P73" t="s">
        <v>42</v>
      </c>
      <c r="Q73">
        <v>2</v>
      </c>
      <c r="R73" t="s">
        <v>43</v>
      </c>
      <c r="S73">
        <v>2703</v>
      </c>
      <c r="T73">
        <v>4956</v>
      </c>
      <c r="U73">
        <v>0</v>
      </c>
      <c r="V73" t="s">
        <v>38</v>
      </c>
      <c r="W73">
        <v>23</v>
      </c>
      <c r="X73">
        <v>4</v>
      </c>
      <c r="Y73">
        <v>4</v>
      </c>
      <c r="Z73">
        <v>1</v>
      </c>
      <c r="AA73">
        <v>6</v>
      </c>
      <c r="AB73" t="str">
        <f>IF(Table2[[#This Row],[TotalWorkingYears]]&lt;=5,"Early (0-5)",IF(Table2[[#This Row],[TotalWorkingYears]]&lt;=15,"Mid (6-15)","Senior (16+)"))</f>
        <v>Mid (6-15)</v>
      </c>
      <c r="AC73">
        <v>3</v>
      </c>
      <c r="AD73">
        <v>3</v>
      </c>
      <c r="AE73" t="s">
        <v>64</v>
      </c>
      <c r="AF73">
        <v>4</v>
      </c>
      <c r="AG73">
        <v>0</v>
      </c>
      <c r="AH73">
        <v>4</v>
      </c>
    </row>
    <row r="74" spans="1:34" x14ac:dyDescent="0.3">
      <c r="A74" t="s">
        <v>59</v>
      </c>
      <c r="B74">
        <v>0</v>
      </c>
      <c r="C74" t="s">
        <v>32</v>
      </c>
      <c r="D74">
        <v>1082</v>
      </c>
      <c r="E74" t="s">
        <v>40</v>
      </c>
      <c r="F74">
        <v>1</v>
      </c>
      <c r="G74" t="str">
        <f>IF(Table2[[#This Row],[DistanceFromHome]]&lt;=5, "short", IF(Table2[[#This Row],[DistanceFromHome]]&lt;=15, "medium", "long"))</f>
        <v>short</v>
      </c>
      <c r="H74">
        <v>4</v>
      </c>
      <c r="I74" t="s">
        <v>46</v>
      </c>
      <c r="J74">
        <v>95</v>
      </c>
      <c r="K74">
        <v>3</v>
      </c>
      <c r="L74" t="s">
        <v>41</v>
      </c>
      <c r="M74">
        <v>87</v>
      </c>
      <c r="N74">
        <v>3</v>
      </c>
      <c r="O74">
        <v>1</v>
      </c>
      <c r="P74" t="s">
        <v>42</v>
      </c>
      <c r="Q74">
        <v>2</v>
      </c>
      <c r="R74" t="s">
        <v>37</v>
      </c>
      <c r="S74">
        <v>2501</v>
      </c>
      <c r="T74">
        <v>18775</v>
      </c>
      <c r="U74">
        <v>1</v>
      </c>
      <c r="V74" t="s">
        <v>38</v>
      </c>
      <c r="W74">
        <v>17</v>
      </c>
      <c r="X74">
        <v>3</v>
      </c>
      <c r="Y74">
        <v>2</v>
      </c>
      <c r="Z74">
        <v>0</v>
      </c>
      <c r="AA74">
        <v>1</v>
      </c>
      <c r="AB74" t="str">
        <f>IF(Table2[[#This Row],[TotalWorkingYears]]&lt;=5,"Early (0-5)",IF(Table2[[#This Row],[TotalWorkingYears]]&lt;=15,"Mid (6-15)","Senior (16+)"))</f>
        <v>Early (0-5)</v>
      </c>
      <c r="AC74">
        <v>4</v>
      </c>
      <c r="AD74">
        <v>3</v>
      </c>
      <c r="AE74" t="s">
        <v>63</v>
      </c>
      <c r="AF74">
        <v>1</v>
      </c>
      <c r="AG74">
        <v>1</v>
      </c>
      <c r="AH74">
        <v>0</v>
      </c>
    </row>
    <row r="75" spans="1:34" x14ac:dyDescent="0.3">
      <c r="A75" t="s">
        <v>59</v>
      </c>
      <c r="B75">
        <v>0</v>
      </c>
      <c r="C75" t="s">
        <v>32</v>
      </c>
      <c r="D75">
        <v>548</v>
      </c>
      <c r="E75" t="s">
        <v>40</v>
      </c>
      <c r="F75">
        <v>1</v>
      </c>
      <c r="G75" t="str">
        <f>IF(Table2[[#This Row],[DistanceFromHome]]&lt;=5, "short", IF(Table2[[#This Row],[DistanceFromHome]]&lt;=15, "medium", "long"))</f>
        <v>short</v>
      </c>
      <c r="H75">
        <v>3</v>
      </c>
      <c r="I75" t="s">
        <v>34</v>
      </c>
      <c r="J75">
        <v>96</v>
      </c>
      <c r="K75">
        <v>2</v>
      </c>
      <c r="L75" t="s">
        <v>41</v>
      </c>
      <c r="M75">
        <v>66</v>
      </c>
      <c r="N75">
        <v>3</v>
      </c>
      <c r="O75">
        <v>2</v>
      </c>
      <c r="P75" t="s">
        <v>42</v>
      </c>
      <c r="Q75">
        <v>2</v>
      </c>
      <c r="R75" t="s">
        <v>43</v>
      </c>
      <c r="S75">
        <v>6220</v>
      </c>
      <c r="T75">
        <v>7346</v>
      </c>
      <c r="U75">
        <v>1</v>
      </c>
      <c r="V75" t="s">
        <v>38</v>
      </c>
      <c r="W75">
        <v>17</v>
      </c>
      <c r="X75">
        <v>3</v>
      </c>
      <c r="Y75">
        <v>2</v>
      </c>
      <c r="Z75">
        <v>2</v>
      </c>
      <c r="AA75">
        <v>10</v>
      </c>
      <c r="AB75" t="str">
        <f>IF(Table2[[#This Row],[TotalWorkingYears]]&lt;=5,"Early (0-5)",IF(Table2[[#This Row],[TotalWorkingYears]]&lt;=15,"Mid (6-15)","Senior (16+)"))</f>
        <v>Mid (6-15)</v>
      </c>
      <c r="AC75">
        <v>3</v>
      </c>
      <c r="AD75">
        <v>3</v>
      </c>
      <c r="AE75" t="s">
        <v>62</v>
      </c>
      <c r="AF75">
        <v>4</v>
      </c>
      <c r="AG75">
        <v>0</v>
      </c>
      <c r="AH75">
        <v>9</v>
      </c>
    </row>
    <row r="76" spans="1:34" x14ac:dyDescent="0.3">
      <c r="A76" t="s">
        <v>57</v>
      </c>
      <c r="B76">
        <v>0</v>
      </c>
      <c r="C76" t="s">
        <v>32</v>
      </c>
      <c r="D76">
        <v>132</v>
      </c>
      <c r="E76" t="s">
        <v>40</v>
      </c>
      <c r="F76">
        <v>6</v>
      </c>
      <c r="G76" t="str">
        <f>IF(Table2[[#This Row],[DistanceFromHome]]&lt;=5, "short", IF(Table2[[#This Row],[DistanceFromHome]]&lt;=15, "medium", "long"))</f>
        <v>medium</v>
      </c>
      <c r="H76">
        <v>3</v>
      </c>
      <c r="I76" t="s">
        <v>34</v>
      </c>
      <c r="J76">
        <v>97</v>
      </c>
      <c r="K76">
        <v>2</v>
      </c>
      <c r="L76" t="s">
        <v>35</v>
      </c>
      <c r="M76">
        <v>55</v>
      </c>
      <c r="N76">
        <v>4</v>
      </c>
      <c r="O76">
        <v>1</v>
      </c>
      <c r="P76" t="s">
        <v>45</v>
      </c>
      <c r="Q76">
        <v>4</v>
      </c>
      <c r="R76" t="s">
        <v>43</v>
      </c>
      <c r="S76">
        <v>3038</v>
      </c>
      <c r="T76">
        <v>22002</v>
      </c>
      <c r="U76">
        <v>3</v>
      </c>
      <c r="V76" t="s">
        <v>38</v>
      </c>
      <c r="W76">
        <v>12</v>
      </c>
      <c r="X76">
        <v>3</v>
      </c>
      <c r="Y76">
        <v>2</v>
      </c>
      <c r="Z76">
        <v>0</v>
      </c>
      <c r="AA76">
        <v>5</v>
      </c>
      <c r="AB76" t="str">
        <f>IF(Table2[[#This Row],[TotalWorkingYears]]&lt;=5,"Early (0-5)",IF(Table2[[#This Row],[TotalWorkingYears]]&lt;=15,"Mid (6-15)","Senior (16+)"))</f>
        <v>Early (0-5)</v>
      </c>
      <c r="AC76">
        <v>3</v>
      </c>
      <c r="AD76">
        <v>3</v>
      </c>
      <c r="AE76" t="s">
        <v>63</v>
      </c>
      <c r="AF76">
        <v>0</v>
      </c>
      <c r="AG76">
        <v>0</v>
      </c>
      <c r="AH76">
        <v>0</v>
      </c>
    </row>
    <row r="77" spans="1:34" x14ac:dyDescent="0.3">
      <c r="A77" t="s">
        <v>59</v>
      </c>
      <c r="B77">
        <v>0</v>
      </c>
      <c r="C77" t="s">
        <v>32</v>
      </c>
      <c r="D77">
        <v>746</v>
      </c>
      <c r="E77" t="s">
        <v>40</v>
      </c>
      <c r="F77">
        <v>8</v>
      </c>
      <c r="G77" t="str">
        <f>IF(Table2[[#This Row],[DistanceFromHome]]&lt;=5, "short", IF(Table2[[#This Row],[DistanceFromHome]]&lt;=15, "medium", "long"))</f>
        <v>medium</v>
      </c>
      <c r="H77">
        <v>4</v>
      </c>
      <c r="I77" t="s">
        <v>34</v>
      </c>
      <c r="J77">
        <v>98</v>
      </c>
      <c r="K77">
        <v>3</v>
      </c>
      <c r="L77" t="s">
        <v>35</v>
      </c>
      <c r="M77">
        <v>61</v>
      </c>
      <c r="N77">
        <v>3</v>
      </c>
      <c r="O77">
        <v>2</v>
      </c>
      <c r="P77" t="s">
        <v>48</v>
      </c>
      <c r="Q77">
        <v>4</v>
      </c>
      <c r="R77" t="s">
        <v>37</v>
      </c>
      <c r="S77">
        <v>4424</v>
      </c>
      <c r="T77">
        <v>20682</v>
      </c>
      <c r="U77">
        <v>1</v>
      </c>
      <c r="V77" t="s">
        <v>38</v>
      </c>
      <c r="W77">
        <v>23</v>
      </c>
      <c r="X77">
        <v>4</v>
      </c>
      <c r="Y77">
        <v>4</v>
      </c>
      <c r="Z77">
        <v>0</v>
      </c>
      <c r="AA77">
        <v>11</v>
      </c>
      <c r="AB77" t="str">
        <f>IF(Table2[[#This Row],[TotalWorkingYears]]&lt;=5,"Early (0-5)",IF(Table2[[#This Row],[TotalWorkingYears]]&lt;=15,"Mid (6-15)","Senior (16+)"))</f>
        <v>Mid (6-15)</v>
      </c>
      <c r="AC77">
        <v>2</v>
      </c>
      <c r="AD77">
        <v>3</v>
      </c>
      <c r="AE77" t="s">
        <v>65</v>
      </c>
      <c r="AF77">
        <v>7</v>
      </c>
      <c r="AG77">
        <v>1</v>
      </c>
      <c r="AH77">
        <v>8</v>
      </c>
    </row>
    <row r="78" spans="1:34" x14ac:dyDescent="0.3">
      <c r="A78" t="s">
        <v>59</v>
      </c>
      <c r="B78">
        <v>0</v>
      </c>
      <c r="C78" t="s">
        <v>32</v>
      </c>
      <c r="D78">
        <v>776</v>
      </c>
      <c r="E78" t="s">
        <v>33</v>
      </c>
      <c r="F78">
        <v>1</v>
      </c>
      <c r="G78" t="str">
        <f>IF(Table2[[#This Row],[DistanceFromHome]]&lt;=5, "short", IF(Table2[[#This Row],[DistanceFromHome]]&lt;=15, "medium", "long"))</f>
        <v>short</v>
      </c>
      <c r="H78">
        <v>4</v>
      </c>
      <c r="I78" t="s">
        <v>54</v>
      </c>
      <c r="J78">
        <v>100</v>
      </c>
      <c r="K78">
        <v>3</v>
      </c>
      <c r="L78" t="s">
        <v>41</v>
      </c>
      <c r="M78">
        <v>32</v>
      </c>
      <c r="N78">
        <v>2</v>
      </c>
      <c r="O78">
        <v>2</v>
      </c>
      <c r="P78" t="s">
        <v>36</v>
      </c>
      <c r="Q78">
        <v>1</v>
      </c>
      <c r="R78" t="s">
        <v>37</v>
      </c>
      <c r="S78">
        <v>4312</v>
      </c>
      <c r="T78">
        <v>23016</v>
      </c>
      <c r="U78">
        <v>0</v>
      </c>
      <c r="V78" t="s">
        <v>38</v>
      </c>
      <c r="W78">
        <v>14</v>
      </c>
      <c r="X78">
        <v>3</v>
      </c>
      <c r="Y78">
        <v>2</v>
      </c>
      <c r="Z78">
        <v>0</v>
      </c>
      <c r="AA78">
        <v>16</v>
      </c>
      <c r="AB78" t="str">
        <f>IF(Table2[[#This Row],[TotalWorkingYears]]&lt;=5,"Early (0-5)",IF(Table2[[#This Row],[TotalWorkingYears]]&lt;=15,"Mid (6-15)","Senior (16+)"))</f>
        <v>Senior (16+)</v>
      </c>
      <c r="AC78">
        <v>2</v>
      </c>
      <c r="AD78">
        <v>3</v>
      </c>
      <c r="AE78" t="s">
        <v>65</v>
      </c>
      <c r="AF78">
        <v>13</v>
      </c>
      <c r="AG78">
        <v>2</v>
      </c>
      <c r="AH78">
        <v>8</v>
      </c>
    </row>
    <row r="79" spans="1:34" x14ac:dyDescent="0.3">
      <c r="A79" t="s">
        <v>57</v>
      </c>
      <c r="B79">
        <v>0</v>
      </c>
      <c r="C79" t="s">
        <v>32</v>
      </c>
      <c r="D79">
        <v>193</v>
      </c>
      <c r="E79" t="s">
        <v>40</v>
      </c>
      <c r="F79">
        <v>6</v>
      </c>
      <c r="G79" t="str">
        <f>IF(Table2[[#This Row],[DistanceFromHome]]&lt;=5, "short", IF(Table2[[#This Row],[DistanceFromHome]]&lt;=15, "medium", "long"))</f>
        <v>medium</v>
      </c>
      <c r="H79">
        <v>4</v>
      </c>
      <c r="I79" t="s">
        <v>44</v>
      </c>
      <c r="J79">
        <v>101</v>
      </c>
      <c r="K79">
        <v>4</v>
      </c>
      <c r="L79" t="s">
        <v>41</v>
      </c>
      <c r="M79">
        <v>52</v>
      </c>
      <c r="N79">
        <v>3</v>
      </c>
      <c r="O79">
        <v>3</v>
      </c>
      <c r="P79" t="s">
        <v>53</v>
      </c>
      <c r="Q79">
        <v>1</v>
      </c>
      <c r="R79" t="s">
        <v>43</v>
      </c>
      <c r="S79">
        <v>13245</v>
      </c>
      <c r="T79">
        <v>15067</v>
      </c>
      <c r="U79">
        <v>4</v>
      </c>
      <c r="V79" t="s">
        <v>31</v>
      </c>
      <c r="W79">
        <v>14</v>
      </c>
      <c r="X79">
        <v>3</v>
      </c>
      <c r="Y79">
        <v>2</v>
      </c>
      <c r="Z79">
        <v>0</v>
      </c>
      <c r="AA79">
        <v>17</v>
      </c>
      <c r="AB79" t="str">
        <f>IF(Table2[[#This Row],[TotalWorkingYears]]&lt;=5,"Early (0-5)",IF(Table2[[#This Row],[TotalWorkingYears]]&lt;=15,"Mid (6-15)","Senior (16+)"))</f>
        <v>Senior (16+)</v>
      </c>
      <c r="AC79">
        <v>3</v>
      </c>
      <c r="AD79">
        <v>4</v>
      </c>
      <c r="AE79" t="s">
        <v>63</v>
      </c>
      <c r="AF79">
        <v>0</v>
      </c>
      <c r="AG79">
        <v>0</v>
      </c>
      <c r="AH79">
        <v>0</v>
      </c>
    </row>
    <row r="80" spans="1:34" x14ac:dyDescent="0.3">
      <c r="A80" t="s">
        <v>57</v>
      </c>
      <c r="B80">
        <v>0</v>
      </c>
      <c r="C80" t="s">
        <v>32</v>
      </c>
      <c r="D80">
        <v>397</v>
      </c>
      <c r="E80" t="s">
        <v>40</v>
      </c>
      <c r="F80">
        <v>7</v>
      </c>
      <c r="G80" t="str">
        <f>IF(Table2[[#This Row],[DistanceFromHome]]&lt;=5, "short", IF(Table2[[#This Row],[DistanceFromHome]]&lt;=15, "medium", "long"))</f>
        <v>medium</v>
      </c>
      <c r="H80">
        <v>4</v>
      </c>
      <c r="I80" t="s">
        <v>46</v>
      </c>
      <c r="J80">
        <v>102</v>
      </c>
      <c r="K80">
        <v>1</v>
      </c>
      <c r="L80" t="s">
        <v>41</v>
      </c>
      <c r="M80">
        <v>30</v>
      </c>
      <c r="N80">
        <v>3</v>
      </c>
      <c r="O80">
        <v>3</v>
      </c>
      <c r="P80" t="s">
        <v>53</v>
      </c>
      <c r="Q80">
        <v>3</v>
      </c>
      <c r="R80" t="s">
        <v>37</v>
      </c>
      <c r="S80">
        <v>13664</v>
      </c>
      <c r="T80">
        <v>25258</v>
      </c>
      <c r="U80">
        <v>4</v>
      </c>
      <c r="V80" t="s">
        <v>38</v>
      </c>
      <c r="W80">
        <v>13</v>
      </c>
      <c r="X80">
        <v>3</v>
      </c>
      <c r="Y80">
        <v>1</v>
      </c>
      <c r="Z80">
        <v>0</v>
      </c>
      <c r="AA80">
        <v>16</v>
      </c>
      <c r="AB80" t="str">
        <f>IF(Table2[[#This Row],[TotalWorkingYears]]&lt;=5,"Early (0-5)",IF(Table2[[#This Row],[TotalWorkingYears]]&lt;=15,"Mid (6-15)","Senior (16+)"))</f>
        <v>Senior (16+)</v>
      </c>
      <c r="AC80">
        <v>3</v>
      </c>
      <c r="AD80">
        <v>4</v>
      </c>
      <c r="AE80" t="s">
        <v>64</v>
      </c>
      <c r="AF80">
        <v>2</v>
      </c>
      <c r="AG80">
        <v>0</v>
      </c>
      <c r="AH80">
        <v>2</v>
      </c>
    </row>
    <row r="81" spans="1:34" x14ac:dyDescent="0.3">
      <c r="A81" t="s">
        <v>58</v>
      </c>
      <c r="B81">
        <v>0</v>
      </c>
      <c r="C81" t="s">
        <v>32</v>
      </c>
      <c r="D81">
        <v>945</v>
      </c>
      <c r="E81" t="s">
        <v>56</v>
      </c>
      <c r="F81">
        <v>5</v>
      </c>
      <c r="G81" t="str">
        <f>IF(Table2[[#This Row],[DistanceFromHome]]&lt;=5, "short", IF(Table2[[#This Row],[DistanceFromHome]]&lt;=15, "medium", "long"))</f>
        <v>short</v>
      </c>
      <c r="H81">
        <v>2</v>
      </c>
      <c r="I81" t="s">
        <v>46</v>
      </c>
      <c r="J81">
        <v>103</v>
      </c>
      <c r="K81">
        <v>2</v>
      </c>
      <c r="L81" t="s">
        <v>41</v>
      </c>
      <c r="M81">
        <v>80</v>
      </c>
      <c r="N81">
        <v>3</v>
      </c>
      <c r="O81">
        <v>2</v>
      </c>
      <c r="P81" t="s">
        <v>56</v>
      </c>
      <c r="Q81">
        <v>2</v>
      </c>
      <c r="R81" t="s">
        <v>47</v>
      </c>
      <c r="S81">
        <v>5021</v>
      </c>
      <c r="T81">
        <v>10425</v>
      </c>
      <c r="U81">
        <v>8</v>
      </c>
      <c r="V81" t="s">
        <v>31</v>
      </c>
      <c r="W81">
        <v>22</v>
      </c>
      <c r="X81">
        <v>4</v>
      </c>
      <c r="Y81">
        <v>4</v>
      </c>
      <c r="Z81">
        <v>1</v>
      </c>
      <c r="AA81">
        <v>16</v>
      </c>
      <c r="AB81" t="str">
        <f>IF(Table2[[#This Row],[TotalWorkingYears]]&lt;=5,"Early (0-5)",IF(Table2[[#This Row],[TotalWorkingYears]]&lt;=15,"Mid (6-15)","Senior (16+)"))</f>
        <v>Senior (16+)</v>
      </c>
      <c r="AC81">
        <v>2</v>
      </c>
      <c r="AD81">
        <v>3</v>
      </c>
      <c r="AE81" t="s">
        <v>64</v>
      </c>
      <c r="AF81">
        <v>2</v>
      </c>
      <c r="AG81">
        <v>0</v>
      </c>
      <c r="AH81">
        <v>2</v>
      </c>
    </row>
    <row r="82" spans="1:34" x14ac:dyDescent="0.3">
      <c r="A82" t="s">
        <v>59</v>
      </c>
      <c r="B82">
        <v>0</v>
      </c>
      <c r="C82" t="s">
        <v>32</v>
      </c>
      <c r="D82">
        <v>852</v>
      </c>
      <c r="E82" t="s">
        <v>40</v>
      </c>
      <c r="F82">
        <v>1</v>
      </c>
      <c r="G82" t="str">
        <f>IF(Table2[[#This Row],[DistanceFromHome]]&lt;=5, "short", IF(Table2[[#This Row],[DistanceFromHome]]&lt;=15, "medium", "long"))</f>
        <v>short</v>
      </c>
      <c r="H82">
        <v>1</v>
      </c>
      <c r="I82" t="s">
        <v>34</v>
      </c>
      <c r="J82">
        <v>104</v>
      </c>
      <c r="K82">
        <v>4</v>
      </c>
      <c r="L82" t="s">
        <v>41</v>
      </c>
      <c r="M82">
        <v>55</v>
      </c>
      <c r="N82">
        <v>2</v>
      </c>
      <c r="O82">
        <v>2</v>
      </c>
      <c r="P82" t="s">
        <v>45</v>
      </c>
      <c r="Q82">
        <v>4</v>
      </c>
      <c r="R82" t="s">
        <v>43</v>
      </c>
      <c r="S82">
        <v>5126</v>
      </c>
      <c r="T82">
        <v>15998</v>
      </c>
      <c r="U82">
        <v>1</v>
      </c>
      <c r="V82" t="s">
        <v>31</v>
      </c>
      <c r="W82">
        <v>12</v>
      </c>
      <c r="X82">
        <v>3</v>
      </c>
      <c r="Y82">
        <v>3</v>
      </c>
      <c r="Z82">
        <v>2</v>
      </c>
      <c r="AA82">
        <v>10</v>
      </c>
      <c r="AB82" t="str">
        <f>IF(Table2[[#This Row],[TotalWorkingYears]]&lt;=5,"Early (0-5)",IF(Table2[[#This Row],[TotalWorkingYears]]&lt;=15,"Mid (6-15)","Senior (16+)"))</f>
        <v>Mid (6-15)</v>
      </c>
      <c r="AC82">
        <v>1</v>
      </c>
      <c r="AD82">
        <v>2</v>
      </c>
      <c r="AE82" t="s">
        <v>62</v>
      </c>
      <c r="AF82">
        <v>8</v>
      </c>
      <c r="AG82">
        <v>3</v>
      </c>
      <c r="AH82">
        <v>0</v>
      </c>
    </row>
    <row r="83" spans="1:34" x14ac:dyDescent="0.3">
      <c r="A83" t="s">
        <v>59</v>
      </c>
      <c r="B83">
        <v>0</v>
      </c>
      <c r="C83" t="s">
        <v>32</v>
      </c>
      <c r="D83">
        <v>1214</v>
      </c>
      <c r="E83" t="s">
        <v>40</v>
      </c>
      <c r="F83">
        <v>1</v>
      </c>
      <c r="G83" t="str">
        <f>IF(Table2[[#This Row],[DistanceFromHome]]&lt;=5, "short", IF(Table2[[#This Row],[DistanceFromHome]]&lt;=15, "medium", "long"))</f>
        <v>short</v>
      </c>
      <c r="H83">
        <v>3</v>
      </c>
      <c r="I83" t="s">
        <v>46</v>
      </c>
      <c r="J83">
        <v>105</v>
      </c>
      <c r="K83">
        <v>2</v>
      </c>
      <c r="L83" t="s">
        <v>41</v>
      </c>
      <c r="M83">
        <v>30</v>
      </c>
      <c r="N83">
        <v>2</v>
      </c>
      <c r="O83">
        <v>1</v>
      </c>
      <c r="P83" t="s">
        <v>42</v>
      </c>
      <c r="Q83">
        <v>3</v>
      </c>
      <c r="R83" t="s">
        <v>37</v>
      </c>
      <c r="S83">
        <v>2859</v>
      </c>
      <c r="T83">
        <v>26278</v>
      </c>
      <c r="U83">
        <v>1</v>
      </c>
      <c r="V83" t="s">
        <v>38</v>
      </c>
      <c r="W83">
        <v>18</v>
      </c>
      <c r="X83">
        <v>3</v>
      </c>
      <c r="Y83">
        <v>1</v>
      </c>
      <c r="Z83">
        <v>0</v>
      </c>
      <c r="AA83">
        <v>6</v>
      </c>
      <c r="AB83" t="str">
        <f>IF(Table2[[#This Row],[TotalWorkingYears]]&lt;=5,"Early (0-5)",IF(Table2[[#This Row],[TotalWorkingYears]]&lt;=15,"Mid (6-15)","Senior (16+)"))</f>
        <v>Mid (6-15)</v>
      </c>
      <c r="AC83">
        <v>3</v>
      </c>
      <c r="AD83">
        <v>3</v>
      </c>
      <c r="AE83" t="s">
        <v>62</v>
      </c>
      <c r="AF83">
        <v>4</v>
      </c>
      <c r="AG83">
        <v>0</v>
      </c>
      <c r="AH83">
        <v>4</v>
      </c>
    </row>
    <row r="84" spans="1:34" x14ac:dyDescent="0.3">
      <c r="A84" t="s">
        <v>58</v>
      </c>
      <c r="B84">
        <v>0</v>
      </c>
      <c r="C84" t="s">
        <v>32</v>
      </c>
      <c r="D84">
        <v>111</v>
      </c>
      <c r="E84" t="s">
        <v>33</v>
      </c>
      <c r="F84">
        <v>1</v>
      </c>
      <c r="G84" t="str">
        <f>IF(Table2[[#This Row],[DistanceFromHome]]&lt;=5, "short", IF(Table2[[#This Row],[DistanceFromHome]]&lt;=15, "medium", "long"))</f>
        <v>short</v>
      </c>
      <c r="H84">
        <v>2</v>
      </c>
      <c r="I84" t="s">
        <v>34</v>
      </c>
      <c r="J84">
        <v>106</v>
      </c>
      <c r="K84">
        <v>1</v>
      </c>
      <c r="L84" t="s">
        <v>41</v>
      </c>
      <c r="M84">
        <v>70</v>
      </c>
      <c r="N84">
        <v>3</v>
      </c>
      <c r="O84">
        <v>3</v>
      </c>
      <c r="P84" t="s">
        <v>36</v>
      </c>
      <c r="Q84">
        <v>4</v>
      </c>
      <c r="R84" t="s">
        <v>43</v>
      </c>
      <c r="S84">
        <v>10239</v>
      </c>
      <c r="T84">
        <v>18092</v>
      </c>
      <c r="U84">
        <v>3</v>
      </c>
      <c r="V84" t="s">
        <v>38</v>
      </c>
      <c r="W84">
        <v>14</v>
      </c>
      <c r="X84">
        <v>3</v>
      </c>
      <c r="Y84">
        <v>4</v>
      </c>
      <c r="Z84">
        <v>1</v>
      </c>
      <c r="AA84">
        <v>24</v>
      </c>
      <c r="AB84" t="str">
        <f>IF(Table2[[#This Row],[TotalWorkingYears]]&lt;=5,"Early (0-5)",IF(Table2[[#This Row],[TotalWorkingYears]]&lt;=15,"Mid (6-15)","Senior (16+)"))</f>
        <v>Senior (16+)</v>
      </c>
      <c r="AC84">
        <v>4</v>
      </c>
      <c r="AD84">
        <v>3</v>
      </c>
      <c r="AE84" t="s">
        <v>63</v>
      </c>
      <c r="AF84">
        <v>0</v>
      </c>
      <c r="AG84">
        <v>1</v>
      </c>
      <c r="AH84">
        <v>0</v>
      </c>
    </row>
    <row r="85" spans="1:34" x14ac:dyDescent="0.3">
      <c r="A85" t="s">
        <v>57</v>
      </c>
      <c r="B85">
        <v>0</v>
      </c>
      <c r="C85" t="s">
        <v>50</v>
      </c>
      <c r="D85">
        <v>573</v>
      </c>
      <c r="E85" t="s">
        <v>40</v>
      </c>
      <c r="F85">
        <v>6</v>
      </c>
      <c r="G85" t="str">
        <f>IF(Table2[[#This Row],[DistanceFromHome]]&lt;=5, "short", IF(Table2[[#This Row],[DistanceFromHome]]&lt;=15, "medium", "long"))</f>
        <v>medium</v>
      </c>
      <c r="H85">
        <v>3</v>
      </c>
      <c r="I85" t="s">
        <v>46</v>
      </c>
      <c r="J85">
        <v>107</v>
      </c>
      <c r="K85">
        <v>2</v>
      </c>
      <c r="L85" t="s">
        <v>35</v>
      </c>
      <c r="M85">
        <v>79</v>
      </c>
      <c r="N85">
        <v>1</v>
      </c>
      <c r="O85">
        <v>2</v>
      </c>
      <c r="P85" t="s">
        <v>42</v>
      </c>
      <c r="Q85">
        <v>4</v>
      </c>
      <c r="R85" t="s">
        <v>47</v>
      </c>
      <c r="S85">
        <v>5329</v>
      </c>
      <c r="T85">
        <v>15717</v>
      </c>
      <c r="U85">
        <v>7</v>
      </c>
      <c r="V85" t="s">
        <v>31</v>
      </c>
      <c r="W85">
        <v>12</v>
      </c>
      <c r="X85">
        <v>3</v>
      </c>
      <c r="Y85">
        <v>4</v>
      </c>
      <c r="Z85">
        <v>3</v>
      </c>
      <c r="AA85">
        <v>17</v>
      </c>
      <c r="AB85" t="str">
        <f>IF(Table2[[#This Row],[TotalWorkingYears]]&lt;=5,"Early (0-5)",IF(Table2[[#This Row],[TotalWorkingYears]]&lt;=15,"Mid (6-15)","Senior (16+)"))</f>
        <v>Senior (16+)</v>
      </c>
      <c r="AC85">
        <v>3</v>
      </c>
      <c r="AD85">
        <v>3</v>
      </c>
      <c r="AE85" t="s">
        <v>65</v>
      </c>
      <c r="AF85">
        <v>11</v>
      </c>
      <c r="AG85">
        <v>1</v>
      </c>
      <c r="AH85">
        <v>9</v>
      </c>
    </row>
    <row r="86" spans="1:34" x14ac:dyDescent="0.3">
      <c r="A86" t="s">
        <v>59</v>
      </c>
      <c r="B86">
        <v>0</v>
      </c>
      <c r="C86" t="s">
        <v>32</v>
      </c>
      <c r="D86">
        <v>1153</v>
      </c>
      <c r="E86" t="s">
        <v>40</v>
      </c>
      <c r="F86">
        <v>1</v>
      </c>
      <c r="G86" t="str">
        <f>IF(Table2[[#This Row],[DistanceFromHome]]&lt;=5, "short", IF(Table2[[#This Row],[DistanceFromHome]]&lt;=15, "medium", "long"))</f>
        <v>short</v>
      </c>
      <c r="H86">
        <v>2</v>
      </c>
      <c r="I86" t="s">
        <v>46</v>
      </c>
      <c r="J86">
        <v>110</v>
      </c>
      <c r="K86">
        <v>1</v>
      </c>
      <c r="L86" t="s">
        <v>41</v>
      </c>
      <c r="M86">
        <v>94</v>
      </c>
      <c r="N86">
        <v>3</v>
      </c>
      <c r="O86">
        <v>2</v>
      </c>
      <c r="P86" t="s">
        <v>48</v>
      </c>
      <c r="Q86">
        <v>2</v>
      </c>
      <c r="R86" t="s">
        <v>43</v>
      </c>
      <c r="S86">
        <v>4325</v>
      </c>
      <c r="T86">
        <v>17736</v>
      </c>
      <c r="U86">
        <v>1</v>
      </c>
      <c r="V86" t="s">
        <v>38</v>
      </c>
      <c r="W86">
        <v>15</v>
      </c>
      <c r="X86">
        <v>3</v>
      </c>
      <c r="Y86">
        <v>3</v>
      </c>
      <c r="Z86">
        <v>0</v>
      </c>
      <c r="AA86">
        <v>5</v>
      </c>
      <c r="AB86" t="str">
        <f>IF(Table2[[#This Row],[TotalWorkingYears]]&lt;=5,"Early (0-5)",IF(Table2[[#This Row],[TotalWorkingYears]]&lt;=15,"Mid (6-15)","Senior (16+)"))</f>
        <v>Early (0-5)</v>
      </c>
      <c r="AC86">
        <v>2</v>
      </c>
      <c r="AD86">
        <v>3</v>
      </c>
      <c r="AE86" t="s">
        <v>64</v>
      </c>
      <c r="AF86">
        <v>2</v>
      </c>
      <c r="AG86">
        <v>1</v>
      </c>
      <c r="AH86">
        <v>3</v>
      </c>
    </row>
    <row r="87" spans="1:34" x14ac:dyDescent="0.3">
      <c r="A87" t="s">
        <v>58</v>
      </c>
      <c r="B87">
        <v>0</v>
      </c>
      <c r="C87" t="s">
        <v>32</v>
      </c>
      <c r="D87">
        <v>1400</v>
      </c>
      <c r="E87" t="s">
        <v>40</v>
      </c>
      <c r="F87">
        <v>7</v>
      </c>
      <c r="G87" t="str">
        <f>IF(Table2[[#This Row],[DistanceFromHome]]&lt;=5, "short", IF(Table2[[#This Row],[DistanceFromHome]]&lt;=15, "medium", "long"))</f>
        <v>medium</v>
      </c>
      <c r="H87">
        <v>3</v>
      </c>
      <c r="I87" t="s">
        <v>34</v>
      </c>
      <c r="J87">
        <v>112</v>
      </c>
      <c r="K87">
        <v>4</v>
      </c>
      <c r="L87" t="s">
        <v>41</v>
      </c>
      <c r="M87">
        <v>49</v>
      </c>
      <c r="N87">
        <v>1</v>
      </c>
      <c r="O87">
        <v>3</v>
      </c>
      <c r="P87" t="s">
        <v>48</v>
      </c>
      <c r="Q87">
        <v>4</v>
      </c>
      <c r="R87" t="s">
        <v>37</v>
      </c>
      <c r="S87">
        <v>7260</v>
      </c>
      <c r="T87">
        <v>21698</v>
      </c>
      <c r="U87">
        <v>4</v>
      </c>
      <c r="V87" t="s">
        <v>38</v>
      </c>
      <c r="W87">
        <v>11</v>
      </c>
      <c r="X87">
        <v>3</v>
      </c>
      <c r="Y87">
        <v>1</v>
      </c>
      <c r="Z87">
        <v>0</v>
      </c>
      <c r="AA87">
        <v>37</v>
      </c>
      <c r="AB87" t="str">
        <f>IF(Table2[[#This Row],[TotalWorkingYears]]&lt;=5,"Early (0-5)",IF(Table2[[#This Row],[TotalWorkingYears]]&lt;=15,"Mid (6-15)","Senior (16+)"))</f>
        <v>Senior (16+)</v>
      </c>
      <c r="AC87">
        <v>3</v>
      </c>
      <c r="AD87">
        <v>2</v>
      </c>
      <c r="AE87" t="s">
        <v>62</v>
      </c>
      <c r="AF87">
        <v>4</v>
      </c>
      <c r="AG87">
        <v>0</v>
      </c>
      <c r="AH87">
        <v>2</v>
      </c>
    </row>
    <row r="88" spans="1:34" x14ac:dyDescent="0.3">
      <c r="A88" t="s">
        <v>60</v>
      </c>
      <c r="B88">
        <v>0</v>
      </c>
      <c r="C88" t="s">
        <v>32</v>
      </c>
      <c r="D88">
        <v>541</v>
      </c>
      <c r="E88" t="s">
        <v>33</v>
      </c>
      <c r="F88">
        <v>2</v>
      </c>
      <c r="G88" t="str">
        <f>IF(Table2[[#This Row],[DistanceFromHome]]&lt;=5, "short", IF(Table2[[#This Row],[DistanceFromHome]]&lt;=15, "medium", "long"))</f>
        <v>short</v>
      </c>
      <c r="H88">
        <v>1</v>
      </c>
      <c r="I88" t="s">
        <v>55</v>
      </c>
      <c r="J88">
        <v>113</v>
      </c>
      <c r="K88">
        <v>3</v>
      </c>
      <c r="L88" t="s">
        <v>41</v>
      </c>
      <c r="M88">
        <v>62</v>
      </c>
      <c r="N88">
        <v>3</v>
      </c>
      <c r="O88">
        <v>1</v>
      </c>
      <c r="P88" t="s">
        <v>52</v>
      </c>
      <c r="Q88">
        <v>1</v>
      </c>
      <c r="R88" t="s">
        <v>47</v>
      </c>
      <c r="S88">
        <v>2322</v>
      </c>
      <c r="T88">
        <v>9518</v>
      </c>
      <c r="U88">
        <v>3</v>
      </c>
      <c r="V88" t="s">
        <v>38</v>
      </c>
      <c r="W88">
        <v>13</v>
      </c>
      <c r="X88">
        <v>3</v>
      </c>
      <c r="Y88">
        <v>3</v>
      </c>
      <c r="Z88">
        <v>1</v>
      </c>
      <c r="AA88">
        <v>3</v>
      </c>
      <c r="AB88" t="str">
        <f>IF(Table2[[#This Row],[TotalWorkingYears]]&lt;=5,"Early (0-5)",IF(Table2[[#This Row],[TotalWorkingYears]]&lt;=15,"Mid (6-15)","Senior (16+)"))</f>
        <v>Early (0-5)</v>
      </c>
      <c r="AC88">
        <v>3</v>
      </c>
      <c r="AD88">
        <v>3</v>
      </c>
      <c r="AE88" t="s">
        <v>63</v>
      </c>
      <c r="AF88">
        <v>0</v>
      </c>
      <c r="AG88">
        <v>0</v>
      </c>
      <c r="AH88">
        <v>0</v>
      </c>
    </row>
    <row r="89" spans="1:34" x14ac:dyDescent="0.3">
      <c r="A89" t="s">
        <v>58</v>
      </c>
      <c r="B89">
        <v>0</v>
      </c>
      <c r="C89" t="s">
        <v>32</v>
      </c>
      <c r="D89">
        <v>432</v>
      </c>
      <c r="E89" t="s">
        <v>40</v>
      </c>
      <c r="F89">
        <v>9</v>
      </c>
      <c r="G89" t="str">
        <f>IF(Table2[[#This Row],[DistanceFromHome]]&lt;=5, "short", IF(Table2[[#This Row],[DistanceFromHome]]&lt;=15, "medium", "long"))</f>
        <v>medium</v>
      </c>
      <c r="H89">
        <v>4</v>
      </c>
      <c r="I89" t="s">
        <v>34</v>
      </c>
      <c r="J89">
        <v>116</v>
      </c>
      <c r="K89">
        <v>4</v>
      </c>
      <c r="L89" t="s">
        <v>41</v>
      </c>
      <c r="M89">
        <v>96</v>
      </c>
      <c r="N89">
        <v>3</v>
      </c>
      <c r="O89">
        <v>1</v>
      </c>
      <c r="P89" t="s">
        <v>45</v>
      </c>
      <c r="Q89">
        <v>4</v>
      </c>
      <c r="R89" t="s">
        <v>43</v>
      </c>
      <c r="S89">
        <v>2075</v>
      </c>
      <c r="T89">
        <v>18725</v>
      </c>
      <c r="U89">
        <v>3</v>
      </c>
      <c r="V89" t="s">
        <v>38</v>
      </c>
      <c r="W89">
        <v>23</v>
      </c>
      <c r="X89">
        <v>4</v>
      </c>
      <c r="Y89">
        <v>2</v>
      </c>
      <c r="Z89">
        <v>2</v>
      </c>
      <c r="AA89">
        <v>10</v>
      </c>
      <c r="AB89" t="str">
        <f>IF(Table2[[#This Row],[TotalWorkingYears]]&lt;=5,"Early (0-5)",IF(Table2[[#This Row],[TotalWorkingYears]]&lt;=15,"Mid (6-15)","Senior (16+)"))</f>
        <v>Mid (6-15)</v>
      </c>
      <c r="AC89">
        <v>4</v>
      </c>
      <c r="AD89">
        <v>3</v>
      </c>
      <c r="AE89" t="s">
        <v>64</v>
      </c>
      <c r="AF89">
        <v>2</v>
      </c>
      <c r="AG89">
        <v>0</v>
      </c>
      <c r="AH89">
        <v>3</v>
      </c>
    </row>
    <row r="90" spans="1:34" x14ac:dyDescent="0.3">
      <c r="A90" t="s">
        <v>59</v>
      </c>
      <c r="B90">
        <v>0</v>
      </c>
      <c r="C90" t="s">
        <v>32</v>
      </c>
      <c r="D90">
        <v>288</v>
      </c>
      <c r="E90" t="s">
        <v>40</v>
      </c>
      <c r="F90">
        <v>2</v>
      </c>
      <c r="G90" t="str">
        <f>IF(Table2[[#This Row],[DistanceFromHome]]&lt;=5, "short", IF(Table2[[#This Row],[DistanceFromHome]]&lt;=15, "medium", "long"))</f>
        <v>short</v>
      </c>
      <c r="H90">
        <v>3</v>
      </c>
      <c r="I90" t="s">
        <v>34</v>
      </c>
      <c r="J90">
        <v>117</v>
      </c>
      <c r="K90">
        <v>3</v>
      </c>
      <c r="L90" t="s">
        <v>41</v>
      </c>
      <c r="M90">
        <v>99</v>
      </c>
      <c r="N90">
        <v>2</v>
      </c>
      <c r="O90">
        <v>2</v>
      </c>
      <c r="P90" t="s">
        <v>49</v>
      </c>
      <c r="Q90">
        <v>4</v>
      </c>
      <c r="R90" t="s">
        <v>43</v>
      </c>
      <c r="S90">
        <v>4152</v>
      </c>
      <c r="T90">
        <v>15830</v>
      </c>
      <c r="U90">
        <v>1</v>
      </c>
      <c r="V90" t="s">
        <v>38</v>
      </c>
      <c r="W90">
        <v>19</v>
      </c>
      <c r="X90">
        <v>3</v>
      </c>
      <c r="Y90">
        <v>1</v>
      </c>
      <c r="Z90">
        <v>3</v>
      </c>
      <c r="AA90">
        <v>11</v>
      </c>
      <c r="AB90" t="str">
        <f>IF(Table2[[#This Row],[TotalWorkingYears]]&lt;=5,"Early (0-5)",IF(Table2[[#This Row],[TotalWorkingYears]]&lt;=15,"Mid (6-15)","Senior (16+)"))</f>
        <v>Mid (6-15)</v>
      </c>
      <c r="AC90">
        <v>3</v>
      </c>
      <c r="AD90">
        <v>3</v>
      </c>
      <c r="AE90" t="s">
        <v>65</v>
      </c>
      <c r="AF90">
        <v>10</v>
      </c>
      <c r="AG90">
        <v>10</v>
      </c>
      <c r="AH90">
        <v>8</v>
      </c>
    </row>
    <row r="91" spans="1:34" x14ac:dyDescent="0.3">
      <c r="A91" t="s">
        <v>58</v>
      </c>
      <c r="B91">
        <v>1</v>
      </c>
      <c r="C91" t="s">
        <v>32</v>
      </c>
      <c r="D91">
        <v>669</v>
      </c>
      <c r="E91" t="s">
        <v>33</v>
      </c>
      <c r="F91">
        <v>9</v>
      </c>
      <c r="G91" t="str">
        <f>IF(Table2[[#This Row],[DistanceFromHome]]&lt;=5, "short", IF(Table2[[#This Row],[DistanceFromHome]]&lt;=15, "medium", "long"))</f>
        <v>medium</v>
      </c>
      <c r="H91">
        <v>2</v>
      </c>
      <c r="I91" t="s">
        <v>46</v>
      </c>
      <c r="J91">
        <v>118</v>
      </c>
      <c r="K91">
        <v>3</v>
      </c>
      <c r="L91" t="s">
        <v>41</v>
      </c>
      <c r="M91">
        <v>64</v>
      </c>
      <c r="N91">
        <v>2</v>
      </c>
      <c r="O91">
        <v>3</v>
      </c>
      <c r="P91" t="s">
        <v>36</v>
      </c>
      <c r="Q91">
        <v>4</v>
      </c>
      <c r="R91" t="s">
        <v>37</v>
      </c>
      <c r="S91">
        <v>9619</v>
      </c>
      <c r="T91">
        <v>13596</v>
      </c>
      <c r="U91">
        <v>1</v>
      </c>
      <c r="V91" t="s">
        <v>38</v>
      </c>
      <c r="W91">
        <v>16</v>
      </c>
      <c r="X91">
        <v>3</v>
      </c>
      <c r="Y91">
        <v>4</v>
      </c>
      <c r="Z91">
        <v>0</v>
      </c>
      <c r="AA91">
        <v>9</v>
      </c>
      <c r="AB91" t="str">
        <f>IF(Table2[[#This Row],[TotalWorkingYears]]&lt;=5,"Early (0-5)",IF(Table2[[#This Row],[TotalWorkingYears]]&lt;=15,"Mid (6-15)","Senior (16+)"))</f>
        <v>Mid (6-15)</v>
      </c>
      <c r="AC91">
        <v>3</v>
      </c>
      <c r="AD91">
        <v>3</v>
      </c>
      <c r="AE91" t="s">
        <v>62</v>
      </c>
      <c r="AF91">
        <v>8</v>
      </c>
      <c r="AG91">
        <v>4</v>
      </c>
      <c r="AH91">
        <v>7</v>
      </c>
    </row>
    <row r="92" spans="1:34" x14ac:dyDescent="0.3">
      <c r="A92" t="s">
        <v>57</v>
      </c>
      <c r="B92">
        <v>0</v>
      </c>
      <c r="C92" t="s">
        <v>39</v>
      </c>
      <c r="D92">
        <v>530</v>
      </c>
      <c r="E92" t="s">
        <v>40</v>
      </c>
      <c r="F92">
        <v>1</v>
      </c>
      <c r="G92" t="str">
        <f>IF(Table2[[#This Row],[DistanceFromHome]]&lt;=5, "short", IF(Table2[[#This Row],[DistanceFromHome]]&lt;=15, "medium", "long"))</f>
        <v>short</v>
      </c>
      <c r="H92">
        <v>4</v>
      </c>
      <c r="I92" t="s">
        <v>34</v>
      </c>
      <c r="J92">
        <v>119</v>
      </c>
      <c r="K92">
        <v>3</v>
      </c>
      <c r="L92" t="s">
        <v>41</v>
      </c>
      <c r="M92">
        <v>78</v>
      </c>
      <c r="N92">
        <v>2</v>
      </c>
      <c r="O92">
        <v>4</v>
      </c>
      <c r="P92" t="s">
        <v>49</v>
      </c>
      <c r="Q92">
        <v>2</v>
      </c>
      <c r="R92" t="s">
        <v>43</v>
      </c>
      <c r="S92">
        <v>13503</v>
      </c>
      <c r="T92">
        <v>14115</v>
      </c>
      <c r="U92">
        <v>1</v>
      </c>
      <c r="V92" t="s">
        <v>38</v>
      </c>
      <c r="W92">
        <v>22</v>
      </c>
      <c r="X92">
        <v>4</v>
      </c>
      <c r="Y92">
        <v>4</v>
      </c>
      <c r="Z92">
        <v>1</v>
      </c>
      <c r="AA92">
        <v>22</v>
      </c>
      <c r="AB92" t="str">
        <f>IF(Table2[[#This Row],[TotalWorkingYears]]&lt;=5,"Early (0-5)",IF(Table2[[#This Row],[TotalWorkingYears]]&lt;=15,"Mid (6-15)","Senior (16+)"))</f>
        <v>Senior (16+)</v>
      </c>
      <c r="AC92">
        <v>3</v>
      </c>
      <c r="AD92">
        <v>2</v>
      </c>
      <c r="AE92" t="s">
        <v>65</v>
      </c>
      <c r="AF92">
        <v>3</v>
      </c>
      <c r="AG92">
        <v>11</v>
      </c>
      <c r="AH92">
        <v>11</v>
      </c>
    </row>
    <row r="93" spans="1:34" x14ac:dyDescent="0.3">
      <c r="A93" t="s">
        <v>58</v>
      </c>
      <c r="B93">
        <v>0</v>
      </c>
      <c r="C93" t="s">
        <v>32</v>
      </c>
      <c r="D93">
        <v>632</v>
      </c>
      <c r="E93" t="s">
        <v>33</v>
      </c>
      <c r="F93">
        <v>21</v>
      </c>
      <c r="G93" t="str">
        <f>IF(Table2[[#This Row],[DistanceFromHome]]&lt;=5, "short", IF(Table2[[#This Row],[DistanceFromHome]]&lt;=15, "medium", "long"))</f>
        <v>long</v>
      </c>
      <c r="H93">
        <v>4</v>
      </c>
      <c r="I93" t="s">
        <v>54</v>
      </c>
      <c r="J93">
        <v>120</v>
      </c>
      <c r="K93">
        <v>3</v>
      </c>
      <c r="L93" t="s">
        <v>41</v>
      </c>
      <c r="M93">
        <v>71</v>
      </c>
      <c r="N93">
        <v>3</v>
      </c>
      <c r="O93">
        <v>2</v>
      </c>
      <c r="P93" t="s">
        <v>36</v>
      </c>
      <c r="Q93">
        <v>4</v>
      </c>
      <c r="R93" t="s">
        <v>37</v>
      </c>
      <c r="S93">
        <v>5441</v>
      </c>
      <c r="T93">
        <v>8423</v>
      </c>
      <c r="U93">
        <v>0</v>
      </c>
      <c r="V93" t="s">
        <v>31</v>
      </c>
      <c r="W93">
        <v>22</v>
      </c>
      <c r="X93">
        <v>4</v>
      </c>
      <c r="Y93">
        <v>4</v>
      </c>
      <c r="Z93">
        <v>0</v>
      </c>
      <c r="AA93">
        <v>11</v>
      </c>
      <c r="AB93" t="str">
        <f>IF(Table2[[#This Row],[TotalWorkingYears]]&lt;=5,"Early (0-5)",IF(Table2[[#This Row],[TotalWorkingYears]]&lt;=15,"Mid (6-15)","Senior (16+)"))</f>
        <v>Mid (6-15)</v>
      </c>
      <c r="AC93">
        <v>2</v>
      </c>
      <c r="AD93">
        <v>1</v>
      </c>
      <c r="AE93" t="s">
        <v>62</v>
      </c>
      <c r="AF93">
        <v>7</v>
      </c>
      <c r="AG93">
        <v>1</v>
      </c>
      <c r="AH93">
        <v>0</v>
      </c>
    </row>
    <row r="94" spans="1:34" x14ac:dyDescent="0.3">
      <c r="A94" t="s">
        <v>59</v>
      </c>
      <c r="B94">
        <v>0</v>
      </c>
      <c r="C94" t="s">
        <v>32</v>
      </c>
      <c r="D94">
        <v>1334</v>
      </c>
      <c r="E94" t="s">
        <v>33</v>
      </c>
      <c r="F94">
        <v>4</v>
      </c>
      <c r="G94" t="str">
        <f>IF(Table2[[#This Row],[DistanceFromHome]]&lt;=5, "short", IF(Table2[[#This Row],[DistanceFromHome]]&lt;=15, "medium", "long"))</f>
        <v>short</v>
      </c>
      <c r="H94">
        <v>2</v>
      </c>
      <c r="I94" t="s">
        <v>46</v>
      </c>
      <c r="J94">
        <v>121</v>
      </c>
      <c r="K94">
        <v>3</v>
      </c>
      <c r="L94" t="s">
        <v>35</v>
      </c>
      <c r="M94">
        <v>63</v>
      </c>
      <c r="N94">
        <v>2</v>
      </c>
      <c r="O94">
        <v>2</v>
      </c>
      <c r="P94" t="s">
        <v>36</v>
      </c>
      <c r="Q94">
        <v>2</v>
      </c>
      <c r="R94" t="s">
        <v>47</v>
      </c>
      <c r="S94">
        <v>5209</v>
      </c>
      <c r="T94">
        <v>19760</v>
      </c>
      <c r="U94">
        <v>1</v>
      </c>
      <c r="V94" t="s">
        <v>31</v>
      </c>
      <c r="W94">
        <v>12</v>
      </c>
      <c r="X94">
        <v>3</v>
      </c>
      <c r="Y94">
        <v>2</v>
      </c>
      <c r="Z94">
        <v>3</v>
      </c>
      <c r="AA94">
        <v>11</v>
      </c>
      <c r="AB94" t="str">
        <f>IF(Table2[[#This Row],[TotalWorkingYears]]&lt;=5,"Early (0-5)",IF(Table2[[#This Row],[TotalWorkingYears]]&lt;=15,"Mid (6-15)","Senior (16+)"))</f>
        <v>Mid (6-15)</v>
      </c>
      <c r="AC94">
        <v>4</v>
      </c>
      <c r="AD94">
        <v>2</v>
      </c>
      <c r="AE94" t="s">
        <v>65</v>
      </c>
      <c r="AF94">
        <v>8</v>
      </c>
      <c r="AG94">
        <v>2</v>
      </c>
      <c r="AH94">
        <v>7</v>
      </c>
    </row>
    <row r="95" spans="1:34" x14ac:dyDescent="0.3">
      <c r="A95" t="s">
        <v>58</v>
      </c>
      <c r="B95">
        <v>0</v>
      </c>
      <c r="C95" t="s">
        <v>39</v>
      </c>
      <c r="D95">
        <v>638</v>
      </c>
      <c r="E95" t="s">
        <v>40</v>
      </c>
      <c r="F95">
        <v>1</v>
      </c>
      <c r="G95" t="str">
        <f>IF(Table2[[#This Row],[DistanceFromHome]]&lt;=5, "short", IF(Table2[[#This Row],[DistanceFromHome]]&lt;=15, "medium", "long"))</f>
        <v>short</v>
      </c>
      <c r="H95">
        <v>3</v>
      </c>
      <c r="I95" t="s">
        <v>46</v>
      </c>
      <c r="J95">
        <v>124</v>
      </c>
      <c r="K95">
        <v>3</v>
      </c>
      <c r="L95" t="s">
        <v>41</v>
      </c>
      <c r="M95">
        <v>40</v>
      </c>
      <c r="N95">
        <v>2</v>
      </c>
      <c r="O95">
        <v>3</v>
      </c>
      <c r="P95" t="s">
        <v>49</v>
      </c>
      <c r="Q95">
        <v>1</v>
      </c>
      <c r="R95" t="s">
        <v>43</v>
      </c>
      <c r="S95">
        <v>10673</v>
      </c>
      <c r="T95">
        <v>3142</v>
      </c>
      <c r="U95">
        <v>2</v>
      </c>
      <c r="V95" t="s">
        <v>31</v>
      </c>
      <c r="W95">
        <v>13</v>
      </c>
      <c r="X95">
        <v>3</v>
      </c>
      <c r="Y95">
        <v>3</v>
      </c>
      <c r="Z95">
        <v>1</v>
      </c>
      <c r="AA95">
        <v>21</v>
      </c>
      <c r="AB95" t="str">
        <f>IF(Table2[[#This Row],[TotalWorkingYears]]&lt;=5,"Early (0-5)",IF(Table2[[#This Row],[TotalWorkingYears]]&lt;=15,"Mid (6-15)","Senior (16+)"))</f>
        <v>Senior (16+)</v>
      </c>
      <c r="AC95">
        <v>5</v>
      </c>
      <c r="AD95">
        <v>2</v>
      </c>
      <c r="AE95" t="s">
        <v>62</v>
      </c>
      <c r="AF95">
        <v>9</v>
      </c>
      <c r="AG95">
        <v>9</v>
      </c>
      <c r="AH95">
        <v>5</v>
      </c>
    </row>
    <row r="96" spans="1:34" x14ac:dyDescent="0.3">
      <c r="A96" t="s">
        <v>59</v>
      </c>
      <c r="B96">
        <v>0</v>
      </c>
      <c r="C96" t="s">
        <v>32</v>
      </c>
      <c r="D96">
        <v>1093</v>
      </c>
      <c r="E96" t="s">
        <v>33</v>
      </c>
      <c r="F96">
        <v>6</v>
      </c>
      <c r="G96" t="str">
        <f>IF(Table2[[#This Row],[DistanceFromHome]]&lt;=5, "short", IF(Table2[[#This Row],[DistanceFromHome]]&lt;=15, "medium", "long"))</f>
        <v>medium</v>
      </c>
      <c r="H96">
        <v>4</v>
      </c>
      <c r="I96" t="s">
        <v>46</v>
      </c>
      <c r="J96">
        <v>125</v>
      </c>
      <c r="K96">
        <v>2</v>
      </c>
      <c r="L96" t="s">
        <v>41</v>
      </c>
      <c r="M96">
        <v>87</v>
      </c>
      <c r="N96">
        <v>3</v>
      </c>
      <c r="O96">
        <v>2</v>
      </c>
      <c r="P96" t="s">
        <v>36</v>
      </c>
      <c r="Q96">
        <v>3</v>
      </c>
      <c r="R96" t="s">
        <v>37</v>
      </c>
      <c r="S96">
        <v>5010</v>
      </c>
      <c r="T96">
        <v>24301</v>
      </c>
      <c r="U96">
        <v>1</v>
      </c>
      <c r="V96" t="s">
        <v>38</v>
      </c>
      <c r="W96">
        <v>16</v>
      </c>
      <c r="X96">
        <v>3</v>
      </c>
      <c r="Y96">
        <v>1</v>
      </c>
      <c r="Z96">
        <v>0</v>
      </c>
      <c r="AA96">
        <v>12</v>
      </c>
      <c r="AB96" t="str">
        <f>IF(Table2[[#This Row],[TotalWorkingYears]]&lt;=5,"Early (0-5)",IF(Table2[[#This Row],[TotalWorkingYears]]&lt;=15,"Mid (6-15)","Senior (16+)"))</f>
        <v>Mid (6-15)</v>
      </c>
      <c r="AC96">
        <v>0</v>
      </c>
      <c r="AD96">
        <v>3</v>
      </c>
      <c r="AE96" t="s">
        <v>65</v>
      </c>
      <c r="AF96">
        <v>8</v>
      </c>
      <c r="AG96">
        <v>5</v>
      </c>
      <c r="AH96">
        <v>7</v>
      </c>
    </row>
    <row r="97" spans="1:34" x14ac:dyDescent="0.3">
      <c r="A97" t="s">
        <v>58</v>
      </c>
      <c r="B97">
        <v>0</v>
      </c>
      <c r="C97" t="s">
        <v>32</v>
      </c>
      <c r="D97">
        <v>1217</v>
      </c>
      <c r="E97" t="s">
        <v>40</v>
      </c>
      <c r="F97">
        <v>2</v>
      </c>
      <c r="G97" t="str">
        <f>IF(Table2[[#This Row],[DistanceFromHome]]&lt;=5, "short", IF(Table2[[#This Row],[DistanceFromHome]]&lt;=15, "medium", "long"))</f>
        <v>short</v>
      </c>
      <c r="H97">
        <v>4</v>
      </c>
      <c r="I97" t="s">
        <v>55</v>
      </c>
      <c r="J97">
        <v>126</v>
      </c>
      <c r="K97">
        <v>1</v>
      </c>
      <c r="L97" t="s">
        <v>35</v>
      </c>
      <c r="M97">
        <v>60</v>
      </c>
      <c r="N97">
        <v>3</v>
      </c>
      <c r="O97">
        <v>3</v>
      </c>
      <c r="P97" t="s">
        <v>53</v>
      </c>
      <c r="Q97">
        <v>3</v>
      </c>
      <c r="R97" t="s">
        <v>43</v>
      </c>
      <c r="S97">
        <v>13549</v>
      </c>
      <c r="T97">
        <v>24001</v>
      </c>
      <c r="U97">
        <v>9</v>
      </c>
      <c r="V97" t="s">
        <v>38</v>
      </c>
      <c r="W97">
        <v>12</v>
      </c>
      <c r="X97">
        <v>3</v>
      </c>
      <c r="Y97">
        <v>1</v>
      </c>
      <c r="Z97">
        <v>1</v>
      </c>
      <c r="AA97">
        <v>16</v>
      </c>
      <c r="AB97" t="str">
        <f>IF(Table2[[#This Row],[TotalWorkingYears]]&lt;=5,"Early (0-5)",IF(Table2[[#This Row],[TotalWorkingYears]]&lt;=15,"Mid (6-15)","Senior (16+)"))</f>
        <v>Senior (16+)</v>
      </c>
      <c r="AC97">
        <v>5</v>
      </c>
      <c r="AD97">
        <v>1</v>
      </c>
      <c r="AE97" t="s">
        <v>64</v>
      </c>
      <c r="AF97">
        <v>3</v>
      </c>
      <c r="AG97">
        <v>0</v>
      </c>
      <c r="AH97">
        <v>3</v>
      </c>
    </row>
    <row r="98" spans="1:34" x14ac:dyDescent="0.3">
      <c r="A98" t="s">
        <v>60</v>
      </c>
      <c r="B98">
        <v>0</v>
      </c>
      <c r="C98" t="s">
        <v>32</v>
      </c>
      <c r="D98">
        <v>1353</v>
      </c>
      <c r="E98" t="s">
        <v>33</v>
      </c>
      <c r="F98">
        <v>3</v>
      </c>
      <c r="G98" t="str">
        <f>IF(Table2[[#This Row],[DistanceFromHome]]&lt;=5, "short", IF(Table2[[#This Row],[DistanceFromHome]]&lt;=15, "medium", "long"))</f>
        <v>short</v>
      </c>
      <c r="H98">
        <v>2</v>
      </c>
      <c r="I98" t="s">
        <v>44</v>
      </c>
      <c r="J98">
        <v>128</v>
      </c>
      <c r="K98">
        <v>1</v>
      </c>
      <c r="L98" t="s">
        <v>35</v>
      </c>
      <c r="M98">
        <v>33</v>
      </c>
      <c r="N98">
        <v>3</v>
      </c>
      <c r="O98">
        <v>2</v>
      </c>
      <c r="P98" t="s">
        <v>36</v>
      </c>
      <c r="Q98">
        <v>3</v>
      </c>
      <c r="R98" t="s">
        <v>43</v>
      </c>
      <c r="S98">
        <v>4999</v>
      </c>
      <c r="T98">
        <v>17519</v>
      </c>
      <c r="U98">
        <v>0</v>
      </c>
      <c r="V98" t="s">
        <v>38</v>
      </c>
      <c r="W98">
        <v>21</v>
      </c>
      <c r="X98">
        <v>4</v>
      </c>
      <c r="Y98">
        <v>1</v>
      </c>
      <c r="Z98">
        <v>1</v>
      </c>
      <c r="AA98">
        <v>4</v>
      </c>
      <c r="AB98" t="str">
        <f>IF(Table2[[#This Row],[TotalWorkingYears]]&lt;=5,"Early (0-5)",IF(Table2[[#This Row],[TotalWorkingYears]]&lt;=15,"Mid (6-15)","Senior (16+)"))</f>
        <v>Early (0-5)</v>
      </c>
      <c r="AC98">
        <v>2</v>
      </c>
      <c r="AD98">
        <v>2</v>
      </c>
      <c r="AE98" t="s">
        <v>64</v>
      </c>
      <c r="AF98">
        <v>2</v>
      </c>
      <c r="AG98">
        <v>0</v>
      </c>
      <c r="AH98">
        <v>2</v>
      </c>
    </row>
    <row r="99" spans="1:34" x14ac:dyDescent="0.3">
      <c r="A99" t="s">
        <v>59</v>
      </c>
      <c r="B99">
        <v>0</v>
      </c>
      <c r="C99" t="s">
        <v>50</v>
      </c>
      <c r="D99">
        <v>120</v>
      </c>
      <c r="E99" t="s">
        <v>33</v>
      </c>
      <c r="F99">
        <v>4</v>
      </c>
      <c r="G99" t="str">
        <f>IF(Table2[[#This Row],[DistanceFromHome]]&lt;=5, "short", IF(Table2[[#This Row],[DistanceFromHome]]&lt;=15, "medium", "long"))</f>
        <v>short</v>
      </c>
      <c r="H99">
        <v>3</v>
      </c>
      <c r="I99" t="s">
        <v>46</v>
      </c>
      <c r="J99">
        <v>129</v>
      </c>
      <c r="K99">
        <v>2</v>
      </c>
      <c r="L99" t="s">
        <v>41</v>
      </c>
      <c r="M99">
        <v>43</v>
      </c>
      <c r="N99">
        <v>3</v>
      </c>
      <c r="O99">
        <v>2</v>
      </c>
      <c r="P99" t="s">
        <v>36</v>
      </c>
      <c r="Q99">
        <v>3</v>
      </c>
      <c r="R99" t="s">
        <v>43</v>
      </c>
      <c r="S99">
        <v>4221</v>
      </c>
      <c r="T99">
        <v>8863</v>
      </c>
      <c r="U99">
        <v>1</v>
      </c>
      <c r="V99" t="s">
        <v>38</v>
      </c>
      <c r="W99">
        <v>15</v>
      </c>
      <c r="X99">
        <v>3</v>
      </c>
      <c r="Y99">
        <v>2</v>
      </c>
      <c r="Z99">
        <v>0</v>
      </c>
      <c r="AA99">
        <v>5</v>
      </c>
      <c r="AB99" t="str">
        <f>IF(Table2[[#This Row],[TotalWorkingYears]]&lt;=5,"Early (0-5)",IF(Table2[[#This Row],[TotalWorkingYears]]&lt;=15,"Mid (6-15)","Senior (16+)"))</f>
        <v>Early (0-5)</v>
      </c>
      <c r="AC99">
        <v>3</v>
      </c>
      <c r="AD99">
        <v>4</v>
      </c>
      <c r="AE99" t="s">
        <v>64</v>
      </c>
      <c r="AF99">
        <v>4</v>
      </c>
      <c r="AG99">
        <v>0</v>
      </c>
      <c r="AH99">
        <v>4</v>
      </c>
    </row>
    <row r="100" spans="1:34" x14ac:dyDescent="0.3">
      <c r="A100" t="s">
        <v>58</v>
      </c>
      <c r="B100">
        <v>0</v>
      </c>
      <c r="C100" t="s">
        <v>32</v>
      </c>
      <c r="D100">
        <v>682</v>
      </c>
      <c r="E100" t="s">
        <v>33</v>
      </c>
      <c r="F100">
        <v>10</v>
      </c>
      <c r="G100" t="str">
        <f>IF(Table2[[#This Row],[DistanceFromHome]]&lt;=5, "short", IF(Table2[[#This Row],[DistanceFromHome]]&lt;=15, "medium", "long"))</f>
        <v>medium</v>
      </c>
      <c r="H100">
        <v>4</v>
      </c>
      <c r="I100" t="s">
        <v>46</v>
      </c>
      <c r="J100">
        <v>131</v>
      </c>
      <c r="K100">
        <v>4</v>
      </c>
      <c r="L100" t="s">
        <v>41</v>
      </c>
      <c r="M100">
        <v>37</v>
      </c>
      <c r="N100">
        <v>3</v>
      </c>
      <c r="O100">
        <v>4</v>
      </c>
      <c r="P100" t="s">
        <v>36</v>
      </c>
      <c r="Q100">
        <v>3</v>
      </c>
      <c r="R100" t="s">
        <v>37</v>
      </c>
      <c r="S100">
        <v>13872</v>
      </c>
      <c r="T100">
        <v>24409</v>
      </c>
      <c r="U100">
        <v>0</v>
      </c>
      <c r="V100" t="s">
        <v>38</v>
      </c>
      <c r="W100">
        <v>13</v>
      </c>
      <c r="X100">
        <v>3</v>
      </c>
      <c r="Y100">
        <v>3</v>
      </c>
      <c r="Z100">
        <v>0</v>
      </c>
      <c r="AA100">
        <v>38</v>
      </c>
      <c r="AB100" t="str">
        <f>IF(Table2[[#This Row],[TotalWorkingYears]]&lt;=5,"Early (0-5)",IF(Table2[[#This Row],[TotalWorkingYears]]&lt;=15,"Mid (6-15)","Senior (16+)"))</f>
        <v>Senior (16+)</v>
      </c>
      <c r="AC100">
        <v>1</v>
      </c>
      <c r="AD100">
        <v>2</v>
      </c>
      <c r="AE100" t="s">
        <v>65</v>
      </c>
      <c r="AF100">
        <v>10</v>
      </c>
      <c r="AG100">
        <v>1</v>
      </c>
      <c r="AH100">
        <v>8</v>
      </c>
    </row>
    <row r="101" spans="1:34" x14ac:dyDescent="0.3">
      <c r="A101" t="s">
        <v>57</v>
      </c>
      <c r="B101">
        <v>0</v>
      </c>
      <c r="C101" t="s">
        <v>50</v>
      </c>
      <c r="D101">
        <v>489</v>
      </c>
      <c r="E101" t="s">
        <v>40</v>
      </c>
      <c r="F101">
        <v>23</v>
      </c>
      <c r="G101" t="str">
        <f>IF(Table2[[#This Row],[DistanceFromHome]]&lt;=5, "short", IF(Table2[[#This Row],[DistanceFromHome]]&lt;=15, "medium", "long"))</f>
        <v>long</v>
      </c>
      <c r="H101">
        <v>3</v>
      </c>
      <c r="I101" t="s">
        <v>46</v>
      </c>
      <c r="J101">
        <v>132</v>
      </c>
      <c r="K101">
        <v>2</v>
      </c>
      <c r="L101" t="s">
        <v>41</v>
      </c>
      <c r="M101">
        <v>67</v>
      </c>
      <c r="N101">
        <v>3</v>
      </c>
      <c r="O101">
        <v>2</v>
      </c>
      <c r="P101" t="s">
        <v>45</v>
      </c>
      <c r="Q101">
        <v>2</v>
      </c>
      <c r="R101" t="s">
        <v>43</v>
      </c>
      <c r="S101">
        <v>2042</v>
      </c>
      <c r="T101">
        <v>25043</v>
      </c>
      <c r="U101">
        <v>4</v>
      </c>
      <c r="V101" t="s">
        <v>38</v>
      </c>
      <c r="W101">
        <v>12</v>
      </c>
      <c r="X101">
        <v>3</v>
      </c>
      <c r="Y101">
        <v>3</v>
      </c>
      <c r="Z101">
        <v>1</v>
      </c>
      <c r="AA101">
        <v>17</v>
      </c>
      <c r="AB101" t="str">
        <f>IF(Table2[[#This Row],[TotalWorkingYears]]&lt;=5,"Early (0-5)",IF(Table2[[#This Row],[TotalWorkingYears]]&lt;=15,"Mid (6-15)","Senior (16+)"))</f>
        <v>Senior (16+)</v>
      </c>
      <c r="AC101">
        <v>3</v>
      </c>
      <c r="AD101">
        <v>4</v>
      </c>
      <c r="AE101" t="s">
        <v>64</v>
      </c>
      <c r="AF101">
        <v>2</v>
      </c>
      <c r="AG101">
        <v>1</v>
      </c>
      <c r="AH101">
        <v>2</v>
      </c>
    </row>
    <row r="102" spans="1:34" x14ac:dyDescent="0.3">
      <c r="A102" t="s">
        <v>57</v>
      </c>
      <c r="B102">
        <v>1</v>
      </c>
      <c r="C102" t="s">
        <v>32</v>
      </c>
      <c r="D102">
        <v>807</v>
      </c>
      <c r="E102" t="s">
        <v>56</v>
      </c>
      <c r="F102">
        <v>6</v>
      </c>
      <c r="G102" t="str">
        <f>IF(Table2[[#This Row],[DistanceFromHome]]&lt;=5, "short", IF(Table2[[#This Row],[DistanceFromHome]]&lt;=15, "medium", "long"))</f>
        <v>medium</v>
      </c>
      <c r="H102">
        <v>4</v>
      </c>
      <c r="I102" t="s">
        <v>56</v>
      </c>
      <c r="J102">
        <v>133</v>
      </c>
      <c r="K102">
        <v>3</v>
      </c>
      <c r="L102" t="s">
        <v>41</v>
      </c>
      <c r="M102">
        <v>63</v>
      </c>
      <c r="N102">
        <v>3</v>
      </c>
      <c r="O102">
        <v>1</v>
      </c>
      <c r="P102" t="s">
        <v>56</v>
      </c>
      <c r="Q102">
        <v>1</v>
      </c>
      <c r="R102" t="s">
        <v>47</v>
      </c>
      <c r="S102">
        <v>2073</v>
      </c>
      <c r="T102">
        <v>23648</v>
      </c>
      <c r="U102">
        <v>4</v>
      </c>
      <c r="V102" t="s">
        <v>31</v>
      </c>
      <c r="W102">
        <v>22</v>
      </c>
      <c r="X102">
        <v>4</v>
      </c>
      <c r="Y102">
        <v>4</v>
      </c>
      <c r="Z102">
        <v>0</v>
      </c>
      <c r="AA102">
        <v>7</v>
      </c>
      <c r="AB102" t="str">
        <f>IF(Table2[[#This Row],[TotalWorkingYears]]&lt;=5,"Early (0-5)",IF(Table2[[#This Row],[TotalWorkingYears]]&lt;=15,"Mid (6-15)","Senior (16+)"))</f>
        <v>Mid (6-15)</v>
      </c>
      <c r="AC102">
        <v>3</v>
      </c>
      <c r="AD102">
        <v>3</v>
      </c>
      <c r="AE102" t="s">
        <v>64</v>
      </c>
      <c r="AF102">
        <v>2</v>
      </c>
      <c r="AG102">
        <v>0</v>
      </c>
      <c r="AH102">
        <v>2</v>
      </c>
    </row>
    <row r="103" spans="1:34" x14ac:dyDescent="0.3">
      <c r="A103" t="s">
        <v>59</v>
      </c>
      <c r="B103">
        <v>0</v>
      </c>
      <c r="C103" t="s">
        <v>32</v>
      </c>
      <c r="D103">
        <v>827</v>
      </c>
      <c r="E103" t="s">
        <v>40</v>
      </c>
      <c r="F103">
        <v>1</v>
      </c>
      <c r="G103" t="str">
        <f>IF(Table2[[#This Row],[DistanceFromHome]]&lt;=5, "short", IF(Table2[[#This Row],[DistanceFromHome]]&lt;=15, "medium", "long"))</f>
        <v>short</v>
      </c>
      <c r="H103">
        <v>1</v>
      </c>
      <c r="I103" t="s">
        <v>34</v>
      </c>
      <c r="J103">
        <v>134</v>
      </c>
      <c r="K103">
        <v>4</v>
      </c>
      <c r="L103" t="s">
        <v>41</v>
      </c>
      <c r="M103">
        <v>71</v>
      </c>
      <c r="N103">
        <v>3</v>
      </c>
      <c r="O103">
        <v>1</v>
      </c>
      <c r="P103" t="s">
        <v>42</v>
      </c>
      <c r="Q103">
        <v>1</v>
      </c>
      <c r="R103" t="s">
        <v>37</v>
      </c>
      <c r="S103">
        <v>2956</v>
      </c>
      <c r="T103">
        <v>15178</v>
      </c>
      <c r="U103">
        <v>1</v>
      </c>
      <c r="V103" t="s">
        <v>38</v>
      </c>
      <c r="W103">
        <v>13</v>
      </c>
      <c r="X103">
        <v>3</v>
      </c>
      <c r="Y103">
        <v>4</v>
      </c>
      <c r="Z103">
        <v>0</v>
      </c>
      <c r="AA103">
        <v>1</v>
      </c>
      <c r="AB103" t="str">
        <f>IF(Table2[[#This Row],[TotalWorkingYears]]&lt;=5,"Early (0-5)",IF(Table2[[#This Row],[TotalWorkingYears]]&lt;=15,"Mid (6-15)","Senior (16+)"))</f>
        <v>Early (0-5)</v>
      </c>
      <c r="AC103">
        <v>2</v>
      </c>
      <c r="AD103">
        <v>3</v>
      </c>
      <c r="AE103" t="s">
        <v>63</v>
      </c>
      <c r="AF103">
        <v>0</v>
      </c>
      <c r="AG103">
        <v>0</v>
      </c>
      <c r="AH103">
        <v>0</v>
      </c>
    </row>
    <row r="104" spans="1:34" x14ac:dyDescent="0.3">
      <c r="A104" t="s">
        <v>60</v>
      </c>
      <c r="B104">
        <v>1</v>
      </c>
      <c r="C104" t="s">
        <v>39</v>
      </c>
      <c r="D104">
        <v>871</v>
      </c>
      <c r="E104" t="s">
        <v>40</v>
      </c>
      <c r="F104">
        <v>6</v>
      </c>
      <c r="G104" t="str">
        <f>IF(Table2[[#This Row],[DistanceFromHome]]&lt;=5, "short", IF(Table2[[#This Row],[DistanceFromHome]]&lt;=15, "medium", "long"))</f>
        <v>medium</v>
      </c>
      <c r="H104">
        <v>3</v>
      </c>
      <c r="I104" t="s">
        <v>34</v>
      </c>
      <c r="J104">
        <v>137</v>
      </c>
      <c r="K104">
        <v>4</v>
      </c>
      <c r="L104" t="s">
        <v>35</v>
      </c>
      <c r="M104">
        <v>66</v>
      </c>
      <c r="N104">
        <v>2</v>
      </c>
      <c r="O104">
        <v>1</v>
      </c>
      <c r="P104" t="s">
        <v>45</v>
      </c>
      <c r="Q104">
        <v>4</v>
      </c>
      <c r="R104" t="s">
        <v>37</v>
      </c>
      <c r="S104">
        <v>2926</v>
      </c>
      <c r="T104">
        <v>19783</v>
      </c>
      <c r="U104">
        <v>1</v>
      </c>
      <c r="V104" t="s">
        <v>31</v>
      </c>
      <c r="W104">
        <v>18</v>
      </c>
      <c r="X104">
        <v>3</v>
      </c>
      <c r="Y104">
        <v>2</v>
      </c>
      <c r="Z104">
        <v>0</v>
      </c>
      <c r="AA104">
        <v>1</v>
      </c>
      <c r="AB104" t="str">
        <f>IF(Table2[[#This Row],[TotalWorkingYears]]&lt;=5,"Early (0-5)",IF(Table2[[#This Row],[TotalWorkingYears]]&lt;=15,"Mid (6-15)","Senior (16+)"))</f>
        <v>Early (0-5)</v>
      </c>
      <c r="AC104">
        <v>5</v>
      </c>
      <c r="AD104">
        <v>3</v>
      </c>
      <c r="AE104" t="s">
        <v>63</v>
      </c>
      <c r="AF104">
        <v>0</v>
      </c>
      <c r="AG104">
        <v>1</v>
      </c>
      <c r="AH104">
        <v>0</v>
      </c>
    </row>
    <row r="105" spans="1:34" x14ac:dyDescent="0.3">
      <c r="A105" t="s">
        <v>59</v>
      </c>
      <c r="B105">
        <v>0</v>
      </c>
      <c r="C105" t="s">
        <v>32</v>
      </c>
      <c r="D105">
        <v>665</v>
      </c>
      <c r="E105" t="s">
        <v>40</v>
      </c>
      <c r="F105">
        <v>6</v>
      </c>
      <c r="G105" t="str">
        <f>IF(Table2[[#This Row],[DistanceFromHome]]&lt;=5, "short", IF(Table2[[#This Row],[DistanceFromHome]]&lt;=15, "medium", "long"))</f>
        <v>medium</v>
      </c>
      <c r="H105">
        <v>4</v>
      </c>
      <c r="I105" t="s">
        <v>44</v>
      </c>
      <c r="J105">
        <v>138</v>
      </c>
      <c r="K105">
        <v>1</v>
      </c>
      <c r="L105" t="s">
        <v>35</v>
      </c>
      <c r="M105">
        <v>41</v>
      </c>
      <c r="N105">
        <v>3</v>
      </c>
      <c r="O105">
        <v>2</v>
      </c>
      <c r="P105" t="s">
        <v>42</v>
      </c>
      <c r="Q105">
        <v>3</v>
      </c>
      <c r="R105" t="s">
        <v>37</v>
      </c>
      <c r="S105">
        <v>4809</v>
      </c>
      <c r="T105">
        <v>12482</v>
      </c>
      <c r="U105">
        <v>1</v>
      </c>
      <c r="V105" t="s">
        <v>38</v>
      </c>
      <c r="W105">
        <v>14</v>
      </c>
      <c r="X105">
        <v>3</v>
      </c>
      <c r="Y105">
        <v>3</v>
      </c>
      <c r="Z105">
        <v>0</v>
      </c>
      <c r="AA105">
        <v>16</v>
      </c>
      <c r="AB105" t="str">
        <f>IF(Table2[[#This Row],[TotalWorkingYears]]&lt;=5,"Early (0-5)",IF(Table2[[#This Row],[TotalWorkingYears]]&lt;=15,"Mid (6-15)","Senior (16+)"))</f>
        <v>Senior (16+)</v>
      </c>
      <c r="AC105">
        <v>3</v>
      </c>
      <c r="AD105">
        <v>3</v>
      </c>
      <c r="AE105" t="s">
        <v>65</v>
      </c>
      <c r="AF105">
        <v>13</v>
      </c>
      <c r="AG105">
        <v>2</v>
      </c>
      <c r="AH105">
        <v>10</v>
      </c>
    </row>
    <row r="106" spans="1:34" x14ac:dyDescent="0.3">
      <c r="A106" t="s">
        <v>57</v>
      </c>
      <c r="B106">
        <v>0</v>
      </c>
      <c r="C106" t="s">
        <v>50</v>
      </c>
      <c r="D106">
        <v>1040</v>
      </c>
      <c r="E106" t="s">
        <v>40</v>
      </c>
      <c r="F106">
        <v>2</v>
      </c>
      <c r="G106" t="str">
        <f>IF(Table2[[#This Row],[DistanceFromHome]]&lt;=5, "short", IF(Table2[[#This Row],[DistanceFromHome]]&lt;=15, "medium", "long"))</f>
        <v>short</v>
      </c>
      <c r="H106">
        <v>2</v>
      </c>
      <c r="I106" t="s">
        <v>34</v>
      </c>
      <c r="J106">
        <v>139</v>
      </c>
      <c r="K106">
        <v>3</v>
      </c>
      <c r="L106" t="s">
        <v>41</v>
      </c>
      <c r="M106">
        <v>100</v>
      </c>
      <c r="N106">
        <v>2</v>
      </c>
      <c r="O106">
        <v>2</v>
      </c>
      <c r="P106" t="s">
        <v>49</v>
      </c>
      <c r="Q106">
        <v>4</v>
      </c>
      <c r="R106" t="s">
        <v>47</v>
      </c>
      <c r="S106">
        <v>5163</v>
      </c>
      <c r="T106">
        <v>15850</v>
      </c>
      <c r="U106">
        <v>5</v>
      </c>
      <c r="V106" t="s">
        <v>38</v>
      </c>
      <c r="W106">
        <v>14</v>
      </c>
      <c r="X106">
        <v>3</v>
      </c>
      <c r="Y106">
        <v>4</v>
      </c>
      <c r="Z106">
        <v>1</v>
      </c>
      <c r="AA106">
        <v>17</v>
      </c>
      <c r="AB106" t="str">
        <f>IF(Table2[[#This Row],[TotalWorkingYears]]&lt;=5,"Early (0-5)",IF(Table2[[#This Row],[TotalWorkingYears]]&lt;=15,"Mid (6-15)","Senior (16+)"))</f>
        <v>Senior (16+)</v>
      </c>
      <c r="AC106">
        <v>2</v>
      </c>
      <c r="AD106">
        <v>4</v>
      </c>
      <c r="AE106" t="s">
        <v>63</v>
      </c>
      <c r="AF106">
        <v>0</v>
      </c>
      <c r="AG106">
        <v>0</v>
      </c>
      <c r="AH106">
        <v>0</v>
      </c>
    </row>
    <row r="107" spans="1:34" x14ac:dyDescent="0.3">
      <c r="A107" t="s">
        <v>58</v>
      </c>
      <c r="B107">
        <v>0</v>
      </c>
      <c r="C107" t="s">
        <v>50</v>
      </c>
      <c r="D107">
        <v>1420</v>
      </c>
      <c r="E107" t="s">
        <v>56</v>
      </c>
      <c r="F107">
        <v>2</v>
      </c>
      <c r="G107" t="str">
        <f>IF(Table2[[#This Row],[DistanceFromHome]]&lt;=5, "short", IF(Table2[[#This Row],[DistanceFromHome]]&lt;=15, "medium", "long"))</f>
        <v>short</v>
      </c>
      <c r="H107">
        <v>4</v>
      </c>
      <c r="I107" t="s">
        <v>56</v>
      </c>
      <c r="J107">
        <v>140</v>
      </c>
      <c r="K107">
        <v>3</v>
      </c>
      <c r="L107" t="s">
        <v>35</v>
      </c>
      <c r="M107">
        <v>32</v>
      </c>
      <c r="N107">
        <v>2</v>
      </c>
      <c r="O107">
        <v>5</v>
      </c>
      <c r="P107" t="s">
        <v>51</v>
      </c>
      <c r="Q107">
        <v>4</v>
      </c>
      <c r="R107" t="s">
        <v>43</v>
      </c>
      <c r="S107">
        <v>18844</v>
      </c>
      <c r="T107">
        <v>21922</v>
      </c>
      <c r="U107">
        <v>9</v>
      </c>
      <c r="V107" t="s">
        <v>38</v>
      </c>
      <c r="W107">
        <v>21</v>
      </c>
      <c r="X107">
        <v>4</v>
      </c>
      <c r="Y107">
        <v>4</v>
      </c>
      <c r="Z107">
        <v>1</v>
      </c>
      <c r="AA107">
        <v>30</v>
      </c>
      <c r="AB107" t="str">
        <f>IF(Table2[[#This Row],[TotalWorkingYears]]&lt;=5,"Early (0-5)",IF(Table2[[#This Row],[TotalWorkingYears]]&lt;=15,"Mid (6-15)","Senior (16+)"))</f>
        <v>Senior (16+)</v>
      </c>
      <c r="AC107">
        <v>3</v>
      </c>
      <c r="AD107">
        <v>3</v>
      </c>
      <c r="AE107" t="s">
        <v>64</v>
      </c>
      <c r="AF107">
        <v>2</v>
      </c>
      <c r="AG107">
        <v>2</v>
      </c>
      <c r="AH107">
        <v>2</v>
      </c>
    </row>
    <row r="108" spans="1:34" x14ac:dyDescent="0.3">
      <c r="A108" t="s">
        <v>58</v>
      </c>
      <c r="B108">
        <v>0</v>
      </c>
      <c r="C108" t="s">
        <v>39</v>
      </c>
      <c r="D108">
        <v>1115</v>
      </c>
      <c r="E108" t="s">
        <v>40</v>
      </c>
      <c r="F108">
        <v>1</v>
      </c>
      <c r="G108" t="str">
        <f>IF(Table2[[#This Row],[DistanceFromHome]]&lt;=5, "short", IF(Table2[[#This Row],[DistanceFromHome]]&lt;=15, "medium", "long"))</f>
        <v>short</v>
      </c>
      <c r="H108">
        <v>3</v>
      </c>
      <c r="I108" t="s">
        <v>34</v>
      </c>
      <c r="J108">
        <v>141</v>
      </c>
      <c r="K108">
        <v>1</v>
      </c>
      <c r="L108" t="s">
        <v>35</v>
      </c>
      <c r="M108">
        <v>73</v>
      </c>
      <c r="N108">
        <v>3</v>
      </c>
      <c r="O108">
        <v>5</v>
      </c>
      <c r="P108" t="s">
        <v>53</v>
      </c>
      <c r="Q108">
        <v>2</v>
      </c>
      <c r="R108" t="s">
        <v>43</v>
      </c>
      <c r="S108">
        <v>18172</v>
      </c>
      <c r="T108">
        <v>9755</v>
      </c>
      <c r="U108">
        <v>3</v>
      </c>
      <c r="V108" t="s">
        <v>31</v>
      </c>
      <c r="W108">
        <v>19</v>
      </c>
      <c r="X108">
        <v>3</v>
      </c>
      <c r="Y108">
        <v>1</v>
      </c>
      <c r="Z108">
        <v>0</v>
      </c>
      <c r="AA108">
        <v>28</v>
      </c>
      <c r="AB108" t="str">
        <f>IF(Table2[[#This Row],[TotalWorkingYears]]&lt;=5,"Early (0-5)",IF(Table2[[#This Row],[TotalWorkingYears]]&lt;=15,"Mid (6-15)","Senior (16+)"))</f>
        <v>Senior (16+)</v>
      </c>
      <c r="AC108">
        <v>1</v>
      </c>
      <c r="AD108">
        <v>2</v>
      </c>
      <c r="AE108" t="s">
        <v>62</v>
      </c>
      <c r="AF108">
        <v>3</v>
      </c>
      <c r="AG108">
        <v>0</v>
      </c>
      <c r="AH108">
        <v>7</v>
      </c>
    </row>
    <row r="109" spans="1:34" x14ac:dyDescent="0.3">
      <c r="A109" t="s">
        <v>60</v>
      </c>
      <c r="B109">
        <v>1</v>
      </c>
      <c r="C109" t="s">
        <v>32</v>
      </c>
      <c r="D109">
        <v>240</v>
      </c>
      <c r="E109" t="s">
        <v>33</v>
      </c>
      <c r="F109">
        <v>5</v>
      </c>
      <c r="G109" t="str">
        <f>IF(Table2[[#This Row],[DistanceFromHome]]&lt;=5, "short", IF(Table2[[#This Row],[DistanceFromHome]]&lt;=15, "medium", "long"))</f>
        <v>short</v>
      </c>
      <c r="H109">
        <v>3</v>
      </c>
      <c r="I109" t="s">
        <v>54</v>
      </c>
      <c r="J109">
        <v>142</v>
      </c>
      <c r="K109">
        <v>3</v>
      </c>
      <c r="L109" t="s">
        <v>41</v>
      </c>
      <c r="M109">
        <v>46</v>
      </c>
      <c r="N109">
        <v>2</v>
      </c>
      <c r="O109">
        <v>2</v>
      </c>
      <c r="P109" t="s">
        <v>36</v>
      </c>
      <c r="Q109">
        <v>3</v>
      </c>
      <c r="R109" t="s">
        <v>37</v>
      </c>
      <c r="S109">
        <v>5744</v>
      </c>
      <c r="T109">
        <v>26959</v>
      </c>
      <c r="U109">
        <v>1</v>
      </c>
      <c r="V109" t="s">
        <v>31</v>
      </c>
      <c r="W109">
        <v>11</v>
      </c>
      <c r="X109">
        <v>3</v>
      </c>
      <c r="Y109">
        <v>4</v>
      </c>
      <c r="Z109">
        <v>0</v>
      </c>
      <c r="AA109">
        <v>6</v>
      </c>
      <c r="AB109" t="str">
        <f>IF(Table2[[#This Row],[TotalWorkingYears]]&lt;=5,"Early (0-5)",IF(Table2[[#This Row],[TotalWorkingYears]]&lt;=15,"Mid (6-15)","Senior (16+)"))</f>
        <v>Mid (6-15)</v>
      </c>
      <c r="AC109">
        <v>1</v>
      </c>
      <c r="AD109">
        <v>3</v>
      </c>
      <c r="AE109" t="s">
        <v>62</v>
      </c>
      <c r="AF109">
        <v>4</v>
      </c>
      <c r="AG109">
        <v>0</v>
      </c>
      <c r="AH109">
        <v>3</v>
      </c>
    </row>
    <row r="110" spans="1:34" x14ac:dyDescent="0.3">
      <c r="A110" t="s">
        <v>60</v>
      </c>
      <c r="B110">
        <v>0</v>
      </c>
      <c r="C110" t="s">
        <v>32</v>
      </c>
      <c r="D110">
        <v>1280</v>
      </c>
      <c r="E110" t="s">
        <v>40</v>
      </c>
      <c r="F110">
        <v>7</v>
      </c>
      <c r="G110" t="str">
        <f>IF(Table2[[#This Row],[DistanceFromHome]]&lt;=5, "short", IF(Table2[[#This Row],[DistanceFromHome]]&lt;=15, "medium", "long"))</f>
        <v>medium</v>
      </c>
      <c r="H110">
        <v>1</v>
      </c>
      <c r="I110" t="s">
        <v>46</v>
      </c>
      <c r="J110">
        <v>143</v>
      </c>
      <c r="K110">
        <v>4</v>
      </c>
      <c r="L110" t="s">
        <v>41</v>
      </c>
      <c r="M110">
        <v>64</v>
      </c>
      <c r="N110">
        <v>2</v>
      </c>
      <c r="O110">
        <v>1</v>
      </c>
      <c r="P110" t="s">
        <v>42</v>
      </c>
      <c r="Q110">
        <v>4</v>
      </c>
      <c r="R110" t="s">
        <v>43</v>
      </c>
      <c r="S110">
        <v>2889</v>
      </c>
      <c r="T110">
        <v>26897</v>
      </c>
      <c r="U110">
        <v>1</v>
      </c>
      <c r="V110" t="s">
        <v>38</v>
      </c>
      <c r="W110">
        <v>11</v>
      </c>
      <c r="X110">
        <v>3</v>
      </c>
      <c r="Y110">
        <v>3</v>
      </c>
      <c r="Z110">
        <v>2</v>
      </c>
      <c r="AA110">
        <v>2</v>
      </c>
      <c r="AB110" t="str">
        <f>IF(Table2[[#This Row],[TotalWorkingYears]]&lt;=5,"Early (0-5)",IF(Table2[[#This Row],[TotalWorkingYears]]&lt;=15,"Mid (6-15)","Senior (16+)"))</f>
        <v>Early (0-5)</v>
      </c>
      <c r="AC110">
        <v>2</v>
      </c>
      <c r="AD110">
        <v>3</v>
      </c>
      <c r="AE110" t="s">
        <v>63</v>
      </c>
      <c r="AF110">
        <v>2</v>
      </c>
      <c r="AG110">
        <v>2</v>
      </c>
      <c r="AH110">
        <v>1</v>
      </c>
    </row>
    <row r="111" spans="1:34" x14ac:dyDescent="0.3">
      <c r="A111" t="s">
        <v>60</v>
      </c>
      <c r="B111">
        <v>0</v>
      </c>
      <c r="C111" t="s">
        <v>32</v>
      </c>
      <c r="D111">
        <v>534</v>
      </c>
      <c r="E111" t="s">
        <v>40</v>
      </c>
      <c r="F111">
        <v>15</v>
      </c>
      <c r="G111" t="str">
        <f>IF(Table2[[#This Row],[DistanceFromHome]]&lt;=5, "short", IF(Table2[[#This Row],[DistanceFromHome]]&lt;=15, "medium", "long"))</f>
        <v>medium</v>
      </c>
      <c r="H111">
        <v>3</v>
      </c>
      <c r="I111" t="s">
        <v>46</v>
      </c>
      <c r="J111">
        <v>144</v>
      </c>
      <c r="K111">
        <v>2</v>
      </c>
      <c r="L111" t="s">
        <v>35</v>
      </c>
      <c r="M111">
        <v>59</v>
      </c>
      <c r="N111">
        <v>3</v>
      </c>
      <c r="O111">
        <v>1</v>
      </c>
      <c r="P111" t="s">
        <v>45</v>
      </c>
      <c r="Q111">
        <v>4</v>
      </c>
      <c r="R111" t="s">
        <v>37</v>
      </c>
      <c r="S111">
        <v>2871</v>
      </c>
      <c r="T111">
        <v>23785</v>
      </c>
      <c r="U111">
        <v>1</v>
      </c>
      <c r="V111" t="s">
        <v>38</v>
      </c>
      <c r="W111">
        <v>15</v>
      </c>
      <c r="X111">
        <v>3</v>
      </c>
      <c r="Y111">
        <v>3</v>
      </c>
      <c r="Z111">
        <v>0</v>
      </c>
      <c r="AA111">
        <v>1</v>
      </c>
      <c r="AB111" t="str">
        <f>IF(Table2[[#This Row],[TotalWorkingYears]]&lt;=5,"Early (0-5)",IF(Table2[[#This Row],[TotalWorkingYears]]&lt;=15,"Mid (6-15)","Senior (16+)"))</f>
        <v>Early (0-5)</v>
      </c>
      <c r="AC111">
        <v>5</v>
      </c>
      <c r="AD111">
        <v>3</v>
      </c>
      <c r="AE111" t="s">
        <v>63</v>
      </c>
      <c r="AF111">
        <v>0</v>
      </c>
      <c r="AG111">
        <v>0</v>
      </c>
      <c r="AH111">
        <v>0</v>
      </c>
    </row>
    <row r="112" spans="1:34" x14ac:dyDescent="0.3">
      <c r="A112" t="s">
        <v>58</v>
      </c>
      <c r="B112">
        <v>0</v>
      </c>
      <c r="C112" t="s">
        <v>39</v>
      </c>
      <c r="D112">
        <v>1456</v>
      </c>
      <c r="E112" t="s">
        <v>40</v>
      </c>
      <c r="F112">
        <v>1</v>
      </c>
      <c r="G112" t="str">
        <f>IF(Table2[[#This Row],[DistanceFromHome]]&lt;=5, "short", IF(Table2[[#This Row],[DistanceFromHome]]&lt;=15, "medium", "long"))</f>
        <v>short</v>
      </c>
      <c r="H112">
        <v>4</v>
      </c>
      <c r="I112" t="s">
        <v>46</v>
      </c>
      <c r="J112">
        <v>145</v>
      </c>
      <c r="K112">
        <v>1</v>
      </c>
      <c r="L112" t="s">
        <v>35</v>
      </c>
      <c r="M112">
        <v>30</v>
      </c>
      <c r="N112">
        <v>2</v>
      </c>
      <c r="O112">
        <v>3</v>
      </c>
      <c r="P112" t="s">
        <v>49</v>
      </c>
      <c r="Q112">
        <v>1</v>
      </c>
      <c r="R112" t="s">
        <v>37</v>
      </c>
      <c r="S112">
        <v>7484</v>
      </c>
      <c r="T112">
        <v>25796</v>
      </c>
      <c r="U112">
        <v>3</v>
      </c>
      <c r="V112" t="s">
        <v>38</v>
      </c>
      <c r="W112">
        <v>20</v>
      </c>
      <c r="X112">
        <v>4</v>
      </c>
      <c r="Y112">
        <v>3</v>
      </c>
      <c r="Z112">
        <v>0</v>
      </c>
      <c r="AA112">
        <v>23</v>
      </c>
      <c r="AB112" t="str">
        <f>IF(Table2[[#This Row],[TotalWorkingYears]]&lt;=5,"Early (0-5)",IF(Table2[[#This Row],[TotalWorkingYears]]&lt;=15,"Mid (6-15)","Senior (16+)"))</f>
        <v>Senior (16+)</v>
      </c>
      <c r="AC112">
        <v>1</v>
      </c>
      <c r="AD112">
        <v>2</v>
      </c>
      <c r="AE112" t="s">
        <v>65</v>
      </c>
      <c r="AF112">
        <v>12</v>
      </c>
      <c r="AG112">
        <v>12</v>
      </c>
      <c r="AH112">
        <v>8</v>
      </c>
    </row>
    <row r="113" spans="1:34" x14ac:dyDescent="0.3">
      <c r="A113" t="s">
        <v>59</v>
      </c>
      <c r="B113">
        <v>1</v>
      </c>
      <c r="C113" t="s">
        <v>39</v>
      </c>
      <c r="D113">
        <v>658</v>
      </c>
      <c r="E113" t="s">
        <v>40</v>
      </c>
      <c r="F113">
        <v>7</v>
      </c>
      <c r="G113" t="str">
        <f>IF(Table2[[#This Row],[DistanceFromHome]]&lt;=5, "short", IF(Table2[[#This Row],[DistanceFromHome]]&lt;=15, "medium", "long"))</f>
        <v>medium</v>
      </c>
      <c r="H113">
        <v>3</v>
      </c>
      <c r="I113" t="s">
        <v>34</v>
      </c>
      <c r="J113">
        <v>147</v>
      </c>
      <c r="K113">
        <v>1</v>
      </c>
      <c r="L113" t="s">
        <v>41</v>
      </c>
      <c r="M113">
        <v>66</v>
      </c>
      <c r="N113">
        <v>1</v>
      </c>
      <c r="O113">
        <v>2</v>
      </c>
      <c r="P113" t="s">
        <v>45</v>
      </c>
      <c r="Q113">
        <v>3</v>
      </c>
      <c r="R113" t="s">
        <v>37</v>
      </c>
      <c r="S113">
        <v>6074</v>
      </c>
      <c r="T113">
        <v>22887</v>
      </c>
      <c r="U113">
        <v>1</v>
      </c>
      <c r="V113" t="s">
        <v>31</v>
      </c>
      <c r="W113">
        <v>24</v>
      </c>
      <c r="X113">
        <v>4</v>
      </c>
      <c r="Y113">
        <v>4</v>
      </c>
      <c r="Z113">
        <v>0</v>
      </c>
      <c r="AA113">
        <v>9</v>
      </c>
      <c r="AB113" t="str">
        <f>IF(Table2[[#This Row],[TotalWorkingYears]]&lt;=5,"Early (0-5)",IF(Table2[[#This Row],[TotalWorkingYears]]&lt;=15,"Mid (6-15)","Senior (16+)"))</f>
        <v>Mid (6-15)</v>
      </c>
      <c r="AC113">
        <v>3</v>
      </c>
      <c r="AD113">
        <v>3</v>
      </c>
      <c r="AE113" t="s">
        <v>62</v>
      </c>
      <c r="AF113">
        <v>7</v>
      </c>
      <c r="AG113">
        <v>0</v>
      </c>
      <c r="AH113">
        <v>6</v>
      </c>
    </row>
    <row r="114" spans="1:34" x14ac:dyDescent="0.3">
      <c r="A114" t="s">
        <v>58</v>
      </c>
      <c r="B114">
        <v>0</v>
      </c>
      <c r="C114" t="s">
        <v>50</v>
      </c>
      <c r="D114">
        <v>142</v>
      </c>
      <c r="E114" t="s">
        <v>56</v>
      </c>
      <c r="F114">
        <v>26</v>
      </c>
      <c r="G114" t="str">
        <f>IF(Table2[[#This Row],[DistanceFromHome]]&lt;=5, "short", IF(Table2[[#This Row],[DistanceFromHome]]&lt;=15, "medium", "long"))</f>
        <v>long</v>
      </c>
      <c r="H114">
        <v>3</v>
      </c>
      <c r="I114" t="s">
        <v>56</v>
      </c>
      <c r="J114">
        <v>148</v>
      </c>
      <c r="K114">
        <v>4</v>
      </c>
      <c r="L114" t="s">
        <v>35</v>
      </c>
      <c r="M114">
        <v>30</v>
      </c>
      <c r="N114">
        <v>4</v>
      </c>
      <c r="O114">
        <v>4</v>
      </c>
      <c r="P114" t="s">
        <v>51</v>
      </c>
      <c r="Q114">
        <v>4</v>
      </c>
      <c r="R114" t="s">
        <v>37</v>
      </c>
      <c r="S114">
        <v>17328</v>
      </c>
      <c r="T114">
        <v>13871</v>
      </c>
      <c r="U114">
        <v>2</v>
      </c>
      <c r="V114" t="s">
        <v>31</v>
      </c>
      <c r="W114">
        <v>12</v>
      </c>
      <c r="X114">
        <v>3</v>
      </c>
      <c r="Y114">
        <v>3</v>
      </c>
      <c r="Z114">
        <v>0</v>
      </c>
      <c r="AA114">
        <v>23</v>
      </c>
      <c r="AB114" t="str">
        <f>IF(Table2[[#This Row],[TotalWorkingYears]]&lt;=5,"Early (0-5)",IF(Table2[[#This Row],[TotalWorkingYears]]&lt;=15,"Mid (6-15)","Senior (16+)"))</f>
        <v>Senior (16+)</v>
      </c>
      <c r="AC114">
        <v>3</v>
      </c>
      <c r="AD114">
        <v>3</v>
      </c>
      <c r="AE114" t="s">
        <v>64</v>
      </c>
      <c r="AF114">
        <v>3</v>
      </c>
      <c r="AG114">
        <v>4</v>
      </c>
      <c r="AH114">
        <v>4</v>
      </c>
    </row>
    <row r="115" spans="1:34" x14ac:dyDescent="0.3">
      <c r="A115" t="s">
        <v>60</v>
      </c>
      <c r="B115">
        <v>0</v>
      </c>
      <c r="C115" t="s">
        <v>32</v>
      </c>
      <c r="D115">
        <v>1127</v>
      </c>
      <c r="E115" t="s">
        <v>40</v>
      </c>
      <c r="F115">
        <v>18</v>
      </c>
      <c r="G115" t="str">
        <f>IF(Table2[[#This Row],[DistanceFromHome]]&lt;=5, "short", IF(Table2[[#This Row],[DistanceFromHome]]&lt;=15, "medium", "long"))</f>
        <v>long</v>
      </c>
      <c r="H115">
        <v>1</v>
      </c>
      <c r="I115" t="s">
        <v>34</v>
      </c>
      <c r="J115">
        <v>150</v>
      </c>
      <c r="K115">
        <v>2</v>
      </c>
      <c r="L115" t="s">
        <v>41</v>
      </c>
      <c r="M115">
        <v>52</v>
      </c>
      <c r="N115">
        <v>3</v>
      </c>
      <c r="O115">
        <v>1</v>
      </c>
      <c r="P115" t="s">
        <v>45</v>
      </c>
      <c r="Q115">
        <v>3</v>
      </c>
      <c r="R115" t="s">
        <v>43</v>
      </c>
      <c r="S115">
        <v>2774</v>
      </c>
      <c r="T115">
        <v>13257</v>
      </c>
      <c r="U115">
        <v>0</v>
      </c>
      <c r="V115" t="s">
        <v>38</v>
      </c>
      <c r="W115">
        <v>12</v>
      </c>
      <c r="X115">
        <v>3</v>
      </c>
      <c r="Y115">
        <v>3</v>
      </c>
      <c r="Z115">
        <v>1</v>
      </c>
      <c r="AA115">
        <v>6</v>
      </c>
      <c r="AB115" t="str">
        <f>IF(Table2[[#This Row],[TotalWorkingYears]]&lt;=5,"Early (0-5)",IF(Table2[[#This Row],[TotalWorkingYears]]&lt;=15,"Mid (6-15)","Senior (16+)"))</f>
        <v>Mid (6-15)</v>
      </c>
      <c r="AC115">
        <v>2</v>
      </c>
      <c r="AD115">
        <v>3</v>
      </c>
      <c r="AE115" t="s">
        <v>64</v>
      </c>
      <c r="AF115">
        <v>3</v>
      </c>
      <c r="AG115">
        <v>1</v>
      </c>
      <c r="AH115">
        <v>2</v>
      </c>
    </row>
    <row r="116" spans="1:34" x14ac:dyDescent="0.3">
      <c r="A116" t="s">
        <v>59</v>
      </c>
      <c r="B116">
        <v>0</v>
      </c>
      <c r="C116" t="s">
        <v>32</v>
      </c>
      <c r="D116">
        <v>1031</v>
      </c>
      <c r="E116" t="s">
        <v>40</v>
      </c>
      <c r="F116">
        <v>6</v>
      </c>
      <c r="G116" t="str">
        <f>IF(Table2[[#This Row],[DistanceFromHome]]&lt;=5, "short", IF(Table2[[#This Row],[DistanceFromHome]]&lt;=15, "medium", "long"))</f>
        <v>medium</v>
      </c>
      <c r="H116">
        <v>4</v>
      </c>
      <c r="I116" t="s">
        <v>34</v>
      </c>
      <c r="J116">
        <v>151</v>
      </c>
      <c r="K116">
        <v>3</v>
      </c>
      <c r="L116" t="s">
        <v>35</v>
      </c>
      <c r="M116">
        <v>45</v>
      </c>
      <c r="N116">
        <v>2</v>
      </c>
      <c r="O116">
        <v>2</v>
      </c>
      <c r="P116" t="s">
        <v>42</v>
      </c>
      <c r="Q116">
        <v>2</v>
      </c>
      <c r="R116" t="s">
        <v>47</v>
      </c>
      <c r="S116">
        <v>4505</v>
      </c>
      <c r="T116">
        <v>15000</v>
      </c>
      <c r="U116">
        <v>6</v>
      </c>
      <c r="V116" t="s">
        <v>38</v>
      </c>
      <c r="W116">
        <v>15</v>
      </c>
      <c r="X116">
        <v>3</v>
      </c>
      <c r="Y116">
        <v>3</v>
      </c>
      <c r="Z116">
        <v>1</v>
      </c>
      <c r="AA116">
        <v>12</v>
      </c>
      <c r="AB116" t="str">
        <f>IF(Table2[[#This Row],[TotalWorkingYears]]&lt;=5,"Early (0-5)",IF(Table2[[#This Row],[TotalWorkingYears]]&lt;=15,"Mid (6-15)","Senior (16+)"))</f>
        <v>Mid (6-15)</v>
      </c>
      <c r="AC116">
        <v>3</v>
      </c>
      <c r="AD116">
        <v>3</v>
      </c>
      <c r="AE116" t="s">
        <v>63</v>
      </c>
      <c r="AF116">
        <v>0</v>
      </c>
      <c r="AG116">
        <v>0</v>
      </c>
      <c r="AH116">
        <v>0</v>
      </c>
    </row>
    <row r="117" spans="1:34" x14ac:dyDescent="0.3">
      <c r="A117" t="s">
        <v>57</v>
      </c>
      <c r="B117">
        <v>0</v>
      </c>
      <c r="C117" t="s">
        <v>32</v>
      </c>
      <c r="D117">
        <v>1189</v>
      </c>
      <c r="E117" t="s">
        <v>33</v>
      </c>
      <c r="F117">
        <v>3</v>
      </c>
      <c r="G117" t="str">
        <f>IF(Table2[[#This Row],[DistanceFromHome]]&lt;=5, "short", IF(Table2[[#This Row],[DistanceFromHome]]&lt;=15, "medium", "long"))</f>
        <v>short</v>
      </c>
      <c r="H117">
        <v>3</v>
      </c>
      <c r="I117" t="s">
        <v>34</v>
      </c>
      <c r="J117">
        <v>152</v>
      </c>
      <c r="K117">
        <v>3</v>
      </c>
      <c r="L117" t="s">
        <v>41</v>
      </c>
      <c r="M117">
        <v>87</v>
      </c>
      <c r="N117">
        <v>3</v>
      </c>
      <c r="O117">
        <v>3</v>
      </c>
      <c r="P117" t="s">
        <v>36</v>
      </c>
      <c r="Q117">
        <v>4</v>
      </c>
      <c r="R117" t="s">
        <v>37</v>
      </c>
      <c r="S117">
        <v>7428</v>
      </c>
      <c r="T117">
        <v>14506</v>
      </c>
      <c r="U117">
        <v>2</v>
      </c>
      <c r="V117" t="s">
        <v>38</v>
      </c>
      <c r="W117">
        <v>12</v>
      </c>
      <c r="X117">
        <v>3</v>
      </c>
      <c r="Y117">
        <v>1</v>
      </c>
      <c r="Z117">
        <v>0</v>
      </c>
      <c r="AA117">
        <v>12</v>
      </c>
      <c r="AB117" t="str">
        <f>IF(Table2[[#This Row],[TotalWorkingYears]]&lt;=5,"Early (0-5)",IF(Table2[[#This Row],[TotalWorkingYears]]&lt;=15,"Mid (6-15)","Senior (16+)"))</f>
        <v>Mid (6-15)</v>
      </c>
      <c r="AC117">
        <v>3</v>
      </c>
      <c r="AD117">
        <v>3</v>
      </c>
      <c r="AE117" t="s">
        <v>64</v>
      </c>
      <c r="AF117">
        <v>3</v>
      </c>
      <c r="AG117">
        <v>1</v>
      </c>
      <c r="AH117">
        <v>3</v>
      </c>
    </row>
    <row r="118" spans="1:34" x14ac:dyDescent="0.3">
      <c r="A118" t="s">
        <v>59</v>
      </c>
      <c r="B118">
        <v>0</v>
      </c>
      <c r="C118" t="s">
        <v>32</v>
      </c>
      <c r="D118">
        <v>1354</v>
      </c>
      <c r="E118" t="s">
        <v>40</v>
      </c>
      <c r="F118">
        <v>5</v>
      </c>
      <c r="G118" t="str">
        <f>IF(Table2[[#This Row],[DistanceFromHome]]&lt;=5, "short", IF(Table2[[#This Row],[DistanceFromHome]]&lt;=15, "medium", "long"))</f>
        <v>short</v>
      </c>
      <c r="H118">
        <v>3</v>
      </c>
      <c r="I118" t="s">
        <v>46</v>
      </c>
      <c r="J118">
        <v>153</v>
      </c>
      <c r="K118">
        <v>3</v>
      </c>
      <c r="L118" t="s">
        <v>35</v>
      </c>
      <c r="M118">
        <v>45</v>
      </c>
      <c r="N118">
        <v>2</v>
      </c>
      <c r="O118">
        <v>3</v>
      </c>
      <c r="P118" t="s">
        <v>51</v>
      </c>
      <c r="Q118">
        <v>1</v>
      </c>
      <c r="R118" t="s">
        <v>37</v>
      </c>
      <c r="S118">
        <v>11631</v>
      </c>
      <c r="T118">
        <v>5615</v>
      </c>
      <c r="U118">
        <v>2</v>
      </c>
      <c r="V118" t="s">
        <v>38</v>
      </c>
      <c r="W118">
        <v>12</v>
      </c>
      <c r="X118">
        <v>3</v>
      </c>
      <c r="Y118">
        <v>4</v>
      </c>
      <c r="Z118">
        <v>0</v>
      </c>
      <c r="AA118">
        <v>14</v>
      </c>
      <c r="AB118" t="str">
        <f>IF(Table2[[#This Row],[TotalWorkingYears]]&lt;=5,"Early (0-5)",IF(Table2[[#This Row],[TotalWorkingYears]]&lt;=15,"Mid (6-15)","Senior (16+)"))</f>
        <v>Mid (6-15)</v>
      </c>
      <c r="AC118">
        <v>6</v>
      </c>
      <c r="AD118">
        <v>3</v>
      </c>
      <c r="AE118" t="s">
        <v>65</v>
      </c>
      <c r="AF118">
        <v>10</v>
      </c>
      <c r="AG118">
        <v>5</v>
      </c>
      <c r="AH118">
        <v>8</v>
      </c>
    </row>
    <row r="119" spans="1:34" x14ac:dyDescent="0.3">
      <c r="A119" t="s">
        <v>57</v>
      </c>
      <c r="B119">
        <v>0</v>
      </c>
      <c r="C119" t="s">
        <v>39</v>
      </c>
      <c r="D119">
        <v>1467</v>
      </c>
      <c r="E119" t="s">
        <v>33</v>
      </c>
      <c r="F119">
        <v>11</v>
      </c>
      <c r="G119" t="str">
        <f>IF(Table2[[#This Row],[DistanceFromHome]]&lt;=5, "short", IF(Table2[[#This Row],[DistanceFromHome]]&lt;=15, "medium", "long"))</f>
        <v>medium</v>
      </c>
      <c r="H119">
        <v>2</v>
      </c>
      <c r="I119" t="s">
        <v>55</v>
      </c>
      <c r="J119">
        <v>154</v>
      </c>
      <c r="K119">
        <v>2</v>
      </c>
      <c r="L119" t="s">
        <v>35</v>
      </c>
      <c r="M119">
        <v>92</v>
      </c>
      <c r="N119">
        <v>3</v>
      </c>
      <c r="O119">
        <v>3</v>
      </c>
      <c r="P119" t="s">
        <v>36</v>
      </c>
      <c r="Q119">
        <v>4</v>
      </c>
      <c r="R119" t="s">
        <v>43</v>
      </c>
      <c r="S119">
        <v>9738</v>
      </c>
      <c r="T119">
        <v>22952</v>
      </c>
      <c r="U119">
        <v>0</v>
      </c>
      <c r="V119" t="s">
        <v>38</v>
      </c>
      <c r="W119">
        <v>14</v>
      </c>
      <c r="X119">
        <v>3</v>
      </c>
      <c r="Y119">
        <v>3</v>
      </c>
      <c r="Z119">
        <v>1</v>
      </c>
      <c r="AA119">
        <v>10</v>
      </c>
      <c r="AB119" t="str">
        <f>IF(Table2[[#This Row],[TotalWorkingYears]]&lt;=5,"Early (0-5)",IF(Table2[[#This Row],[TotalWorkingYears]]&lt;=15,"Mid (6-15)","Senior (16+)"))</f>
        <v>Mid (6-15)</v>
      </c>
      <c r="AC119">
        <v>6</v>
      </c>
      <c r="AD119">
        <v>3</v>
      </c>
      <c r="AE119" t="s">
        <v>62</v>
      </c>
      <c r="AF119">
        <v>7</v>
      </c>
      <c r="AG119">
        <v>2</v>
      </c>
      <c r="AH119">
        <v>8</v>
      </c>
    </row>
    <row r="120" spans="1:34" x14ac:dyDescent="0.3">
      <c r="A120" t="s">
        <v>57</v>
      </c>
      <c r="B120">
        <v>0</v>
      </c>
      <c r="C120" t="s">
        <v>32</v>
      </c>
      <c r="D120">
        <v>922</v>
      </c>
      <c r="E120" t="s">
        <v>40</v>
      </c>
      <c r="F120">
        <v>3</v>
      </c>
      <c r="G120" t="str">
        <f>IF(Table2[[#This Row],[DistanceFromHome]]&lt;=5, "short", IF(Table2[[#This Row],[DistanceFromHome]]&lt;=15, "medium", "long"))</f>
        <v>short</v>
      </c>
      <c r="H120">
        <v>2</v>
      </c>
      <c r="I120" t="s">
        <v>34</v>
      </c>
      <c r="J120">
        <v>155</v>
      </c>
      <c r="K120">
        <v>1</v>
      </c>
      <c r="L120" t="s">
        <v>35</v>
      </c>
      <c r="M120">
        <v>39</v>
      </c>
      <c r="N120">
        <v>3</v>
      </c>
      <c r="O120">
        <v>1</v>
      </c>
      <c r="P120" t="s">
        <v>45</v>
      </c>
      <c r="Q120">
        <v>4</v>
      </c>
      <c r="R120" t="s">
        <v>47</v>
      </c>
      <c r="S120">
        <v>2835</v>
      </c>
      <c r="T120">
        <v>2561</v>
      </c>
      <c r="U120">
        <v>5</v>
      </c>
      <c r="V120" t="s">
        <v>38</v>
      </c>
      <c r="W120">
        <v>22</v>
      </c>
      <c r="X120">
        <v>4</v>
      </c>
      <c r="Y120">
        <v>1</v>
      </c>
      <c r="Z120">
        <v>1</v>
      </c>
      <c r="AA120">
        <v>7</v>
      </c>
      <c r="AB120" t="str">
        <f>IF(Table2[[#This Row],[TotalWorkingYears]]&lt;=5,"Early (0-5)",IF(Table2[[#This Row],[TotalWorkingYears]]&lt;=15,"Mid (6-15)","Senior (16+)"))</f>
        <v>Mid (6-15)</v>
      </c>
      <c r="AC120">
        <v>2</v>
      </c>
      <c r="AD120">
        <v>3</v>
      </c>
      <c r="AE120" t="s">
        <v>63</v>
      </c>
      <c r="AF120">
        <v>0</v>
      </c>
      <c r="AG120">
        <v>0</v>
      </c>
      <c r="AH120">
        <v>0</v>
      </c>
    </row>
    <row r="121" spans="1:34" x14ac:dyDescent="0.3">
      <c r="A121" t="s">
        <v>57</v>
      </c>
      <c r="B121">
        <v>0</v>
      </c>
      <c r="C121" t="s">
        <v>39</v>
      </c>
      <c r="D121">
        <v>394</v>
      </c>
      <c r="E121" t="s">
        <v>33</v>
      </c>
      <c r="F121">
        <v>26</v>
      </c>
      <c r="G121" t="str">
        <f>IF(Table2[[#This Row],[DistanceFromHome]]&lt;=5, "short", IF(Table2[[#This Row],[DistanceFromHome]]&lt;=15, "medium", "long"))</f>
        <v>long</v>
      </c>
      <c r="H121">
        <v>2</v>
      </c>
      <c r="I121" t="s">
        <v>34</v>
      </c>
      <c r="J121">
        <v>158</v>
      </c>
      <c r="K121">
        <v>3</v>
      </c>
      <c r="L121" t="s">
        <v>41</v>
      </c>
      <c r="M121">
        <v>92</v>
      </c>
      <c r="N121">
        <v>3</v>
      </c>
      <c r="O121">
        <v>4</v>
      </c>
      <c r="P121" t="s">
        <v>51</v>
      </c>
      <c r="Q121">
        <v>4</v>
      </c>
      <c r="R121" t="s">
        <v>43</v>
      </c>
      <c r="S121">
        <v>16959</v>
      </c>
      <c r="T121">
        <v>19494</v>
      </c>
      <c r="U121">
        <v>1</v>
      </c>
      <c r="V121" t="s">
        <v>31</v>
      </c>
      <c r="W121">
        <v>12</v>
      </c>
      <c r="X121">
        <v>3</v>
      </c>
      <c r="Y121">
        <v>4</v>
      </c>
      <c r="Z121">
        <v>2</v>
      </c>
      <c r="AA121">
        <v>25</v>
      </c>
      <c r="AB121" t="str">
        <f>IF(Table2[[#This Row],[TotalWorkingYears]]&lt;=5,"Early (0-5)",IF(Table2[[#This Row],[TotalWorkingYears]]&lt;=15,"Mid (6-15)","Senior (16+)"))</f>
        <v>Senior (16+)</v>
      </c>
      <c r="AC121">
        <v>3</v>
      </c>
      <c r="AD121">
        <v>4</v>
      </c>
      <c r="AE121" t="s">
        <v>65</v>
      </c>
      <c r="AF121">
        <v>12</v>
      </c>
      <c r="AG121">
        <v>4</v>
      </c>
      <c r="AH121">
        <v>12</v>
      </c>
    </row>
    <row r="122" spans="1:34" x14ac:dyDescent="0.3">
      <c r="A122" t="s">
        <v>59</v>
      </c>
      <c r="B122">
        <v>0</v>
      </c>
      <c r="C122" t="s">
        <v>39</v>
      </c>
      <c r="D122">
        <v>1312</v>
      </c>
      <c r="E122" t="s">
        <v>40</v>
      </c>
      <c r="F122">
        <v>23</v>
      </c>
      <c r="G122" t="str">
        <f>IF(Table2[[#This Row],[DistanceFromHome]]&lt;=5, "short", IF(Table2[[#This Row],[DistanceFromHome]]&lt;=15, "medium", "long"))</f>
        <v>long</v>
      </c>
      <c r="H122">
        <v>3</v>
      </c>
      <c r="I122" t="s">
        <v>34</v>
      </c>
      <c r="J122">
        <v>159</v>
      </c>
      <c r="K122">
        <v>1</v>
      </c>
      <c r="L122" t="s">
        <v>41</v>
      </c>
      <c r="M122">
        <v>96</v>
      </c>
      <c r="N122">
        <v>1</v>
      </c>
      <c r="O122">
        <v>1</v>
      </c>
      <c r="P122" t="s">
        <v>42</v>
      </c>
      <c r="Q122">
        <v>3</v>
      </c>
      <c r="R122" t="s">
        <v>47</v>
      </c>
      <c r="S122">
        <v>2613</v>
      </c>
      <c r="T122">
        <v>22310</v>
      </c>
      <c r="U122">
        <v>1</v>
      </c>
      <c r="V122" t="s">
        <v>38</v>
      </c>
      <c r="W122">
        <v>25</v>
      </c>
      <c r="X122">
        <v>4</v>
      </c>
      <c r="Y122">
        <v>3</v>
      </c>
      <c r="Z122">
        <v>3</v>
      </c>
      <c r="AA122">
        <v>10</v>
      </c>
      <c r="AB122" t="str">
        <f>IF(Table2[[#This Row],[TotalWorkingYears]]&lt;=5,"Early (0-5)",IF(Table2[[#This Row],[TotalWorkingYears]]&lt;=15,"Mid (6-15)","Senior (16+)"))</f>
        <v>Mid (6-15)</v>
      </c>
      <c r="AC122">
        <v>2</v>
      </c>
      <c r="AD122">
        <v>2</v>
      </c>
      <c r="AE122" t="s">
        <v>62</v>
      </c>
      <c r="AF122">
        <v>7</v>
      </c>
      <c r="AG122">
        <v>0</v>
      </c>
      <c r="AH122">
        <v>9</v>
      </c>
    </row>
    <row r="123" spans="1:34" x14ac:dyDescent="0.3">
      <c r="A123" t="s">
        <v>59</v>
      </c>
      <c r="B123">
        <v>0</v>
      </c>
      <c r="C123" t="s">
        <v>50</v>
      </c>
      <c r="D123">
        <v>750</v>
      </c>
      <c r="E123" t="s">
        <v>33</v>
      </c>
      <c r="F123">
        <v>22</v>
      </c>
      <c r="G123" t="str">
        <f>IF(Table2[[#This Row],[DistanceFromHome]]&lt;=5, "short", IF(Table2[[#This Row],[DistanceFromHome]]&lt;=15, "medium", "long"))</f>
        <v>long</v>
      </c>
      <c r="H123">
        <v>2</v>
      </c>
      <c r="I123" t="s">
        <v>54</v>
      </c>
      <c r="J123">
        <v>160</v>
      </c>
      <c r="K123">
        <v>3</v>
      </c>
      <c r="L123" t="s">
        <v>41</v>
      </c>
      <c r="M123">
        <v>95</v>
      </c>
      <c r="N123">
        <v>3</v>
      </c>
      <c r="O123">
        <v>2</v>
      </c>
      <c r="P123" t="s">
        <v>36</v>
      </c>
      <c r="Q123">
        <v>2</v>
      </c>
      <c r="R123" t="s">
        <v>43</v>
      </c>
      <c r="S123">
        <v>6146</v>
      </c>
      <c r="T123">
        <v>15480</v>
      </c>
      <c r="U123">
        <v>0</v>
      </c>
      <c r="V123" t="s">
        <v>38</v>
      </c>
      <c r="W123">
        <v>13</v>
      </c>
      <c r="X123">
        <v>3</v>
      </c>
      <c r="Y123">
        <v>1</v>
      </c>
      <c r="Z123">
        <v>1</v>
      </c>
      <c r="AA123">
        <v>8</v>
      </c>
      <c r="AB123" t="str">
        <f>IF(Table2[[#This Row],[TotalWorkingYears]]&lt;=5,"Early (0-5)",IF(Table2[[#This Row],[TotalWorkingYears]]&lt;=15,"Mid (6-15)","Senior (16+)"))</f>
        <v>Mid (6-15)</v>
      </c>
      <c r="AC123">
        <v>2</v>
      </c>
      <c r="AD123">
        <v>4</v>
      </c>
      <c r="AE123" t="s">
        <v>62</v>
      </c>
      <c r="AF123">
        <v>7</v>
      </c>
      <c r="AG123">
        <v>0</v>
      </c>
      <c r="AH123">
        <v>7</v>
      </c>
    </row>
    <row r="124" spans="1:34" x14ac:dyDescent="0.3">
      <c r="A124" t="s">
        <v>58</v>
      </c>
      <c r="B124">
        <v>1</v>
      </c>
      <c r="C124" t="s">
        <v>32</v>
      </c>
      <c r="D124">
        <v>441</v>
      </c>
      <c r="E124" t="s">
        <v>40</v>
      </c>
      <c r="F124">
        <v>14</v>
      </c>
      <c r="G124" t="str">
        <f>IF(Table2[[#This Row],[DistanceFromHome]]&lt;=5, "short", IF(Table2[[#This Row],[DistanceFromHome]]&lt;=15, "medium", "long"))</f>
        <v>medium</v>
      </c>
      <c r="H124">
        <v>4</v>
      </c>
      <c r="I124" t="s">
        <v>34</v>
      </c>
      <c r="J124">
        <v>161</v>
      </c>
      <c r="K124">
        <v>2</v>
      </c>
      <c r="L124" t="s">
        <v>35</v>
      </c>
      <c r="M124">
        <v>72</v>
      </c>
      <c r="N124">
        <v>3</v>
      </c>
      <c r="O124">
        <v>1</v>
      </c>
      <c r="P124" t="s">
        <v>42</v>
      </c>
      <c r="Q124">
        <v>2</v>
      </c>
      <c r="R124" t="s">
        <v>43</v>
      </c>
      <c r="S124">
        <v>4963</v>
      </c>
      <c r="T124">
        <v>4510</v>
      </c>
      <c r="U124">
        <v>9</v>
      </c>
      <c r="V124" t="s">
        <v>31</v>
      </c>
      <c r="W124">
        <v>18</v>
      </c>
      <c r="X124">
        <v>3</v>
      </c>
      <c r="Y124">
        <v>1</v>
      </c>
      <c r="Z124">
        <v>3</v>
      </c>
      <c r="AA124">
        <v>7</v>
      </c>
      <c r="AB124" t="str">
        <f>IF(Table2[[#This Row],[TotalWorkingYears]]&lt;=5,"Early (0-5)",IF(Table2[[#This Row],[TotalWorkingYears]]&lt;=15,"Mid (6-15)","Senior (16+)"))</f>
        <v>Mid (6-15)</v>
      </c>
      <c r="AC124">
        <v>2</v>
      </c>
      <c r="AD124">
        <v>3</v>
      </c>
      <c r="AE124" t="s">
        <v>64</v>
      </c>
      <c r="AF124">
        <v>4</v>
      </c>
      <c r="AG124">
        <v>4</v>
      </c>
      <c r="AH124">
        <v>3</v>
      </c>
    </row>
    <row r="125" spans="1:34" x14ac:dyDescent="0.3">
      <c r="A125" t="s">
        <v>58</v>
      </c>
      <c r="B125">
        <v>0</v>
      </c>
      <c r="C125" t="s">
        <v>32</v>
      </c>
      <c r="D125">
        <v>684</v>
      </c>
      <c r="E125" t="s">
        <v>40</v>
      </c>
      <c r="F125">
        <v>6</v>
      </c>
      <c r="G125" t="str">
        <f>IF(Table2[[#This Row],[DistanceFromHome]]&lt;=5, "short", IF(Table2[[#This Row],[DistanceFromHome]]&lt;=15, "medium", "long"))</f>
        <v>medium</v>
      </c>
      <c r="H125">
        <v>3</v>
      </c>
      <c r="I125" t="s">
        <v>34</v>
      </c>
      <c r="J125">
        <v>162</v>
      </c>
      <c r="K125">
        <v>1</v>
      </c>
      <c r="L125" t="s">
        <v>41</v>
      </c>
      <c r="M125">
        <v>51</v>
      </c>
      <c r="N125">
        <v>3</v>
      </c>
      <c r="O125">
        <v>5</v>
      </c>
      <c r="P125" t="s">
        <v>53</v>
      </c>
      <c r="Q125">
        <v>3</v>
      </c>
      <c r="R125" t="s">
        <v>37</v>
      </c>
      <c r="S125">
        <v>19537</v>
      </c>
      <c r="T125">
        <v>6462</v>
      </c>
      <c r="U125">
        <v>7</v>
      </c>
      <c r="V125" t="s">
        <v>38</v>
      </c>
      <c r="W125">
        <v>13</v>
      </c>
      <c r="X125">
        <v>3</v>
      </c>
      <c r="Y125">
        <v>3</v>
      </c>
      <c r="Z125">
        <v>0</v>
      </c>
      <c r="AA125">
        <v>23</v>
      </c>
      <c r="AB125" t="str">
        <f>IF(Table2[[#This Row],[TotalWorkingYears]]&lt;=5,"Early (0-5)",IF(Table2[[#This Row],[TotalWorkingYears]]&lt;=15,"Mid (6-15)","Senior (16+)"))</f>
        <v>Senior (16+)</v>
      </c>
      <c r="AC125">
        <v>5</v>
      </c>
      <c r="AD125">
        <v>3</v>
      </c>
      <c r="AE125" t="s">
        <v>65</v>
      </c>
      <c r="AF125">
        <v>18</v>
      </c>
      <c r="AG125">
        <v>15</v>
      </c>
      <c r="AH125">
        <v>15</v>
      </c>
    </row>
    <row r="126" spans="1:34" x14ac:dyDescent="0.3">
      <c r="A126" t="s">
        <v>59</v>
      </c>
      <c r="B126">
        <v>1</v>
      </c>
      <c r="C126" t="s">
        <v>32</v>
      </c>
      <c r="D126">
        <v>249</v>
      </c>
      <c r="E126" t="s">
        <v>33</v>
      </c>
      <c r="F126">
        <v>6</v>
      </c>
      <c r="G126" t="str">
        <f>IF(Table2[[#This Row],[DistanceFromHome]]&lt;=5, "short", IF(Table2[[#This Row],[DistanceFromHome]]&lt;=15, "medium", "long"))</f>
        <v>medium</v>
      </c>
      <c r="H126">
        <v>4</v>
      </c>
      <c r="I126" t="s">
        <v>34</v>
      </c>
      <c r="J126">
        <v>163</v>
      </c>
      <c r="K126">
        <v>2</v>
      </c>
      <c r="L126" t="s">
        <v>41</v>
      </c>
      <c r="M126">
        <v>76</v>
      </c>
      <c r="N126">
        <v>1</v>
      </c>
      <c r="O126">
        <v>2</v>
      </c>
      <c r="P126" t="s">
        <v>36</v>
      </c>
      <c r="Q126">
        <v>3</v>
      </c>
      <c r="R126" t="s">
        <v>43</v>
      </c>
      <c r="S126">
        <v>6172</v>
      </c>
      <c r="T126">
        <v>20739</v>
      </c>
      <c r="U126">
        <v>4</v>
      </c>
      <c r="V126" t="s">
        <v>31</v>
      </c>
      <c r="W126">
        <v>18</v>
      </c>
      <c r="X126">
        <v>3</v>
      </c>
      <c r="Y126">
        <v>2</v>
      </c>
      <c r="Z126">
        <v>0</v>
      </c>
      <c r="AA126">
        <v>12</v>
      </c>
      <c r="AB126" t="str">
        <f>IF(Table2[[#This Row],[TotalWorkingYears]]&lt;=5,"Early (0-5)",IF(Table2[[#This Row],[TotalWorkingYears]]&lt;=15,"Mid (6-15)","Senior (16+)"))</f>
        <v>Mid (6-15)</v>
      </c>
      <c r="AC126">
        <v>3</v>
      </c>
      <c r="AD126">
        <v>2</v>
      </c>
      <c r="AE126" t="s">
        <v>62</v>
      </c>
      <c r="AF126">
        <v>7</v>
      </c>
      <c r="AG126">
        <v>7</v>
      </c>
      <c r="AH126">
        <v>7</v>
      </c>
    </row>
    <row r="127" spans="1:34" x14ac:dyDescent="0.3">
      <c r="A127" t="s">
        <v>59</v>
      </c>
      <c r="B127">
        <v>0</v>
      </c>
      <c r="C127" t="s">
        <v>32</v>
      </c>
      <c r="D127">
        <v>841</v>
      </c>
      <c r="E127" t="s">
        <v>40</v>
      </c>
      <c r="F127">
        <v>6</v>
      </c>
      <c r="G127" t="str">
        <f>IF(Table2[[#This Row],[DistanceFromHome]]&lt;=5, "short", IF(Table2[[#This Row],[DistanceFromHome]]&lt;=15, "medium", "long"))</f>
        <v>medium</v>
      </c>
      <c r="H127">
        <v>3</v>
      </c>
      <c r="I127" t="s">
        <v>44</v>
      </c>
      <c r="J127">
        <v>164</v>
      </c>
      <c r="K127">
        <v>3</v>
      </c>
      <c r="L127" t="s">
        <v>35</v>
      </c>
      <c r="M127">
        <v>46</v>
      </c>
      <c r="N127">
        <v>2</v>
      </c>
      <c r="O127">
        <v>1</v>
      </c>
      <c r="P127" t="s">
        <v>42</v>
      </c>
      <c r="Q127">
        <v>2</v>
      </c>
      <c r="R127" t="s">
        <v>43</v>
      </c>
      <c r="S127">
        <v>2368</v>
      </c>
      <c r="T127">
        <v>23300</v>
      </c>
      <c r="U127">
        <v>1</v>
      </c>
      <c r="V127" t="s">
        <v>38</v>
      </c>
      <c r="W127">
        <v>19</v>
      </c>
      <c r="X127">
        <v>3</v>
      </c>
      <c r="Y127">
        <v>3</v>
      </c>
      <c r="Z127">
        <v>0</v>
      </c>
      <c r="AA127">
        <v>5</v>
      </c>
      <c r="AB127" t="str">
        <f>IF(Table2[[#This Row],[TotalWorkingYears]]&lt;=5,"Early (0-5)",IF(Table2[[#This Row],[TotalWorkingYears]]&lt;=15,"Mid (6-15)","Senior (16+)"))</f>
        <v>Early (0-5)</v>
      </c>
      <c r="AC127">
        <v>3</v>
      </c>
      <c r="AD127">
        <v>2</v>
      </c>
      <c r="AE127" t="s">
        <v>64</v>
      </c>
      <c r="AF127">
        <v>4</v>
      </c>
      <c r="AG127">
        <v>4</v>
      </c>
      <c r="AH127">
        <v>3</v>
      </c>
    </row>
    <row r="128" spans="1:34" x14ac:dyDescent="0.3">
      <c r="A128" t="s">
        <v>58</v>
      </c>
      <c r="B128">
        <v>1</v>
      </c>
      <c r="C128" t="s">
        <v>32</v>
      </c>
      <c r="D128">
        <v>147</v>
      </c>
      <c r="E128" t="s">
        <v>40</v>
      </c>
      <c r="F128">
        <v>23</v>
      </c>
      <c r="G128" t="str">
        <f>IF(Table2[[#This Row],[DistanceFromHome]]&lt;=5, "short", IF(Table2[[#This Row],[DistanceFromHome]]&lt;=15, "medium", "long"))</f>
        <v>long</v>
      </c>
      <c r="H128">
        <v>4</v>
      </c>
      <c r="I128" t="s">
        <v>46</v>
      </c>
      <c r="J128">
        <v>165</v>
      </c>
      <c r="K128">
        <v>4</v>
      </c>
      <c r="L128" t="s">
        <v>35</v>
      </c>
      <c r="M128">
        <v>94</v>
      </c>
      <c r="N128">
        <v>3</v>
      </c>
      <c r="O128">
        <v>3</v>
      </c>
      <c r="P128" t="s">
        <v>49</v>
      </c>
      <c r="Q128">
        <v>4</v>
      </c>
      <c r="R128" t="s">
        <v>43</v>
      </c>
      <c r="S128">
        <v>10312</v>
      </c>
      <c r="T128">
        <v>3465</v>
      </c>
      <c r="U128">
        <v>1</v>
      </c>
      <c r="V128" t="s">
        <v>38</v>
      </c>
      <c r="W128">
        <v>12</v>
      </c>
      <c r="X128">
        <v>3</v>
      </c>
      <c r="Y128">
        <v>4</v>
      </c>
      <c r="Z128">
        <v>1</v>
      </c>
      <c r="AA128">
        <v>40</v>
      </c>
      <c r="AB128" t="str">
        <f>IF(Table2[[#This Row],[TotalWorkingYears]]&lt;=5,"Early (0-5)",IF(Table2[[#This Row],[TotalWorkingYears]]&lt;=15,"Mid (6-15)","Senior (16+)"))</f>
        <v>Senior (16+)</v>
      </c>
      <c r="AC128">
        <v>3</v>
      </c>
      <c r="AD128">
        <v>2</v>
      </c>
      <c r="AE128" t="s">
        <v>65</v>
      </c>
      <c r="AF128">
        <v>10</v>
      </c>
      <c r="AG128">
        <v>15</v>
      </c>
      <c r="AH128">
        <v>6</v>
      </c>
    </row>
    <row r="129" spans="1:34" x14ac:dyDescent="0.3">
      <c r="A129" t="s">
        <v>60</v>
      </c>
      <c r="B129">
        <v>1</v>
      </c>
      <c r="C129" t="s">
        <v>32</v>
      </c>
      <c r="D129">
        <v>528</v>
      </c>
      <c r="E129" t="s">
        <v>33</v>
      </c>
      <c r="F129">
        <v>22</v>
      </c>
      <c r="G129" t="str">
        <f>IF(Table2[[#This Row],[DistanceFromHome]]&lt;=5, "short", IF(Table2[[#This Row],[DistanceFromHome]]&lt;=15, "medium", "long"))</f>
        <v>long</v>
      </c>
      <c r="H129">
        <v>1</v>
      </c>
      <c r="I129" t="s">
        <v>54</v>
      </c>
      <c r="J129">
        <v>167</v>
      </c>
      <c r="K129">
        <v>4</v>
      </c>
      <c r="L129" t="s">
        <v>41</v>
      </c>
      <c r="M129">
        <v>50</v>
      </c>
      <c r="N129">
        <v>3</v>
      </c>
      <c r="O129">
        <v>1</v>
      </c>
      <c r="P129" t="s">
        <v>52</v>
      </c>
      <c r="Q129">
        <v>3</v>
      </c>
      <c r="R129" t="s">
        <v>37</v>
      </c>
      <c r="S129">
        <v>1675</v>
      </c>
      <c r="T129">
        <v>26820</v>
      </c>
      <c r="U129">
        <v>1</v>
      </c>
      <c r="V129" t="s">
        <v>31</v>
      </c>
      <c r="W129">
        <v>19</v>
      </c>
      <c r="X129">
        <v>3</v>
      </c>
      <c r="Y129">
        <v>4</v>
      </c>
      <c r="Z129">
        <v>0</v>
      </c>
      <c r="AA129">
        <v>0</v>
      </c>
      <c r="AB129" t="str">
        <f>IF(Table2[[#This Row],[TotalWorkingYears]]&lt;=5,"Early (0-5)",IF(Table2[[#This Row],[TotalWorkingYears]]&lt;=15,"Mid (6-15)","Senior (16+)"))</f>
        <v>Early (0-5)</v>
      </c>
      <c r="AC129">
        <v>2</v>
      </c>
      <c r="AD129">
        <v>2</v>
      </c>
      <c r="AE129" t="s">
        <v>63</v>
      </c>
      <c r="AF129">
        <v>0</v>
      </c>
      <c r="AG129">
        <v>0</v>
      </c>
      <c r="AH129">
        <v>0</v>
      </c>
    </row>
    <row r="130" spans="1:34" x14ac:dyDescent="0.3">
      <c r="A130" t="s">
        <v>60</v>
      </c>
      <c r="B130">
        <v>0</v>
      </c>
      <c r="C130" t="s">
        <v>32</v>
      </c>
      <c r="D130">
        <v>594</v>
      </c>
      <c r="E130" t="s">
        <v>40</v>
      </c>
      <c r="F130">
        <v>2</v>
      </c>
      <c r="G130" t="str">
        <f>IF(Table2[[#This Row],[DistanceFromHome]]&lt;=5, "short", IF(Table2[[#This Row],[DistanceFromHome]]&lt;=15, "medium", "long"))</f>
        <v>short</v>
      </c>
      <c r="H130">
        <v>1</v>
      </c>
      <c r="I130" t="s">
        <v>55</v>
      </c>
      <c r="J130">
        <v>169</v>
      </c>
      <c r="K130">
        <v>3</v>
      </c>
      <c r="L130" t="s">
        <v>41</v>
      </c>
      <c r="M130">
        <v>100</v>
      </c>
      <c r="N130">
        <v>3</v>
      </c>
      <c r="O130">
        <v>1</v>
      </c>
      <c r="P130" t="s">
        <v>45</v>
      </c>
      <c r="Q130">
        <v>4</v>
      </c>
      <c r="R130" t="s">
        <v>43</v>
      </c>
      <c r="S130">
        <v>2523</v>
      </c>
      <c r="T130">
        <v>19299</v>
      </c>
      <c r="U130">
        <v>0</v>
      </c>
      <c r="V130" t="s">
        <v>38</v>
      </c>
      <c r="W130">
        <v>14</v>
      </c>
      <c r="X130">
        <v>3</v>
      </c>
      <c r="Y130">
        <v>3</v>
      </c>
      <c r="Z130">
        <v>1</v>
      </c>
      <c r="AA130">
        <v>3</v>
      </c>
      <c r="AB130" t="str">
        <f>IF(Table2[[#This Row],[TotalWorkingYears]]&lt;=5,"Early (0-5)",IF(Table2[[#This Row],[TotalWorkingYears]]&lt;=15,"Mid (6-15)","Senior (16+)"))</f>
        <v>Early (0-5)</v>
      </c>
      <c r="AC130">
        <v>2</v>
      </c>
      <c r="AD130">
        <v>3</v>
      </c>
      <c r="AE130" t="s">
        <v>63</v>
      </c>
      <c r="AF130">
        <v>1</v>
      </c>
      <c r="AG130">
        <v>2</v>
      </c>
      <c r="AH130">
        <v>1</v>
      </c>
    </row>
    <row r="131" spans="1:34" x14ac:dyDescent="0.3">
      <c r="A131" t="s">
        <v>58</v>
      </c>
      <c r="B131">
        <v>0</v>
      </c>
      <c r="C131" t="s">
        <v>32</v>
      </c>
      <c r="D131">
        <v>470</v>
      </c>
      <c r="E131" t="s">
        <v>40</v>
      </c>
      <c r="F131">
        <v>20</v>
      </c>
      <c r="G131" t="str">
        <f>IF(Table2[[#This Row],[DistanceFromHome]]&lt;=5, "short", IF(Table2[[#This Row],[DistanceFromHome]]&lt;=15, "medium", "long"))</f>
        <v>long</v>
      </c>
      <c r="H131">
        <v>4</v>
      </c>
      <c r="I131" t="s">
        <v>46</v>
      </c>
      <c r="J131">
        <v>170</v>
      </c>
      <c r="K131">
        <v>3</v>
      </c>
      <c r="L131" t="s">
        <v>35</v>
      </c>
      <c r="M131">
        <v>96</v>
      </c>
      <c r="N131">
        <v>3</v>
      </c>
      <c r="O131">
        <v>2</v>
      </c>
      <c r="P131" t="s">
        <v>48</v>
      </c>
      <c r="Q131">
        <v>1</v>
      </c>
      <c r="R131" t="s">
        <v>43</v>
      </c>
      <c r="S131">
        <v>6567</v>
      </c>
      <c r="T131">
        <v>5549</v>
      </c>
      <c r="U131">
        <v>1</v>
      </c>
      <c r="V131" t="s">
        <v>38</v>
      </c>
      <c r="W131">
        <v>14</v>
      </c>
      <c r="X131">
        <v>3</v>
      </c>
      <c r="Y131">
        <v>3</v>
      </c>
      <c r="Z131">
        <v>0</v>
      </c>
      <c r="AA131">
        <v>16</v>
      </c>
      <c r="AB131" t="str">
        <f>IF(Table2[[#This Row],[TotalWorkingYears]]&lt;=5,"Early (0-5)",IF(Table2[[#This Row],[TotalWorkingYears]]&lt;=15,"Mid (6-15)","Senior (16+)"))</f>
        <v>Senior (16+)</v>
      </c>
      <c r="AC131">
        <v>2</v>
      </c>
      <c r="AD131">
        <v>2</v>
      </c>
      <c r="AE131" t="s">
        <v>65</v>
      </c>
      <c r="AF131">
        <v>11</v>
      </c>
      <c r="AG131">
        <v>5</v>
      </c>
      <c r="AH131">
        <v>11</v>
      </c>
    </row>
    <row r="132" spans="1:34" x14ac:dyDescent="0.3">
      <c r="A132" t="s">
        <v>57</v>
      </c>
      <c r="B132">
        <v>0</v>
      </c>
      <c r="C132" t="s">
        <v>39</v>
      </c>
      <c r="D132">
        <v>957</v>
      </c>
      <c r="E132" t="s">
        <v>40</v>
      </c>
      <c r="F132">
        <v>28</v>
      </c>
      <c r="G132" t="str">
        <f>IF(Table2[[#This Row],[DistanceFromHome]]&lt;=5, "short", IF(Table2[[#This Row],[DistanceFromHome]]&lt;=15, "medium", "long"))</f>
        <v>long</v>
      </c>
      <c r="H132">
        <v>3</v>
      </c>
      <c r="I132" t="s">
        <v>46</v>
      </c>
      <c r="J132">
        <v>171</v>
      </c>
      <c r="K132">
        <v>2</v>
      </c>
      <c r="L132" t="s">
        <v>35</v>
      </c>
      <c r="M132">
        <v>72</v>
      </c>
      <c r="N132">
        <v>4</v>
      </c>
      <c r="O132">
        <v>1</v>
      </c>
      <c r="P132" t="s">
        <v>42</v>
      </c>
      <c r="Q132">
        <v>3</v>
      </c>
      <c r="R132" t="s">
        <v>37</v>
      </c>
      <c r="S132">
        <v>4739</v>
      </c>
      <c r="T132">
        <v>16090</v>
      </c>
      <c r="U132">
        <v>4</v>
      </c>
      <c r="V132" t="s">
        <v>38</v>
      </c>
      <c r="W132">
        <v>12</v>
      </c>
      <c r="X132">
        <v>3</v>
      </c>
      <c r="Y132">
        <v>4</v>
      </c>
      <c r="Z132">
        <v>0</v>
      </c>
      <c r="AA132">
        <v>18</v>
      </c>
      <c r="AB132" t="str">
        <f>IF(Table2[[#This Row],[TotalWorkingYears]]&lt;=5,"Early (0-5)",IF(Table2[[#This Row],[TotalWorkingYears]]&lt;=15,"Mid (6-15)","Senior (16+)"))</f>
        <v>Senior (16+)</v>
      </c>
      <c r="AC132">
        <v>2</v>
      </c>
      <c r="AD132">
        <v>3</v>
      </c>
      <c r="AE132" t="s">
        <v>64</v>
      </c>
      <c r="AF132">
        <v>2</v>
      </c>
      <c r="AG132">
        <v>1</v>
      </c>
      <c r="AH132">
        <v>2</v>
      </c>
    </row>
    <row r="133" spans="1:34" x14ac:dyDescent="0.3">
      <c r="A133" t="s">
        <v>58</v>
      </c>
      <c r="B133">
        <v>0</v>
      </c>
      <c r="C133" t="s">
        <v>39</v>
      </c>
      <c r="D133">
        <v>809</v>
      </c>
      <c r="E133" t="s">
        <v>33</v>
      </c>
      <c r="F133">
        <v>12</v>
      </c>
      <c r="G133" t="str">
        <f>IF(Table2[[#This Row],[DistanceFromHome]]&lt;=5, "short", IF(Table2[[#This Row],[DistanceFromHome]]&lt;=15, "medium", "long"))</f>
        <v>medium</v>
      </c>
      <c r="H133">
        <v>3</v>
      </c>
      <c r="I133" t="s">
        <v>54</v>
      </c>
      <c r="J133">
        <v>174</v>
      </c>
      <c r="K133">
        <v>3</v>
      </c>
      <c r="L133" t="s">
        <v>35</v>
      </c>
      <c r="M133">
        <v>77</v>
      </c>
      <c r="N133">
        <v>3</v>
      </c>
      <c r="O133">
        <v>3</v>
      </c>
      <c r="P133" t="s">
        <v>36</v>
      </c>
      <c r="Q133">
        <v>4</v>
      </c>
      <c r="R133" t="s">
        <v>37</v>
      </c>
      <c r="S133">
        <v>9208</v>
      </c>
      <c r="T133">
        <v>6645</v>
      </c>
      <c r="U133">
        <v>4</v>
      </c>
      <c r="V133" t="s">
        <v>38</v>
      </c>
      <c r="W133">
        <v>11</v>
      </c>
      <c r="X133">
        <v>3</v>
      </c>
      <c r="Y133">
        <v>4</v>
      </c>
      <c r="Z133">
        <v>0</v>
      </c>
      <c r="AA133">
        <v>16</v>
      </c>
      <c r="AB133" t="str">
        <f>IF(Table2[[#This Row],[TotalWorkingYears]]&lt;=5,"Early (0-5)",IF(Table2[[#This Row],[TotalWorkingYears]]&lt;=15,"Mid (6-15)","Senior (16+)"))</f>
        <v>Senior (16+)</v>
      </c>
      <c r="AC133">
        <v>3</v>
      </c>
      <c r="AD133">
        <v>3</v>
      </c>
      <c r="AE133" t="s">
        <v>63</v>
      </c>
      <c r="AF133">
        <v>2</v>
      </c>
      <c r="AG133">
        <v>2</v>
      </c>
      <c r="AH133">
        <v>1</v>
      </c>
    </row>
    <row r="134" spans="1:34" x14ac:dyDescent="0.3">
      <c r="A134" t="s">
        <v>59</v>
      </c>
      <c r="B134">
        <v>1</v>
      </c>
      <c r="C134" t="s">
        <v>32</v>
      </c>
      <c r="D134">
        <v>542</v>
      </c>
      <c r="E134" t="s">
        <v>33</v>
      </c>
      <c r="F134">
        <v>20</v>
      </c>
      <c r="G134" t="str">
        <f>IF(Table2[[#This Row],[DistanceFromHome]]&lt;=5, "short", IF(Table2[[#This Row],[DistanceFromHome]]&lt;=15, "medium", "long"))</f>
        <v>long</v>
      </c>
      <c r="H134">
        <v>3</v>
      </c>
      <c r="I134" t="s">
        <v>34</v>
      </c>
      <c r="J134">
        <v>175</v>
      </c>
      <c r="K134">
        <v>2</v>
      </c>
      <c r="L134" t="s">
        <v>35</v>
      </c>
      <c r="M134">
        <v>71</v>
      </c>
      <c r="N134">
        <v>1</v>
      </c>
      <c r="O134">
        <v>2</v>
      </c>
      <c r="P134" t="s">
        <v>36</v>
      </c>
      <c r="Q134">
        <v>3</v>
      </c>
      <c r="R134" t="s">
        <v>43</v>
      </c>
      <c r="S134">
        <v>4559</v>
      </c>
      <c r="T134">
        <v>24788</v>
      </c>
      <c r="U134">
        <v>3</v>
      </c>
      <c r="V134" t="s">
        <v>31</v>
      </c>
      <c r="W134">
        <v>11</v>
      </c>
      <c r="X134">
        <v>3</v>
      </c>
      <c r="Y134">
        <v>3</v>
      </c>
      <c r="Z134">
        <v>1</v>
      </c>
      <c r="AA134">
        <v>4</v>
      </c>
      <c r="AB134" t="str">
        <f>IF(Table2[[#This Row],[TotalWorkingYears]]&lt;=5,"Early (0-5)",IF(Table2[[#This Row],[TotalWorkingYears]]&lt;=15,"Mid (6-15)","Senior (16+)"))</f>
        <v>Early (0-5)</v>
      </c>
      <c r="AC134">
        <v>2</v>
      </c>
      <c r="AD134">
        <v>3</v>
      </c>
      <c r="AE134" t="s">
        <v>63</v>
      </c>
      <c r="AF134">
        <v>2</v>
      </c>
      <c r="AG134">
        <v>2</v>
      </c>
      <c r="AH134">
        <v>2</v>
      </c>
    </row>
    <row r="135" spans="1:34" x14ac:dyDescent="0.3">
      <c r="A135" t="s">
        <v>57</v>
      </c>
      <c r="B135">
        <v>0</v>
      </c>
      <c r="C135" t="s">
        <v>32</v>
      </c>
      <c r="D135">
        <v>802</v>
      </c>
      <c r="E135" t="s">
        <v>33</v>
      </c>
      <c r="F135">
        <v>9</v>
      </c>
      <c r="G135" t="str">
        <f>IF(Table2[[#This Row],[DistanceFromHome]]&lt;=5, "short", IF(Table2[[#This Row],[DistanceFromHome]]&lt;=15, "medium", "long"))</f>
        <v>medium</v>
      </c>
      <c r="H135">
        <v>1</v>
      </c>
      <c r="I135" t="s">
        <v>34</v>
      </c>
      <c r="J135">
        <v>176</v>
      </c>
      <c r="K135">
        <v>3</v>
      </c>
      <c r="L135" t="s">
        <v>41</v>
      </c>
      <c r="M135">
        <v>96</v>
      </c>
      <c r="N135">
        <v>3</v>
      </c>
      <c r="O135">
        <v>3</v>
      </c>
      <c r="P135" t="s">
        <v>36</v>
      </c>
      <c r="Q135">
        <v>3</v>
      </c>
      <c r="R135" t="s">
        <v>47</v>
      </c>
      <c r="S135">
        <v>8189</v>
      </c>
      <c r="T135">
        <v>21196</v>
      </c>
      <c r="U135">
        <v>3</v>
      </c>
      <c r="V135" t="s">
        <v>31</v>
      </c>
      <c r="W135">
        <v>13</v>
      </c>
      <c r="X135">
        <v>3</v>
      </c>
      <c r="Y135">
        <v>3</v>
      </c>
      <c r="Z135">
        <v>1</v>
      </c>
      <c r="AA135">
        <v>12</v>
      </c>
      <c r="AB135" t="str">
        <f>IF(Table2[[#This Row],[TotalWorkingYears]]&lt;=5,"Early (0-5)",IF(Table2[[#This Row],[TotalWorkingYears]]&lt;=15,"Mid (6-15)","Senior (16+)"))</f>
        <v>Mid (6-15)</v>
      </c>
      <c r="AC135">
        <v>2</v>
      </c>
      <c r="AD135">
        <v>3</v>
      </c>
      <c r="AE135" t="s">
        <v>62</v>
      </c>
      <c r="AF135">
        <v>7</v>
      </c>
      <c r="AG135">
        <v>0</v>
      </c>
      <c r="AH135">
        <v>7</v>
      </c>
    </row>
    <row r="136" spans="1:34" x14ac:dyDescent="0.3">
      <c r="A136" t="s">
        <v>59</v>
      </c>
      <c r="B136">
        <v>0</v>
      </c>
      <c r="C136" t="s">
        <v>32</v>
      </c>
      <c r="D136">
        <v>1355</v>
      </c>
      <c r="E136" t="s">
        <v>56</v>
      </c>
      <c r="F136">
        <v>25</v>
      </c>
      <c r="G136" t="str">
        <f>IF(Table2[[#This Row],[DistanceFromHome]]&lt;=5, "short", IF(Table2[[#This Row],[DistanceFromHome]]&lt;=15, "medium", "long"))</f>
        <v>long</v>
      </c>
      <c r="H136">
        <v>1</v>
      </c>
      <c r="I136" t="s">
        <v>34</v>
      </c>
      <c r="J136">
        <v>177</v>
      </c>
      <c r="K136">
        <v>3</v>
      </c>
      <c r="L136" t="s">
        <v>35</v>
      </c>
      <c r="M136">
        <v>61</v>
      </c>
      <c r="N136">
        <v>3</v>
      </c>
      <c r="O136">
        <v>1</v>
      </c>
      <c r="P136" t="s">
        <v>56</v>
      </c>
      <c r="Q136">
        <v>3</v>
      </c>
      <c r="R136" t="s">
        <v>43</v>
      </c>
      <c r="S136">
        <v>2942</v>
      </c>
      <c r="T136">
        <v>8916</v>
      </c>
      <c r="U136">
        <v>1</v>
      </c>
      <c r="V136" t="s">
        <v>38</v>
      </c>
      <c r="W136">
        <v>23</v>
      </c>
      <c r="X136">
        <v>4</v>
      </c>
      <c r="Y136">
        <v>4</v>
      </c>
      <c r="Z136">
        <v>1</v>
      </c>
      <c r="AA136">
        <v>8</v>
      </c>
      <c r="AB136" t="str">
        <f>IF(Table2[[#This Row],[TotalWorkingYears]]&lt;=5,"Early (0-5)",IF(Table2[[#This Row],[TotalWorkingYears]]&lt;=15,"Mid (6-15)","Senior (16+)"))</f>
        <v>Mid (6-15)</v>
      </c>
      <c r="AC136">
        <v>3</v>
      </c>
      <c r="AD136">
        <v>3</v>
      </c>
      <c r="AE136" t="s">
        <v>62</v>
      </c>
      <c r="AF136">
        <v>7</v>
      </c>
      <c r="AG136">
        <v>5</v>
      </c>
      <c r="AH136">
        <v>7</v>
      </c>
    </row>
    <row r="137" spans="1:34" x14ac:dyDescent="0.3">
      <c r="A137" t="s">
        <v>57</v>
      </c>
      <c r="B137">
        <v>0</v>
      </c>
      <c r="C137" t="s">
        <v>32</v>
      </c>
      <c r="D137">
        <v>216</v>
      </c>
      <c r="E137" t="s">
        <v>40</v>
      </c>
      <c r="F137">
        <v>6</v>
      </c>
      <c r="G137" t="str">
        <f>IF(Table2[[#This Row],[DistanceFromHome]]&lt;=5, "short", IF(Table2[[#This Row],[DistanceFromHome]]&lt;=15, "medium", "long"))</f>
        <v>medium</v>
      </c>
      <c r="H137">
        <v>2</v>
      </c>
      <c r="I137" t="s">
        <v>46</v>
      </c>
      <c r="J137">
        <v>178</v>
      </c>
      <c r="K137">
        <v>2</v>
      </c>
      <c r="L137" t="s">
        <v>41</v>
      </c>
      <c r="M137">
        <v>84</v>
      </c>
      <c r="N137">
        <v>3</v>
      </c>
      <c r="O137">
        <v>2</v>
      </c>
      <c r="P137" t="s">
        <v>48</v>
      </c>
      <c r="Q137">
        <v>2</v>
      </c>
      <c r="R137" t="s">
        <v>47</v>
      </c>
      <c r="S137">
        <v>4941</v>
      </c>
      <c r="T137">
        <v>2819</v>
      </c>
      <c r="U137">
        <v>6</v>
      </c>
      <c r="V137" t="s">
        <v>38</v>
      </c>
      <c r="W137">
        <v>20</v>
      </c>
      <c r="X137">
        <v>4</v>
      </c>
      <c r="Y137">
        <v>4</v>
      </c>
      <c r="Z137">
        <v>2</v>
      </c>
      <c r="AA137">
        <v>7</v>
      </c>
      <c r="AB137" t="str">
        <f>IF(Table2[[#This Row],[TotalWorkingYears]]&lt;=5,"Early (0-5)",IF(Table2[[#This Row],[TotalWorkingYears]]&lt;=15,"Mid (6-15)","Senior (16+)"))</f>
        <v>Mid (6-15)</v>
      </c>
      <c r="AC137">
        <v>0</v>
      </c>
      <c r="AD137">
        <v>3</v>
      </c>
      <c r="AE137" t="s">
        <v>64</v>
      </c>
      <c r="AF137">
        <v>2</v>
      </c>
      <c r="AG137">
        <v>0</v>
      </c>
      <c r="AH137">
        <v>1</v>
      </c>
    </row>
    <row r="138" spans="1:34" x14ac:dyDescent="0.3">
      <c r="A138" t="s">
        <v>58</v>
      </c>
      <c r="B138">
        <v>1</v>
      </c>
      <c r="C138" t="s">
        <v>39</v>
      </c>
      <c r="D138">
        <v>1150</v>
      </c>
      <c r="E138" t="s">
        <v>40</v>
      </c>
      <c r="F138">
        <v>8</v>
      </c>
      <c r="G138" t="str">
        <f>IF(Table2[[#This Row],[DistanceFromHome]]&lt;=5, "short", IF(Table2[[#This Row],[DistanceFromHome]]&lt;=15, "medium", "long"))</f>
        <v>medium</v>
      </c>
      <c r="H138">
        <v>4</v>
      </c>
      <c r="I138" t="s">
        <v>34</v>
      </c>
      <c r="J138">
        <v>179</v>
      </c>
      <c r="K138">
        <v>1</v>
      </c>
      <c r="L138" t="s">
        <v>41</v>
      </c>
      <c r="M138">
        <v>53</v>
      </c>
      <c r="N138">
        <v>1</v>
      </c>
      <c r="O138">
        <v>3</v>
      </c>
      <c r="P138" t="s">
        <v>48</v>
      </c>
      <c r="Q138">
        <v>4</v>
      </c>
      <c r="R138" t="s">
        <v>37</v>
      </c>
      <c r="S138">
        <v>10650</v>
      </c>
      <c r="T138">
        <v>25150</v>
      </c>
      <c r="U138">
        <v>2</v>
      </c>
      <c r="V138" t="s">
        <v>38</v>
      </c>
      <c r="W138">
        <v>15</v>
      </c>
      <c r="X138">
        <v>3</v>
      </c>
      <c r="Y138">
        <v>4</v>
      </c>
      <c r="Z138">
        <v>0</v>
      </c>
      <c r="AA138">
        <v>18</v>
      </c>
      <c r="AB138" t="str">
        <f>IF(Table2[[#This Row],[TotalWorkingYears]]&lt;=5,"Early (0-5)",IF(Table2[[#This Row],[TotalWorkingYears]]&lt;=15,"Mid (6-15)","Senior (16+)"))</f>
        <v>Senior (16+)</v>
      </c>
      <c r="AC138">
        <v>2</v>
      </c>
      <c r="AD138">
        <v>3</v>
      </c>
      <c r="AE138" t="s">
        <v>64</v>
      </c>
      <c r="AF138">
        <v>2</v>
      </c>
      <c r="AG138">
        <v>0</v>
      </c>
      <c r="AH138">
        <v>3</v>
      </c>
    </row>
    <row r="139" spans="1:34" x14ac:dyDescent="0.3">
      <c r="A139" t="s">
        <v>57</v>
      </c>
      <c r="B139">
        <v>0</v>
      </c>
      <c r="C139" t="s">
        <v>32</v>
      </c>
      <c r="D139">
        <v>1329</v>
      </c>
      <c r="E139" t="s">
        <v>33</v>
      </c>
      <c r="F139">
        <v>4</v>
      </c>
      <c r="G139" t="str">
        <f>IF(Table2[[#This Row],[DistanceFromHome]]&lt;=5, "short", IF(Table2[[#This Row],[DistanceFromHome]]&lt;=15, "medium", "long"))</f>
        <v>short</v>
      </c>
      <c r="H139">
        <v>4</v>
      </c>
      <c r="I139" t="s">
        <v>34</v>
      </c>
      <c r="J139">
        <v>182</v>
      </c>
      <c r="K139">
        <v>4</v>
      </c>
      <c r="L139" t="s">
        <v>35</v>
      </c>
      <c r="M139">
        <v>47</v>
      </c>
      <c r="N139">
        <v>2</v>
      </c>
      <c r="O139">
        <v>2</v>
      </c>
      <c r="P139" t="s">
        <v>36</v>
      </c>
      <c r="Q139">
        <v>3</v>
      </c>
      <c r="R139" t="s">
        <v>43</v>
      </c>
      <c r="S139">
        <v>5902</v>
      </c>
      <c r="T139">
        <v>14590</v>
      </c>
      <c r="U139">
        <v>4</v>
      </c>
      <c r="V139" t="s">
        <v>38</v>
      </c>
      <c r="W139">
        <v>14</v>
      </c>
      <c r="X139">
        <v>3</v>
      </c>
      <c r="Y139">
        <v>3</v>
      </c>
      <c r="Z139">
        <v>1</v>
      </c>
      <c r="AA139">
        <v>17</v>
      </c>
      <c r="AB139" t="str">
        <f>IF(Table2[[#This Row],[TotalWorkingYears]]&lt;=5,"Early (0-5)",IF(Table2[[#This Row],[TotalWorkingYears]]&lt;=15,"Mid (6-15)","Senior (16+)"))</f>
        <v>Senior (16+)</v>
      </c>
      <c r="AC139">
        <v>1</v>
      </c>
      <c r="AD139">
        <v>4</v>
      </c>
      <c r="AE139" t="s">
        <v>65</v>
      </c>
      <c r="AF139">
        <v>11</v>
      </c>
      <c r="AG139">
        <v>5</v>
      </c>
      <c r="AH139">
        <v>9</v>
      </c>
    </row>
    <row r="140" spans="1:34" x14ac:dyDescent="0.3">
      <c r="A140" t="s">
        <v>60</v>
      </c>
      <c r="B140">
        <v>0</v>
      </c>
      <c r="C140" t="s">
        <v>32</v>
      </c>
      <c r="D140">
        <v>959</v>
      </c>
      <c r="E140" t="s">
        <v>33</v>
      </c>
      <c r="F140">
        <v>28</v>
      </c>
      <c r="G140" t="str">
        <f>IF(Table2[[#This Row],[DistanceFromHome]]&lt;=5, "short", IF(Table2[[#This Row],[DistanceFromHome]]&lt;=15, "medium", "long"))</f>
        <v>long</v>
      </c>
      <c r="H140">
        <v>3</v>
      </c>
      <c r="I140" t="s">
        <v>34</v>
      </c>
      <c r="J140">
        <v>183</v>
      </c>
      <c r="K140">
        <v>1</v>
      </c>
      <c r="L140" t="s">
        <v>41</v>
      </c>
      <c r="M140">
        <v>41</v>
      </c>
      <c r="N140">
        <v>2</v>
      </c>
      <c r="O140">
        <v>2</v>
      </c>
      <c r="P140" t="s">
        <v>36</v>
      </c>
      <c r="Q140">
        <v>3</v>
      </c>
      <c r="R140" t="s">
        <v>43</v>
      </c>
      <c r="S140">
        <v>8639</v>
      </c>
      <c r="T140">
        <v>24835</v>
      </c>
      <c r="U140">
        <v>2</v>
      </c>
      <c r="V140" t="s">
        <v>38</v>
      </c>
      <c r="W140">
        <v>18</v>
      </c>
      <c r="X140">
        <v>3</v>
      </c>
      <c r="Y140">
        <v>4</v>
      </c>
      <c r="Z140">
        <v>0</v>
      </c>
      <c r="AA140">
        <v>6</v>
      </c>
      <c r="AB140" t="str">
        <f>IF(Table2[[#This Row],[TotalWorkingYears]]&lt;=5,"Early (0-5)",IF(Table2[[#This Row],[TotalWorkingYears]]&lt;=15,"Mid (6-15)","Senior (16+)"))</f>
        <v>Mid (6-15)</v>
      </c>
      <c r="AC140">
        <v>3</v>
      </c>
      <c r="AD140">
        <v>3</v>
      </c>
      <c r="AE140" t="s">
        <v>63</v>
      </c>
      <c r="AF140">
        <v>2</v>
      </c>
      <c r="AG140">
        <v>2</v>
      </c>
      <c r="AH140">
        <v>2</v>
      </c>
    </row>
    <row r="141" spans="1:34" x14ac:dyDescent="0.3">
      <c r="A141" t="s">
        <v>59</v>
      </c>
      <c r="B141">
        <v>0</v>
      </c>
      <c r="C141" t="s">
        <v>32</v>
      </c>
      <c r="D141">
        <v>1240</v>
      </c>
      <c r="E141" t="s">
        <v>56</v>
      </c>
      <c r="F141">
        <v>9</v>
      </c>
      <c r="G141" t="str">
        <f>IF(Table2[[#This Row],[DistanceFromHome]]&lt;=5, "short", IF(Table2[[#This Row],[DistanceFromHome]]&lt;=15, "medium", "long"))</f>
        <v>medium</v>
      </c>
      <c r="H141">
        <v>3</v>
      </c>
      <c r="I141" t="s">
        <v>56</v>
      </c>
      <c r="J141">
        <v>184</v>
      </c>
      <c r="K141">
        <v>3</v>
      </c>
      <c r="L141" t="s">
        <v>41</v>
      </c>
      <c r="M141">
        <v>48</v>
      </c>
      <c r="N141">
        <v>3</v>
      </c>
      <c r="O141">
        <v>2</v>
      </c>
      <c r="P141" t="s">
        <v>56</v>
      </c>
      <c r="Q141">
        <v>4</v>
      </c>
      <c r="R141" t="s">
        <v>43</v>
      </c>
      <c r="S141">
        <v>6347</v>
      </c>
      <c r="T141">
        <v>13982</v>
      </c>
      <c r="U141">
        <v>0</v>
      </c>
      <c r="V141" t="s">
        <v>31</v>
      </c>
      <c r="W141">
        <v>19</v>
      </c>
      <c r="X141">
        <v>3</v>
      </c>
      <c r="Y141">
        <v>4</v>
      </c>
      <c r="Z141">
        <v>0</v>
      </c>
      <c r="AA141">
        <v>12</v>
      </c>
      <c r="AB141" t="str">
        <f>IF(Table2[[#This Row],[TotalWorkingYears]]&lt;=5,"Early (0-5)",IF(Table2[[#This Row],[TotalWorkingYears]]&lt;=15,"Mid (6-15)","Senior (16+)"))</f>
        <v>Mid (6-15)</v>
      </c>
      <c r="AC141">
        <v>2</v>
      </c>
      <c r="AD141">
        <v>1</v>
      </c>
      <c r="AE141" t="s">
        <v>65</v>
      </c>
      <c r="AF141">
        <v>9</v>
      </c>
      <c r="AG141">
        <v>4</v>
      </c>
      <c r="AH141">
        <v>7</v>
      </c>
    </row>
    <row r="142" spans="1:34" x14ac:dyDescent="0.3">
      <c r="A142" t="s">
        <v>59</v>
      </c>
      <c r="B142">
        <v>1</v>
      </c>
      <c r="C142" t="s">
        <v>32</v>
      </c>
      <c r="D142">
        <v>1033</v>
      </c>
      <c r="E142" t="s">
        <v>40</v>
      </c>
      <c r="F142">
        <v>9</v>
      </c>
      <c r="G142" t="str">
        <f>IF(Table2[[#This Row],[DistanceFromHome]]&lt;=5, "short", IF(Table2[[#This Row],[DistanceFromHome]]&lt;=15, "medium", "long"))</f>
        <v>medium</v>
      </c>
      <c r="H142">
        <v>3</v>
      </c>
      <c r="I142" t="s">
        <v>46</v>
      </c>
      <c r="J142">
        <v>190</v>
      </c>
      <c r="K142">
        <v>1</v>
      </c>
      <c r="L142" t="s">
        <v>35</v>
      </c>
      <c r="M142">
        <v>41</v>
      </c>
      <c r="N142">
        <v>3</v>
      </c>
      <c r="O142">
        <v>1</v>
      </c>
      <c r="P142" t="s">
        <v>45</v>
      </c>
      <c r="Q142">
        <v>1</v>
      </c>
      <c r="R142" t="s">
        <v>37</v>
      </c>
      <c r="S142">
        <v>4200</v>
      </c>
      <c r="T142">
        <v>10224</v>
      </c>
      <c r="U142">
        <v>7</v>
      </c>
      <c r="V142" t="s">
        <v>38</v>
      </c>
      <c r="W142">
        <v>22</v>
      </c>
      <c r="X142">
        <v>4</v>
      </c>
      <c r="Y142">
        <v>1</v>
      </c>
      <c r="Z142">
        <v>0</v>
      </c>
      <c r="AA142">
        <v>10</v>
      </c>
      <c r="AB142" t="str">
        <f>IF(Table2[[#This Row],[TotalWorkingYears]]&lt;=5,"Early (0-5)",IF(Table2[[#This Row],[TotalWorkingYears]]&lt;=15,"Mid (6-15)","Senior (16+)"))</f>
        <v>Mid (6-15)</v>
      </c>
      <c r="AC142">
        <v>2</v>
      </c>
      <c r="AD142">
        <v>4</v>
      </c>
      <c r="AE142" t="s">
        <v>64</v>
      </c>
      <c r="AF142">
        <v>4</v>
      </c>
      <c r="AG142">
        <v>0</v>
      </c>
      <c r="AH142">
        <v>4</v>
      </c>
    </row>
    <row r="143" spans="1:34" x14ac:dyDescent="0.3">
      <c r="A143" t="s">
        <v>57</v>
      </c>
      <c r="B143">
        <v>0</v>
      </c>
      <c r="C143" t="s">
        <v>32</v>
      </c>
      <c r="D143">
        <v>1316</v>
      </c>
      <c r="E143" t="s">
        <v>40</v>
      </c>
      <c r="F143">
        <v>29</v>
      </c>
      <c r="G143" t="str">
        <f>IF(Table2[[#This Row],[DistanceFromHome]]&lt;=5, "short", IF(Table2[[#This Row],[DistanceFromHome]]&lt;=15, "medium", "long"))</f>
        <v>long</v>
      </c>
      <c r="H143">
        <v>3</v>
      </c>
      <c r="I143" t="s">
        <v>46</v>
      </c>
      <c r="J143">
        <v>192</v>
      </c>
      <c r="K143">
        <v>3</v>
      </c>
      <c r="L143" t="s">
        <v>41</v>
      </c>
      <c r="M143">
        <v>83</v>
      </c>
      <c r="N143">
        <v>3</v>
      </c>
      <c r="O143">
        <v>1</v>
      </c>
      <c r="P143" t="s">
        <v>42</v>
      </c>
      <c r="Q143">
        <v>4</v>
      </c>
      <c r="R143" t="s">
        <v>37</v>
      </c>
      <c r="S143">
        <v>3452</v>
      </c>
      <c r="T143">
        <v>9752</v>
      </c>
      <c r="U143">
        <v>5</v>
      </c>
      <c r="V143" t="s">
        <v>38</v>
      </c>
      <c r="W143">
        <v>13</v>
      </c>
      <c r="X143">
        <v>3</v>
      </c>
      <c r="Y143">
        <v>2</v>
      </c>
      <c r="Z143">
        <v>0</v>
      </c>
      <c r="AA143">
        <v>9</v>
      </c>
      <c r="AB143" t="str">
        <f>IF(Table2[[#This Row],[TotalWorkingYears]]&lt;=5,"Early (0-5)",IF(Table2[[#This Row],[TotalWorkingYears]]&lt;=15,"Mid (6-15)","Senior (16+)"))</f>
        <v>Mid (6-15)</v>
      </c>
      <c r="AC143">
        <v>2</v>
      </c>
      <c r="AD143">
        <v>2</v>
      </c>
      <c r="AE143" t="s">
        <v>62</v>
      </c>
      <c r="AF143">
        <v>5</v>
      </c>
      <c r="AG143">
        <v>0</v>
      </c>
      <c r="AH143">
        <v>3</v>
      </c>
    </row>
    <row r="144" spans="1:34" x14ac:dyDescent="0.3">
      <c r="A144" t="s">
        <v>57</v>
      </c>
      <c r="B144">
        <v>0</v>
      </c>
      <c r="C144" t="s">
        <v>32</v>
      </c>
      <c r="D144">
        <v>364</v>
      </c>
      <c r="E144" t="s">
        <v>40</v>
      </c>
      <c r="F144">
        <v>3</v>
      </c>
      <c r="G144" t="str">
        <f>IF(Table2[[#This Row],[DistanceFromHome]]&lt;=5, "short", IF(Table2[[#This Row],[DistanceFromHome]]&lt;=15, "medium", "long"))</f>
        <v>short</v>
      </c>
      <c r="H144">
        <v>5</v>
      </c>
      <c r="I144" t="s">
        <v>55</v>
      </c>
      <c r="J144">
        <v>193</v>
      </c>
      <c r="K144">
        <v>4</v>
      </c>
      <c r="L144" t="s">
        <v>35</v>
      </c>
      <c r="M144">
        <v>32</v>
      </c>
      <c r="N144">
        <v>3</v>
      </c>
      <c r="O144">
        <v>2</v>
      </c>
      <c r="P144" t="s">
        <v>42</v>
      </c>
      <c r="Q144">
        <v>3</v>
      </c>
      <c r="R144" t="s">
        <v>37</v>
      </c>
      <c r="S144">
        <v>4317</v>
      </c>
      <c r="T144">
        <v>2302</v>
      </c>
      <c r="U144">
        <v>3</v>
      </c>
      <c r="V144" t="s">
        <v>31</v>
      </c>
      <c r="W144">
        <v>20</v>
      </c>
      <c r="X144">
        <v>4</v>
      </c>
      <c r="Y144">
        <v>2</v>
      </c>
      <c r="Z144">
        <v>0</v>
      </c>
      <c r="AA144">
        <v>19</v>
      </c>
      <c r="AB144" t="str">
        <f>IF(Table2[[#This Row],[TotalWorkingYears]]&lt;=5,"Early (0-5)",IF(Table2[[#This Row],[TotalWorkingYears]]&lt;=15,"Mid (6-15)","Senior (16+)"))</f>
        <v>Senior (16+)</v>
      </c>
      <c r="AC144">
        <v>2</v>
      </c>
      <c r="AD144">
        <v>3</v>
      </c>
      <c r="AE144" t="s">
        <v>64</v>
      </c>
      <c r="AF144">
        <v>2</v>
      </c>
      <c r="AG144">
        <v>2</v>
      </c>
      <c r="AH144">
        <v>2</v>
      </c>
    </row>
    <row r="145" spans="1:34" x14ac:dyDescent="0.3">
      <c r="A145" t="s">
        <v>59</v>
      </c>
      <c r="B145">
        <v>0</v>
      </c>
      <c r="C145" t="s">
        <v>32</v>
      </c>
      <c r="D145">
        <v>438</v>
      </c>
      <c r="E145" t="s">
        <v>40</v>
      </c>
      <c r="F145">
        <v>18</v>
      </c>
      <c r="G145" t="str">
        <f>IF(Table2[[#This Row],[DistanceFromHome]]&lt;=5, "short", IF(Table2[[#This Row],[DistanceFromHome]]&lt;=15, "medium", "long"))</f>
        <v>long</v>
      </c>
      <c r="H145">
        <v>3</v>
      </c>
      <c r="I145" t="s">
        <v>34</v>
      </c>
      <c r="J145">
        <v>194</v>
      </c>
      <c r="K145">
        <v>1</v>
      </c>
      <c r="L145" t="s">
        <v>35</v>
      </c>
      <c r="M145">
        <v>75</v>
      </c>
      <c r="N145">
        <v>3</v>
      </c>
      <c r="O145">
        <v>1</v>
      </c>
      <c r="P145" t="s">
        <v>42</v>
      </c>
      <c r="Q145">
        <v>3</v>
      </c>
      <c r="R145" t="s">
        <v>37</v>
      </c>
      <c r="S145">
        <v>2632</v>
      </c>
      <c r="T145">
        <v>23910</v>
      </c>
      <c r="U145">
        <v>1</v>
      </c>
      <c r="V145" t="s">
        <v>38</v>
      </c>
      <c r="W145">
        <v>14</v>
      </c>
      <c r="X145">
        <v>3</v>
      </c>
      <c r="Y145">
        <v>3</v>
      </c>
      <c r="Z145">
        <v>0</v>
      </c>
      <c r="AA145">
        <v>5</v>
      </c>
      <c r="AB145" t="str">
        <f>IF(Table2[[#This Row],[TotalWorkingYears]]&lt;=5,"Early (0-5)",IF(Table2[[#This Row],[TotalWorkingYears]]&lt;=15,"Mid (6-15)","Senior (16+)"))</f>
        <v>Early (0-5)</v>
      </c>
      <c r="AC145">
        <v>4</v>
      </c>
      <c r="AD145">
        <v>2</v>
      </c>
      <c r="AE145" t="s">
        <v>64</v>
      </c>
      <c r="AF145">
        <v>4</v>
      </c>
      <c r="AG145">
        <v>0</v>
      </c>
      <c r="AH145">
        <v>4</v>
      </c>
    </row>
    <row r="146" spans="1:34" x14ac:dyDescent="0.3">
      <c r="A146" t="s">
        <v>59</v>
      </c>
      <c r="B146">
        <v>0</v>
      </c>
      <c r="C146" t="s">
        <v>39</v>
      </c>
      <c r="D146">
        <v>689</v>
      </c>
      <c r="E146" t="s">
        <v>33</v>
      </c>
      <c r="F146">
        <v>9</v>
      </c>
      <c r="G146" t="str">
        <f>IF(Table2[[#This Row],[DistanceFromHome]]&lt;=5, "short", IF(Table2[[#This Row],[DistanceFromHome]]&lt;=15, "medium", "long"))</f>
        <v>medium</v>
      </c>
      <c r="H146">
        <v>2</v>
      </c>
      <c r="I146" t="s">
        <v>46</v>
      </c>
      <c r="J146">
        <v>195</v>
      </c>
      <c r="K146">
        <v>4</v>
      </c>
      <c r="L146" t="s">
        <v>41</v>
      </c>
      <c r="M146">
        <v>35</v>
      </c>
      <c r="N146">
        <v>1</v>
      </c>
      <c r="O146">
        <v>2</v>
      </c>
      <c r="P146" t="s">
        <v>36</v>
      </c>
      <c r="Q146">
        <v>4</v>
      </c>
      <c r="R146" t="s">
        <v>47</v>
      </c>
      <c r="S146">
        <v>4668</v>
      </c>
      <c r="T146">
        <v>22812</v>
      </c>
      <c r="U146">
        <v>0</v>
      </c>
      <c r="V146" t="s">
        <v>38</v>
      </c>
      <c r="W146">
        <v>17</v>
      </c>
      <c r="X146">
        <v>3</v>
      </c>
      <c r="Y146">
        <v>4</v>
      </c>
      <c r="Z146">
        <v>3</v>
      </c>
      <c r="AA146">
        <v>9</v>
      </c>
      <c r="AB146" t="str">
        <f>IF(Table2[[#This Row],[TotalWorkingYears]]&lt;=5,"Early (0-5)",IF(Table2[[#This Row],[TotalWorkingYears]]&lt;=15,"Mid (6-15)","Senior (16+)"))</f>
        <v>Mid (6-15)</v>
      </c>
      <c r="AC146">
        <v>2</v>
      </c>
      <c r="AD146">
        <v>4</v>
      </c>
      <c r="AE146" t="s">
        <v>62</v>
      </c>
      <c r="AF146">
        <v>7</v>
      </c>
      <c r="AG146">
        <v>0</v>
      </c>
      <c r="AH146">
        <v>7</v>
      </c>
    </row>
    <row r="147" spans="1:34" x14ac:dyDescent="0.3">
      <c r="A147" t="s">
        <v>59</v>
      </c>
      <c r="B147">
        <v>0</v>
      </c>
      <c r="C147" t="s">
        <v>32</v>
      </c>
      <c r="D147">
        <v>201</v>
      </c>
      <c r="E147" t="s">
        <v>40</v>
      </c>
      <c r="F147">
        <v>5</v>
      </c>
      <c r="G147" t="str">
        <f>IF(Table2[[#This Row],[DistanceFromHome]]&lt;=5, "short", IF(Table2[[#This Row],[DistanceFromHome]]&lt;=15, "medium", "long"))</f>
        <v>short</v>
      </c>
      <c r="H147">
        <v>3</v>
      </c>
      <c r="I147" t="s">
        <v>55</v>
      </c>
      <c r="J147">
        <v>197</v>
      </c>
      <c r="K147">
        <v>4</v>
      </c>
      <c r="L147" t="s">
        <v>35</v>
      </c>
      <c r="M147">
        <v>84</v>
      </c>
      <c r="N147">
        <v>3</v>
      </c>
      <c r="O147">
        <v>1</v>
      </c>
      <c r="P147" t="s">
        <v>42</v>
      </c>
      <c r="Q147">
        <v>1</v>
      </c>
      <c r="R147" t="s">
        <v>47</v>
      </c>
      <c r="S147">
        <v>3204</v>
      </c>
      <c r="T147">
        <v>10415</v>
      </c>
      <c r="U147">
        <v>5</v>
      </c>
      <c r="V147" t="s">
        <v>38</v>
      </c>
      <c r="W147">
        <v>14</v>
      </c>
      <c r="X147">
        <v>3</v>
      </c>
      <c r="Y147">
        <v>4</v>
      </c>
      <c r="Z147">
        <v>1</v>
      </c>
      <c r="AA147">
        <v>8</v>
      </c>
      <c r="AB147" t="str">
        <f>IF(Table2[[#This Row],[TotalWorkingYears]]&lt;=5,"Early (0-5)",IF(Table2[[#This Row],[TotalWorkingYears]]&lt;=15,"Mid (6-15)","Senior (16+)"))</f>
        <v>Mid (6-15)</v>
      </c>
      <c r="AC147">
        <v>3</v>
      </c>
      <c r="AD147">
        <v>3</v>
      </c>
      <c r="AE147" t="s">
        <v>64</v>
      </c>
      <c r="AF147">
        <v>2</v>
      </c>
      <c r="AG147">
        <v>2</v>
      </c>
      <c r="AH147">
        <v>2</v>
      </c>
    </row>
    <row r="148" spans="1:34" x14ac:dyDescent="0.3">
      <c r="A148" t="s">
        <v>59</v>
      </c>
      <c r="B148">
        <v>0</v>
      </c>
      <c r="C148" t="s">
        <v>32</v>
      </c>
      <c r="D148">
        <v>1427</v>
      </c>
      <c r="E148" t="s">
        <v>40</v>
      </c>
      <c r="F148">
        <v>2</v>
      </c>
      <c r="G148" t="str">
        <f>IF(Table2[[#This Row],[DistanceFromHome]]&lt;=5, "short", IF(Table2[[#This Row],[DistanceFromHome]]&lt;=15, "medium", "long"))</f>
        <v>short</v>
      </c>
      <c r="H148">
        <v>1</v>
      </c>
      <c r="I148" t="s">
        <v>46</v>
      </c>
      <c r="J148">
        <v>198</v>
      </c>
      <c r="K148">
        <v>2</v>
      </c>
      <c r="L148" t="s">
        <v>41</v>
      </c>
      <c r="M148">
        <v>35</v>
      </c>
      <c r="N148">
        <v>2</v>
      </c>
      <c r="O148">
        <v>1</v>
      </c>
      <c r="P148" t="s">
        <v>45</v>
      </c>
      <c r="Q148">
        <v>4</v>
      </c>
      <c r="R148" t="s">
        <v>37</v>
      </c>
      <c r="S148">
        <v>2720</v>
      </c>
      <c r="T148">
        <v>11162</v>
      </c>
      <c r="U148">
        <v>0</v>
      </c>
      <c r="V148" t="s">
        <v>38</v>
      </c>
      <c r="W148">
        <v>13</v>
      </c>
      <c r="X148">
        <v>3</v>
      </c>
      <c r="Y148">
        <v>4</v>
      </c>
      <c r="Z148">
        <v>0</v>
      </c>
      <c r="AA148">
        <v>6</v>
      </c>
      <c r="AB148" t="str">
        <f>IF(Table2[[#This Row],[TotalWorkingYears]]&lt;=5,"Early (0-5)",IF(Table2[[#This Row],[TotalWorkingYears]]&lt;=15,"Mid (6-15)","Senior (16+)"))</f>
        <v>Mid (6-15)</v>
      </c>
      <c r="AC148">
        <v>3</v>
      </c>
      <c r="AD148">
        <v>3</v>
      </c>
      <c r="AE148" t="s">
        <v>64</v>
      </c>
      <c r="AF148">
        <v>3</v>
      </c>
      <c r="AG148">
        <v>1</v>
      </c>
      <c r="AH148">
        <v>2</v>
      </c>
    </row>
    <row r="149" spans="1:34" x14ac:dyDescent="0.3">
      <c r="A149" t="s">
        <v>57</v>
      </c>
      <c r="B149">
        <v>0</v>
      </c>
      <c r="C149" t="s">
        <v>39</v>
      </c>
      <c r="D149">
        <v>857</v>
      </c>
      <c r="E149" t="s">
        <v>40</v>
      </c>
      <c r="F149">
        <v>10</v>
      </c>
      <c r="G149" t="str">
        <f>IF(Table2[[#This Row],[DistanceFromHome]]&lt;=5, "short", IF(Table2[[#This Row],[DistanceFromHome]]&lt;=15, "medium", "long"))</f>
        <v>medium</v>
      </c>
      <c r="H149">
        <v>3</v>
      </c>
      <c r="I149" t="s">
        <v>34</v>
      </c>
      <c r="J149">
        <v>199</v>
      </c>
      <c r="K149">
        <v>4</v>
      </c>
      <c r="L149" t="s">
        <v>41</v>
      </c>
      <c r="M149">
        <v>91</v>
      </c>
      <c r="N149">
        <v>2</v>
      </c>
      <c r="O149">
        <v>4</v>
      </c>
      <c r="P149" t="s">
        <v>51</v>
      </c>
      <c r="Q149">
        <v>1</v>
      </c>
      <c r="R149" t="s">
        <v>47</v>
      </c>
      <c r="S149">
        <v>17181</v>
      </c>
      <c r="T149">
        <v>12888</v>
      </c>
      <c r="U149">
        <v>4</v>
      </c>
      <c r="V149" t="s">
        <v>38</v>
      </c>
      <c r="W149">
        <v>13</v>
      </c>
      <c r="X149">
        <v>3</v>
      </c>
      <c r="Y149">
        <v>2</v>
      </c>
      <c r="Z149">
        <v>1</v>
      </c>
      <c r="AA149">
        <v>21</v>
      </c>
      <c r="AB149" t="str">
        <f>IF(Table2[[#This Row],[TotalWorkingYears]]&lt;=5,"Early (0-5)",IF(Table2[[#This Row],[TotalWorkingYears]]&lt;=15,"Mid (6-15)","Senior (16+)"))</f>
        <v>Senior (16+)</v>
      </c>
      <c r="AC149">
        <v>2</v>
      </c>
      <c r="AD149">
        <v>2</v>
      </c>
      <c r="AE149" t="s">
        <v>62</v>
      </c>
      <c r="AF149">
        <v>6</v>
      </c>
      <c r="AG149">
        <v>7</v>
      </c>
      <c r="AH149">
        <v>7</v>
      </c>
    </row>
    <row r="150" spans="1:34" x14ac:dyDescent="0.3">
      <c r="A150" t="s">
        <v>57</v>
      </c>
      <c r="B150">
        <v>0</v>
      </c>
      <c r="C150" t="s">
        <v>32</v>
      </c>
      <c r="D150">
        <v>933</v>
      </c>
      <c r="E150" t="s">
        <v>40</v>
      </c>
      <c r="F150">
        <v>9</v>
      </c>
      <c r="G150" t="str">
        <f>IF(Table2[[#This Row],[DistanceFromHome]]&lt;=5, "short", IF(Table2[[#This Row],[DistanceFromHome]]&lt;=15, "medium", "long"))</f>
        <v>medium</v>
      </c>
      <c r="H150">
        <v>4</v>
      </c>
      <c r="I150" t="s">
        <v>34</v>
      </c>
      <c r="J150">
        <v>200</v>
      </c>
      <c r="K150">
        <v>3</v>
      </c>
      <c r="L150" t="s">
        <v>41</v>
      </c>
      <c r="M150">
        <v>94</v>
      </c>
      <c r="N150">
        <v>3</v>
      </c>
      <c r="O150">
        <v>1</v>
      </c>
      <c r="P150" t="s">
        <v>45</v>
      </c>
      <c r="Q150">
        <v>1</v>
      </c>
      <c r="R150" t="s">
        <v>43</v>
      </c>
      <c r="S150">
        <v>2238</v>
      </c>
      <c r="T150">
        <v>6961</v>
      </c>
      <c r="U150">
        <v>2</v>
      </c>
      <c r="V150" t="s">
        <v>38</v>
      </c>
      <c r="W150">
        <v>21</v>
      </c>
      <c r="X150">
        <v>4</v>
      </c>
      <c r="Y150">
        <v>4</v>
      </c>
      <c r="Z150">
        <v>1</v>
      </c>
      <c r="AA150">
        <v>7</v>
      </c>
      <c r="AB150" t="str">
        <f>IF(Table2[[#This Row],[TotalWorkingYears]]&lt;=5,"Early (0-5)",IF(Table2[[#This Row],[TotalWorkingYears]]&lt;=15,"Mid (6-15)","Senior (16+)"))</f>
        <v>Mid (6-15)</v>
      </c>
      <c r="AC150">
        <v>2</v>
      </c>
      <c r="AD150">
        <v>3</v>
      </c>
      <c r="AE150" t="s">
        <v>64</v>
      </c>
      <c r="AF150">
        <v>0</v>
      </c>
      <c r="AG150">
        <v>1</v>
      </c>
      <c r="AH150">
        <v>4</v>
      </c>
    </row>
    <row r="151" spans="1:34" x14ac:dyDescent="0.3">
      <c r="A151" t="s">
        <v>60</v>
      </c>
      <c r="B151">
        <v>0</v>
      </c>
      <c r="C151" t="s">
        <v>32</v>
      </c>
      <c r="D151">
        <v>1181</v>
      </c>
      <c r="E151" t="s">
        <v>40</v>
      </c>
      <c r="F151">
        <v>3</v>
      </c>
      <c r="G151" t="str">
        <f>IF(Table2[[#This Row],[DistanceFromHome]]&lt;=5, "short", IF(Table2[[#This Row],[DistanceFromHome]]&lt;=15, "medium", "long"))</f>
        <v>short</v>
      </c>
      <c r="H151">
        <v>1</v>
      </c>
      <c r="I151" t="s">
        <v>46</v>
      </c>
      <c r="J151">
        <v>201</v>
      </c>
      <c r="K151">
        <v>2</v>
      </c>
      <c r="L151" t="s">
        <v>35</v>
      </c>
      <c r="M151">
        <v>79</v>
      </c>
      <c r="N151">
        <v>3</v>
      </c>
      <c r="O151">
        <v>1</v>
      </c>
      <c r="P151" t="s">
        <v>45</v>
      </c>
      <c r="Q151">
        <v>2</v>
      </c>
      <c r="R151" t="s">
        <v>37</v>
      </c>
      <c r="S151">
        <v>1483</v>
      </c>
      <c r="T151">
        <v>16102</v>
      </c>
      <c r="U151">
        <v>1</v>
      </c>
      <c r="V151" t="s">
        <v>38</v>
      </c>
      <c r="W151">
        <v>14</v>
      </c>
      <c r="X151">
        <v>3</v>
      </c>
      <c r="Y151">
        <v>4</v>
      </c>
      <c r="Z151">
        <v>0</v>
      </c>
      <c r="AA151">
        <v>1</v>
      </c>
      <c r="AB151" t="str">
        <f>IF(Table2[[#This Row],[TotalWorkingYears]]&lt;=5,"Early (0-5)",IF(Table2[[#This Row],[TotalWorkingYears]]&lt;=15,"Mid (6-15)","Senior (16+)"))</f>
        <v>Early (0-5)</v>
      </c>
      <c r="AC151">
        <v>3</v>
      </c>
      <c r="AD151">
        <v>3</v>
      </c>
      <c r="AE151" t="s">
        <v>63</v>
      </c>
      <c r="AF151">
        <v>0</v>
      </c>
      <c r="AG151">
        <v>0</v>
      </c>
      <c r="AH151">
        <v>0</v>
      </c>
    </row>
    <row r="152" spans="1:34" x14ac:dyDescent="0.3">
      <c r="A152" t="s">
        <v>57</v>
      </c>
      <c r="B152">
        <v>0</v>
      </c>
      <c r="C152" t="s">
        <v>39</v>
      </c>
      <c r="D152">
        <v>1395</v>
      </c>
      <c r="E152" t="s">
        <v>40</v>
      </c>
      <c r="F152">
        <v>26</v>
      </c>
      <c r="G152" t="str">
        <f>IF(Table2[[#This Row],[DistanceFromHome]]&lt;=5, "short", IF(Table2[[#This Row],[DistanceFromHome]]&lt;=15, "medium", "long"))</f>
        <v>long</v>
      </c>
      <c r="H152">
        <v>3</v>
      </c>
      <c r="I152" t="s">
        <v>46</v>
      </c>
      <c r="J152">
        <v>202</v>
      </c>
      <c r="K152">
        <v>2</v>
      </c>
      <c r="L152" t="s">
        <v>35</v>
      </c>
      <c r="M152">
        <v>54</v>
      </c>
      <c r="N152">
        <v>3</v>
      </c>
      <c r="O152">
        <v>2</v>
      </c>
      <c r="P152" t="s">
        <v>42</v>
      </c>
      <c r="Q152">
        <v>2</v>
      </c>
      <c r="R152" t="s">
        <v>47</v>
      </c>
      <c r="S152">
        <v>5605</v>
      </c>
      <c r="T152">
        <v>8504</v>
      </c>
      <c r="U152">
        <v>1</v>
      </c>
      <c r="V152" t="s">
        <v>38</v>
      </c>
      <c r="W152">
        <v>11</v>
      </c>
      <c r="X152">
        <v>3</v>
      </c>
      <c r="Y152">
        <v>1</v>
      </c>
      <c r="Z152">
        <v>1</v>
      </c>
      <c r="AA152">
        <v>20</v>
      </c>
      <c r="AB152" t="str">
        <f>IF(Table2[[#This Row],[TotalWorkingYears]]&lt;=5,"Early (0-5)",IF(Table2[[#This Row],[TotalWorkingYears]]&lt;=15,"Mid (6-15)","Senior (16+)"))</f>
        <v>Senior (16+)</v>
      </c>
      <c r="AC152">
        <v>2</v>
      </c>
      <c r="AD152">
        <v>3</v>
      </c>
      <c r="AE152" t="s">
        <v>65</v>
      </c>
      <c r="AF152">
        <v>7</v>
      </c>
      <c r="AG152">
        <v>2</v>
      </c>
      <c r="AH152">
        <v>13</v>
      </c>
    </row>
    <row r="153" spans="1:34" x14ac:dyDescent="0.3">
      <c r="A153" t="s">
        <v>59</v>
      </c>
      <c r="B153">
        <v>0</v>
      </c>
      <c r="C153" t="s">
        <v>32</v>
      </c>
      <c r="D153">
        <v>662</v>
      </c>
      <c r="E153" t="s">
        <v>33</v>
      </c>
      <c r="F153">
        <v>1</v>
      </c>
      <c r="G153" t="str">
        <f>IF(Table2[[#This Row],[DistanceFromHome]]&lt;=5, "short", IF(Table2[[#This Row],[DistanceFromHome]]&lt;=15, "medium", "long"))</f>
        <v>short</v>
      </c>
      <c r="H153">
        <v>5</v>
      </c>
      <c r="I153" t="s">
        <v>54</v>
      </c>
      <c r="J153">
        <v>204</v>
      </c>
      <c r="K153">
        <v>3</v>
      </c>
      <c r="L153" t="s">
        <v>41</v>
      </c>
      <c r="M153">
        <v>94</v>
      </c>
      <c r="N153">
        <v>3</v>
      </c>
      <c r="O153">
        <v>3</v>
      </c>
      <c r="P153" t="s">
        <v>36</v>
      </c>
      <c r="Q153">
        <v>2</v>
      </c>
      <c r="R153" t="s">
        <v>43</v>
      </c>
      <c r="S153">
        <v>7295</v>
      </c>
      <c r="T153">
        <v>11439</v>
      </c>
      <c r="U153">
        <v>1</v>
      </c>
      <c r="V153" t="s">
        <v>38</v>
      </c>
      <c r="W153">
        <v>13</v>
      </c>
      <c r="X153">
        <v>3</v>
      </c>
      <c r="Y153">
        <v>1</v>
      </c>
      <c r="Z153">
        <v>2</v>
      </c>
      <c r="AA153">
        <v>10</v>
      </c>
      <c r="AB153" t="str">
        <f>IF(Table2[[#This Row],[TotalWorkingYears]]&lt;=5,"Early (0-5)",IF(Table2[[#This Row],[TotalWorkingYears]]&lt;=15,"Mid (6-15)","Senior (16+)"))</f>
        <v>Mid (6-15)</v>
      </c>
      <c r="AC153">
        <v>3</v>
      </c>
      <c r="AD153">
        <v>3</v>
      </c>
      <c r="AE153" t="s">
        <v>62</v>
      </c>
      <c r="AF153">
        <v>8</v>
      </c>
      <c r="AG153">
        <v>0</v>
      </c>
      <c r="AH153">
        <v>6</v>
      </c>
    </row>
    <row r="154" spans="1:34" x14ac:dyDescent="0.3">
      <c r="A154" t="s">
        <v>58</v>
      </c>
      <c r="B154">
        <v>0</v>
      </c>
      <c r="C154" t="s">
        <v>32</v>
      </c>
      <c r="D154">
        <v>1436</v>
      </c>
      <c r="E154" t="s">
        <v>33</v>
      </c>
      <c r="F154">
        <v>6</v>
      </c>
      <c r="G154" t="str">
        <f>IF(Table2[[#This Row],[DistanceFromHome]]&lt;=5, "short", IF(Table2[[#This Row],[DistanceFromHome]]&lt;=15, "medium", "long"))</f>
        <v>medium</v>
      </c>
      <c r="H154">
        <v>2</v>
      </c>
      <c r="I154" t="s">
        <v>54</v>
      </c>
      <c r="J154">
        <v>205</v>
      </c>
      <c r="K154">
        <v>2</v>
      </c>
      <c r="L154" t="s">
        <v>41</v>
      </c>
      <c r="M154">
        <v>34</v>
      </c>
      <c r="N154">
        <v>3</v>
      </c>
      <c r="O154">
        <v>2</v>
      </c>
      <c r="P154" t="s">
        <v>52</v>
      </c>
      <c r="Q154">
        <v>3</v>
      </c>
      <c r="R154" t="s">
        <v>43</v>
      </c>
      <c r="S154">
        <v>2306</v>
      </c>
      <c r="T154">
        <v>16047</v>
      </c>
      <c r="U154">
        <v>2</v>
      </c>
      <c r="V154" t="s">
        <v>31</v>
      </c>
      <c r="W154">
        <v>20</v>
      </c>
      <c r="X154">
        <v>4</v>
      </c>
      <c r="Y154">
        <v>4</v>
      </c>
      <c r="Z154">
        <v>1</v>
      </c>
      <c r="AA154">
        <v>13</v>
      </c>
      <c r="AB154" t="str">
        <f>IF(Table2[[#This Row],[TotalWorkingYears]]&lt;=5,"Early (0-5)",IF(Table2[[#This Row],[TotalWorkingYears]]&lt;=15,"Mid (6-15)","Senior (16+)"))</f>
        <v>Mid (6-15)</v>
      </c>
      <c r="AC154">
        <v>3</v>
      </c>
      <c r="AD154">
        <v>1</v>
      </c>
      <c r="AE154" t="s">
        <v>62</v>
      </c>
      <c r="AF154">
        <v>7</v>
      </c>
      <c r="AG154">
        <v>4</v>
      </c>
      <c r="AH154">
        <v>5</v>
      </c>
    </row>
    <row r="155" spans="1:34" x14ac:dyDescent="0.3">
      <c r="A155" t="s">
        <v>57</v>
      </c>
      <c r="B155">
        <v>0</v>
      </c>
      <c r="C155" t="s">
        <v>32</v>
      </c>
      <c r="D155">
        <v>194</v>
      </c>
      <c r="E155" t="s">
        <v>40</v>
      </c>
      <c r="F155">
        <v>9</v>
      </c>
      <c r="G155" t="str">
        <f>IF(Table2[[#This Row],[DistanceFromHome]]&lt;=5, "short", IF(Table2[[#This Row],[DistanceFromHome]]&lt;=15, "medium", "long"))</f>
        <v>medium</v>
      </c>
      <c r="H155">
        <v>3</v>
      </c>
      <c r="I155" t="s">
        <v>34</v>
      </c>
      <c r="J155">
        <v>206</v>
      </c>
      <c r="K155">
        <v>2</v>
      </c>
      <c r="L155" t="s">
        <v>41</v>
      </c>
      <c r="M155">
        <v>60</v>
      </c>
      <c r="N155">
        <v>3</v>
      </c>
      <c r="O155">
        <v>2</v>
      </c>
      <c r="P155" t="s">
        <v>45</v>
      </c>
      <c r="Q155">
        <v>2</v>
      </c>
      <c r="R155" t="s">
        <v>47</v>
      </c>
      <c r="S155">
        <v>2348</v>
      </c>
      <c r="T155">
        <v>10901</v>
      </c>
      <c r="U155">
        <v>8</v>
      </c>
      <c r="V155" t="s">
        <v>38</v>
      </c>
      <c r="W155">
        <v>18</v>
      </c>
      <c r="X155">
        <v>3</v>
      </c>
      <c r="Y155">
        <v>3</v>
      </c>
      <c r="Z155">
        <v>1</v>
      </c>
      <c r="AA155">
        <v>20</v>
      </c>
      <c r="AB155" t="str">
        <f>IF(Table2[[#This Row],[TotalWorkingYears]]&lt;=5,"Early (0-5)",IF(Table2[[#This Row],[TotalWorkingYears]]&lt;=15,"Mid (6-15)","Senior (16+)"))</f>
        <v>Senior (16+)</v>
      </c>
      <c r="AC155">
        <v>2</v>
      </c>
      <c r="AD155">
        <v>1</v>
      </c>
      <c r="AE155" t="s">
        <v>65</v>
      </c>
      <c r="AF155">
        <v>9</v>
      </c>
      <c r="AG155">
        <v>0</v>
      </c>
      <c r="AH155">
        <v>15</v>
      </c>
    </row>
    <row r="156" spans="1:34" x14ac:dyDescent="0.3">
      <c r="A156" t="s">
        <v>59</v>
      </c>
      <c r="B156">
        <v>0</v>
      </c>
      <c r="C156" t="s">
        <v>39</v>
      </c>
      <c r="D156">
        <v>967</v>
      </c>
      <c r="E156" t="s">
        <v>33</v>
      </c>
      <c r="F156">
        <v>8</v>
      </c>
      <c r="G156" t="str">
        <f>IF(Table2[[#This Row],[DistanceFromHome]]&lt;=5, "short", IF(Table2[[#This Row],[DistanceFromHome]]&lt;=15, "medium", "long"))</f>
        <v>medium</v>
      </c>
      <c r="H156">
        <v>3</v>
      </c>
      <c r="I156" t="s">
        <v>54</v>
      </c>
      <c r="J156">
        <v>207</v>
      </c>
      <c r="K156">
        <v>2</v>
      </c>
      <c r="L156" t="s">
        <v>35</v>
      </c>
      <c r="M156">
        <v>43</v>
      </c>
      <c r="N156">
        <v>3</v>
      </c>
      <c r="O156">
        <v>3</v>
      </c>
      <c r="P156" t="s">
        <v>36</v>
      </c>
      <c r="Q156">
        <v>4</v>
      </c>
      <c r="R156" t="s">
        <v>37</v>
      </c>
      <c r="S156">
        <v>8998</v>
      </c>
      <c r="T156">
        <v>15589</v>
      </c>
      <c r="U156">
        <v>1</v>
      </c>
      <c r="V156" t="s">
        <v>38</v>
      </c>
      <c r="W156">
        <v>14</v>
      </c>
      <c r="X156">
        <v>3</v>
      </c>
      <c r="Y156">
        <v>4</v>
      </c>
      <c r="Z156">
        <v>0</v>
      </c>
      <c r="AA156">
        <v>9</v>
      </c>
      <c r="AB156" t="str">
        <f>IF(Table2[[#This Row],[TotalWorkingYears]]&lt;=5,"Early (0-5)",IF(Table2[[#This Row],[TotalWorkingYears]]&lt;=15,"Mid (6-15)","Senior (16+)"))</f>
        <v>Mid (6-15)</v>
      </c>
      <c r="AC156">
        <v>2</v>
      </c>
      <c r="AD156">
        <v>3</v>
      </c>
      <c r="AE156" t="s">
        <v>62</v>
      </c>
      <c r="AF156">
        <v>8</v>
      </c>
      <c r="AG156">
        <v>3</v>
      </c>
      <c r="AH156">
        <v>7</v>
      </c>
    </row>
    <row r="157" spans="1:34" x14ac:dyDescent="0.3">
      <c r="A157" t="s">
        <v>59</v>
      </c>
      <c r="B157">
        <v>0</v>
      </c>
      <c r="C157" t="s">
        <v>50</v>
      </c>
      <c r="D157">
        <v>1496</v>
      </c>
      <c r="E157" t="s">
        <v>40</v>
      </c>
      <c r="F157">
        <v>1</v>
      </c>
      <c r="G157" t="str">
        <f>IF(Table2[[#This Row],[DistanceFromHome]]&lt;=5, "short", IF(Table2[[#This Row],[DistanceFromHome]]&lt;=15, "medium", "long"))</f>
        <v>short</v>
      </c>
      <c r="H157">
        <v>1</v>
      </c>
      <c r="I157" t="s">
        <v>55</v>
      </c>
      <c r="J157">
        <v>208</v>
      </c>
      <c r="K157">
        <v>4</v>
      </c>
      <c r="L157" t="s">
        <v>41</v>
      </c>
      <c r="M157">
        <v>41</v>
      </c>
      <c r="N157">
        <v>3</v>
      </c>
      <c r="O157">
        <v>2</v>
      </c>
      <c r="P157" t="s">
        <v>48</v>
      </c>
      <c r="Q157">
        <v>3</v>
      </c>
      <c r="R157" t="s">
        <v>43</v>
      </c>
      <c r="S157">
        <v>4319</v>
      </c>
      <c r="T157">
        <v>26283</v>
      </c>
      <c r="U157">
        <v>1</v>
      </c>
      <c r="V157" t="s">
        <v>38</v>
      </c>
      <c r="W157">
        <v>13</v>
      </c>
      <c r="X157">
        <v>3</v>
      </c>
      <c r="Y157">
        <v>1</v>
      </c>
      <c r="Z157">
        <v>1</v>
      </c>
      <c r="AA157">
        <v>10</v>
      </c>
      <c r="AB157" t="str">
        <f>IF(Table2[[#This Row],[TotalWorkingYears]]&lt;=5,"Early (0-5)",IF(Table2[[#This Row],[TotalWorkingYears]]&lt;=15,"Mid (6-15)","Senior (16+)"))</f>
        <v>Mid (6-15)</v>
      </c>
      <c r="AC157">
        <v>1</v>
      </c>
      <c r="AD157">
        <v>3</v>
      </c>
      <c r="AE157" t="s">
        <v>62</v>
      </c>
      <c r="AF157">
        <v>7</v>
      </c>
      <c r="AG157">
        <v>0</v>
      </c>
      <c r="AH157">
        <v>9</v>
      </c>
    </row>
    <row r="158" spans="1:34" x14ac:dyDescent="0.3">
      <c r="A158" t="s">
        <v>58</v>
      </c>
      <c r="B158">
        <v>0</v>
      </c>
      <c r="C158" t="s">
        <v>32</v>
      </c>
      <c r="D158">
        <v>1169</v>
      </c>
      <c r="E158" t="s">
        <v>40</v>
      </c>
      <c r="F158">
        <v>7</v>
      </c>
      <c r="G158" t="str">
        <f>IF(Table2[[#This Row],[DistanceFromHome]]&lt;=5, "short", IF(Table2[[#This Row],[DistanceFromHome]]&lt;=15, "medium", "long"))</f>
        <v>medium</v>
      </c>
      <c r="H158">
        <v>4</v>
      </c>
      <c r="I158" t="s">
        <v>46</v>
      </c>
      <c r="J158">
        <v>211</v>
      </c>
      <c r="K158">
        <v>2</v>
      </c>
      <c r="L158" t="s">
        <v>41</v>
      </c>
      <c r="M158">
        <v>34</v>
      </c>
      <c r="N158">
        <v>2</v>
      </c>
      <c r="O158">
        <v>2</v>
      </c>
      <c r="P158" t="s">
        <v>48</v>
      </c>
      <c r="Q158">
        <v>3</v>
      </c>
      <c r="R158" t="s">
        <v>43</v>
      </c>
      <c r="S158">
        <v>6132</v>
      </c>
      <c r="T158">
        <v>13983</v>
      </c>
      <c r="U158">
        <v>2</v>
      </c>
      <c r="V158" t="s">
        <v>38</v>
      </c>
      <c r="W158">
        <v>17</v>
      </c>
      <c r="X158">
        <v>3</v>
      </c>
      <c r="Y158">
        <v>3</v>
      </c>
      <c r="Z158">
        <v>0</v>
      </c>
      <c r="AA158">
        <v>10</v>
      </c>
      <c r="AB158" t="str">
        <f>IF(Table2[[#This Row],[TotalWorkingYears]]&lt;=5,"Early (0-5)",IF(Table2[[#This Row],[TotalWorkingYears]]&lt;=15,"Mid (6-15)","Senior (16+)"))</f>
        <v>Mid (6-15)</v>
      </c>
      <c r="AC158">
        <v>2</v>
      </c>
      <c r="AD158">
        <v>3</v>
      </c>
      <c r="AE158" t="s">
        <v>63</v>
      </c>
      <c r="AF158">
        <v>0</v>
      </c>
      <c r="AG158">
        <v>0</v>
      </c>
      <c r="AH158">
        <v>0</v>
      </c>
    </row>
    <row r="159" spans="1:34" x14ac:dyDescent="0.3">
      <c r="A159" t="s">
        <v>58</v>
      </c>
      <c r="B159">
        <v>0</v>
      </c>
      <c r="C159" t="s">
        <v>32</v>
      </c>
      <c r="D159">
        <v>1145</v>
      </c>
      <c r="E159" t="s">
        <v>40</v>
      </c>
      <c r="F159">
        <v>9</v>
      </c>
      <c r="G159" t="str">
        <f>IF(Table2[[#This Row],[DistanceFromHome]]&lt;=5, "short", IF(Table2[[#This Row],[DistanceFromHome]]&lt;=15, "medium", "long"))</f>
        <v>medium</v>
      </c>
      <c r="H159">
        <v>3</v>
      </c>
      <c r="I159" t="s">
        <v>46</v>
      </c>
      <c r="J159">
        <v>214</v>
      </c>
      <c r="K159">
        <v>2</v>
      </c>
      <c r="L159" t="s">
        <v>35</v>
      </c>
      <c r="M159">
        <v>75</v>
      </c>
      <c r="N159">
        <v>2</v>
      </c>
      <c r="O159">
        <v>1</v>
      </c>
      <c r="P159" t="s">
        <v>42</v>
      </c>
      <c r="Q159">
        <v>2</v>
      </c>
      <c r="R159" t="s">
        <v>43</v>
      </c>
      <c r="S159">
        <v>3346</v>
      </c>
      <c r="T159">
        <v>11873</v>
      </c>
      <c r="U159">
        <v>4</v>
      </c>
      <c r="V159" t="s">
        <v>31</v>
      </c>
      <c r="W159">
        <v>20</v>
      </c>
      <c r="X159">
        <v>4</v>
      </c>
      <c r="Y159">
        <v>2</v>
      </c>
      <c r="Z159">
        <v>1</v>
      </c>
      <c r="AA159">
        <v>9</v>
      </c>
      <c r="AB159" t="str">
        <f>IF(Table2[[#This Row],[TotalWorkingYears]]&lt;=5,"Early (0-5)",IF(Table2[[#This Row],[TotalWorkingYears]]&lt;=15,"Mid (6-15)","Senior (16+)"))</f>
        <v>Mid (6-15)</v>
      </c>
      <c r="AC159">
        <v>3</v>
      </c>
      <c r="AD159">
        <v>2</v>
      </c>
      <c r="AE159" t="s">
        <v>63</v>
      </c>
      <c r="AF159">
        <v>0</v>
      </c>
      <c r="AG159">
        <v>0</v>
      </c>
      <c r="AH159">
        <v>0</v>
      </c>
    </row>
    <row r="160" spans="1:34" x14ac:dyDescent="0.3">
      <c r="A160" t="s">
        <v>57</v>
      </c>
      <c r="B160">
        <v>0</v>
      </c>
      <c r="C160" t="s">
        <v>32</v>
      </c>
      <c r="D160">
        <v>630</v>
      </c>
      <c r="E160" t="s">
        <v>33</v>
      </c>
      <c r="F160">
        <v>4</v>
      </c>
      <c r="G160" t="str">
        <f>IF(Table2[[#This Row],[DistanceFromHome]]&lt;=5, "short", IF(Table2[[#This Row],[DistanceFromHome]]&lt;=15, "medium", "long"))</f>
        <v>short</v>
      </c>
      <c r="H160">
        <v>4</v>
      </c>
      <c r="I160" t="s">
        <v>54</v>
      </c>
      <c r="J160">
        <v>215</v>
      </c>
      <c r="K160">
        <v>3</v>
      </c>
      <c r="L160" t="s">
        <v>41</v>
      </c>
      <c r="M160">
        <v>67</v>
      </c>
      <c r="N160">
        <v>2</v>
      </c>
      <c r="O160">
        <v>3</v>
      </c>
      <c r="P160" t="s">
        <v>36</v>
      </c>
      <c r="Q160">
        <v>4</v>
      </c>
      <c r="R160" t="s">
        <v>43</v>
      </c>
      <c r="S160">
        <v>10855</v>
      </c>
      <c r="T160">
        <v>8552</v>
      </c>
      <c r="U160">
        <v>7</v>
      </c>
      <c r="V160" t="s">
        <v>38</v>
      </c>
      <c r="W160">
        <v>11</v>
      </c>
      <c r="X160">
        <v>3</v>
      </c>
      <c r="Y160">
        <v>1</v>
      </c>
      <c r="Z160">
        <v>1</v>
      </c>
      <c r="AA160">
        <v>15</v>
      </c>
      <c r="AB160" t="str">
        <f>IF(Table2[[#This Row],[TotalWorkingYears]]&lt;=5,"Early (0-5)",IF(Table2[[#This Row],[TotalWorkingYears]]&lt;=15,"Mid (6-15)","Senior (16+)"))</f>
        <v>Mid (6-15)</v>
      </c>
      <c r="AC160">
        <v>2</v>
      </c>
      <c r="AD160">
        <v>2</v>
      </c>
      <c r="AE160" t="s">
        <v>65</v>
      </c>
      <c r="AF160">
        <v>11</v>
      </c>
      <c r="AG160">
        <v>2</v>
      </c>
      <c r="AH160">
        <v>11</v>
      </c>
    </row>
    <row r="161" spans="1:34" x14ac:dyDescent="0.3">
      <c r="A161" t="s">
        <v>59</v>
      </c>
      <c r="B161">
        <v>0</v>
      </c>
      <c r="C161" t="s">
        <v>39</v>
      </c>
      <c r="D161">
        <v>303</v>
      </c>
      <c r="E161" t="s">
        <v>33</v>
      </c>
      <c r="F161">
        <v>2</v>
      </c>
      <c r="G161" t="str">
        <f>IF(Table2[[#This Row],[DistanceFromHome]]&lt;=5, "short", IF(Table2[[#This Row],[DistanceFromHome]]&lt;=15, "medium", "long"))</f>
        <v>short</v>
      </c>
      <c r="H161">
        <v>4</v>
      </c>
      <c r="I161" t="s">
        <v>54</v>
      </c>
      <c r="J161">
        <v>216</v>
      </c>
      <c r="K161">
        <v>3</v>
      </c>
      <c r="L161" t="s">
        <v>35</v>
      </c>
      <c r="M161">
        <v>75</v>
      </c>
      <c r="N161">
        <v>3</v>
      </c>
      <c r="O161">
        <v>1</v>
      </c>
      <c r="P161" t="s">
        <v>52</v>
      </c>
      <c r="Q161">
        <v>3</v>
      </c>
      <c r="R161" t="s">
        <v>43</v>
      </c>
      <c r="S161">
        <v>2231</v>
      </c>
      <c r="T161">
        <v>11314</v>
      </c>
      <c r="U161">
        <v>6</v>
      </c>
      <c r="V161" t="s">
        <v>38</v>
      </c>
      <c r="W161">
        <v>18</v>
      </c>
      <c r="X161">
        <v>3</v>
      </c>
      <c r="Y161">
        <v>4</v>
      </c>
      <c r="Z161">
        <v>1</v>
      </c>
      <c r="AA161">
        <v>6</v>
      </c>
      <c r="AB161" t="str">
        <f>IF(Table2[[#This Row],[TotalWorkingYears]]&lt;=5,"Early (0-5)",IF(Table2[[#This Row],[TotalWorkingYears]]&lt;=15,"Mid (6-15)","Senior (16+)"))</f>
        <v>Mid (6-15)</v>
      </c>
      <c r="AC161">
        <v>3</v>
      </c>
      <c r="AD161">
        <v>3</v>
      </c>
      <c r="AE161" t="s">
        <v>64</v>
      </c>
      <c r="AF161">
        <v>3</v>
      </c>
      <c r="AG161">
        <v>1</v>
      </c>
      <c r="AH161">
        <v>2</v>
      </c>
    </row>
    <row r="162" spans="1:34" x14ac:dyDescent="0.3">
      <c r="A162" t="s">
        <v>60</v>
      </c>
      <c r="B162">
        <v>0</v>
      </c>
      <c r="C162" t="s">
        <v>32</v>
      </c>
      <c r="D162">
        <v>1256</v>
      </c>
      <c r="E162" t="s">
        <v>40</v>
      </c>
      <c r="F162">
        <v>19</v>
      </c>
      <c r="G162" t="str">
        <f>IF(Table2[[#This Row],[DistanceFromHome]]&lt;=5, "short", IF(Table2[[#This Row],[DistanceFromHome]]&lt;=15, "medium", "long"))</f>
        <v>long</v>
      </c>
      <c r="H162">
        <v>1</v>
      </c>
      <c r="I162" t="s">
        <v>46</v>
      </c>
      <c r="J162">
        <v>217</v>
      </c>
      <c r="K162">
        <v>3</v>
      </c>
      <c r="L162" t="s">
        <v>41</v>
      </c>
      <c r="M162">
        <v>80</v>
      </c>
      <c r="N162">
        <v>3</v>
      </c>
      <c r="O162">
        <v>1</v>
      </c>
      <c r="P162" t="s">
        <v>42</v>
      </c>
      <c r="Q162">
        <v>4</v>
      </c>
      <c r="R162" t="s">
        <v>43</v>
      </c>
      <c r="S162">
        <v>2323</v>
      </c>
      <c r="T162">
        <v>11992</v>
      </c>
      <c r="U162">
        <v>1</v>
      </c>
      <c r="V162" t="s">
        <v>38</v>
      </c>
      <c r="W162">
        <v>24</v>
      </c>
      <c r="X162">
        <v>4</v>
      </c>
      <c r="Y162">
        <v>1</v>
      </c>
      <c r="Z162">
        <v>2</v>
      </c>
      <c r="AA162">
        <v>2</v>
      </c>
      <c r="AB162" t="str">
        <f>IF(Table2[[#This Row],[TotalWorkingYears]]&lt;=5,"Early (0-5)",IF(Table2[[#This Row],[TotalWorkingYears]]&lt;=15,"Mid (6-15)","Senior (16+)"))</f>
        <v>Early (0-5)</v>
      </c>
      <c r="AC162">
        <v>6</v>
      </c>
      <c r="AD162">
        <v>3</v>
      </c>
      <c r="AE162" t="s">
        <v>63</v>
      </c>
      <c r="AF162">
        <v>2</v>
      </c>
      <c r="AG162">
        <v>2</v>
      </c>
      <c r="AH162">
        <v>2</v>
      </c>
    </row>
    <row r="163" spans="1:34" x14ac:dyDescent="0.3">
      <c r="A163" t="s">
        <v>59</v>
      </c>
      <c r="B163">
        <v>0</v>
      </c>
      <c r="C163" t="s">
        <v>50</v>
      </c>
      <c r="D163">
        <v>691</v>
      </c>
      <c r="E163" t="s">
        <v>40</v>
      </c>
      <c r="F163">
        <v>9</v>
      </c>
      <c r="G163" t="str">
        <f>IF(Table2[[#This Row],[DistanceFromHome]]&lt;=5, "short", IF(Table2[[#This Row],[DistanceFromHome]]&lt;=15, "medium", "long"))</f>
        <v>medium</v>
      </c>
      <c r="H163">
        <v>3</v>
      </c>
      <c r="I163" t="s">
        <v>46</v>
      </c>
      <c r="J163">
        <v>218</v>
      </c>
      <c r="K163">
        <v>4</v>
      </c>
      <c r="L163" t="s">
        <v>41</v>
      </c>
      <c r="M163">
        <v>57</v>
      </c>
      <c r="N163">
        <v>3</v>
      </c>
      <c r="O163">
        <v>1</v>
      </c>
      <c r="P163" t="s">
        <v>42</v>
      </c>
      <c r="Q163">
        <v>2</v>
      </c>
      <c r="R163" t="s">
        <v>47</v>
      </c>
      <c r="S163">
        <v>2024</v>
      </c>
      <c r="T163">
        <v>5970</v>
      </c>
      <c r="U163">
        <v>6</v>
      </c>
      <c r="V163" t="s">
        <v>38</v>
      </c>
      <c r="W163">
        <v>18</v>
      </c>
      <c r="X163">
        <v>3</v>
      </c>
      <c r="Y163">
        <v>4</v>
      </c>
      <c r="Z163">
        <v>1</v>
      </c>
      <c r="AA163">
        <v>6</v>
      </c>
      <c r="AB163" t="str">
        <f>IF(Table2[[#This Row],[TotalWorkingYears]]&lt;=5,"Early (0-5)",IF(Table2[[#This Row],[TotalWorkingYears]]&lt;=15,"Mid (6-15)","Senior (16+)"))</f>
        <v>Mid (6-15)</v>
      </c>
      <c r="AC163">
        <v>1</v>
      </c>
      <c r="AD163">
        <v>1</v>
      </c>
      <c r="AE163" t="s">
        <v>63</v>
      </c>
      <c r="AF163">
        <v>2</v>
      </c>
      <c r="AG163">
        <v>2</v>
      </c>
      <c r="AH163">
        <v>2</v>
      </c>
    </row>
    <row r="164" spans="1:34" x14ac:dyDescent="0.3">
      <c r="A164" t="s">
        <v>59</v>
      </c>
      <c r="B164">
        <v>0</v>
      </c>
      <c r="C164" t="s">
        <v>32</v>
      </c>
      <c r="D164">
        <v>440</v>
      </c>
      <c r="E164" t="s">
        <v>40</v>
      </c>
      <c r="F164">
        <v>21</v>
      </c>
      <c r="G164" t="str">
        <f>IF(Table2[[#This Row],[DistanceFromHome]]&lt;=5, "short", IF(Table2[[#This Row],[DistanceFromHome]]&lt;=15, "medium", "long"))</f>
        <v>long</v>
      </c>
      <c r="H164">
        <v>3</v>
      </c>
      <c r="I164" t="s">
        <v>46</v>
      </c>
      <c r="J164">
        <v>221</v>
      </c>
      <c r="K164">
        <v>3</v>
      </c>
      <c r="L164" t="s">
        <v>41</v>
      </c>
      <c r="M164">
        <v>42</v>
      </c>
      <c r="N164">
        <v>3</v>
      </c>
      <c r="O164">
        <v>1</v>
      </c>
      <c r="P164" t="s">
        <v>42</v>
      </c>
      <c r="Q164">
        <v>4</v>
      </c>
      <c r="R164" t="s">
        <v>43</v>
      </c>
      <c r="S164">
        <v>2713</v>
      </c>
      <c r="T164">
        <v>6672</v>
      </c>
      <c r="U164">
        <v>1</v>
      </c>
      <c r="V164" t="s">
        <v>38</v>
      </c>
      <c r="W164">
        <v>11</v>
      </c>
      <c r="X164">
        <v>3</v>
      </c>
      <c r="Y164">
        <v>3</v>
      </c>
      <c r="Z164">
        <v>1</v>
      </c>
      <c r="AA164">
        <v>5</v>
      </c>
      <c r="AB164" t="str">
        <f>IF(Table2[[#This Row],[TotalWorkingYears]]&lt;=5,"Early (0-5)",IF(Table2[[#This Row],[TotalWorkingYears]]&lt;=15,"Mid (6-15)","Senior (16+)"))</f>
        <v>Early (0-5)</v>
      </c>
      <c r="AC164">
        <v>2</v>
      </c>
      <c r="AD164">
        <v>1</v>
      </c>
      <c r="AE164" t="s">
        <v>64</v>
      </c>
      <c r="AF164">
        <v>2</v>
      </c>
      <c r="AG164">
        <v>0</v>
      </c>
      <c r="AH164">
        <v>2</v>
      </c>
    </row>
    <row r="165" spans="1:34" x14ac:dyDescent="0.3">
      <c r="A165" t="s">
        <v>58</v>
      </c>
      <c r="B165">
        <v>0</v>
      </c>
      <c r="C165" t="s">
        <v>32</v>
      </c>
      <c r="D165">
        <v>334</v>
      </c>
      <c r="E165" t="s">
        <v>40</v>
      </c>
      <c r="F165">
        <v>24</v>
      </c>
      <c r="G165" t="str">
        <f>IF(Table2[[#This Row],[DistanceFromHome]]&lt;=5, "short", IF(Table2[[#This Row],[DistanceFromHome]]&lt;=15, "medium", "long"))</f>
        <v>long</v>
      </c>
      <c r="H165">
        <v>2</v>
      </c>
      <c r="I165" t="s">
        <v>34</v>
      </c>
      <c r="J165">
        <v>223</v>
      </c>
      <c r="K165">
        <v>3</v>
      </c>
      <c r="L165" t="s">
        <v>41</v>
      </c>
      <c r="M165">
        <v>83</v>
      </c>
      <c r="N165">
        <v>4</v>
      </c>
      <c r="O165">
        <v>3</v>
      </c>
      <c r="P165" t="s">
        <v>49</v>
      </c>
      <c r="Q165">
        <v>4</v>
      </c>
      <c r="R165" t="s">
        <v>47</v>
      </c>
      <c r="S165">
        <v>9439</v>
      </c>
      <c r="T165">
        <v>23402</v>
      </c>
      <c r="U165">
        <v>3</v>
      </c>
      <c r="V165" t="s">
        <v>31</v>
      </c>
      <c r="W165">
        <v>16</v>
      </c>
      <c r="X165">
        <v>3</v>
      </c>
      <c r="Y165">
        <v>2</v>
      </c>
      <c r="Z165">
        <v>1</v>
      </c>
      <c r="AA165">
        <v>12</v>
      </c>
      <c r="AB165" t="str">
        <f>IF(Table2[[#This Row],[TotalWorkingYears]]&lt;=5,"Early (0-5)",IF(Table2[[#This Row],[TotalWorkingYears]]&lt;=15,"Mid (6-15)","Senior (16+)"))</f>
        <v>Mid (6-15)</v>
      </c>
      <c r="AC165">
        <v>2</v>
      </c>
      <c r="AD165">
        <v>1</v>
      </c>
      <c r="AE165" t="s">
        <v>64</v>
      </c>
      <c r="AF165">
        <v>3</v>
      </c>
      <c r="AG165">
        <v>1</v>
      </c>
      <c r="AH165">
        <v>4</v>
      </c>
    </row>
    <row r="166" spans="1:34" x14ac:dyDescent="0.3">
      <c r="A166" t="s">
        <v>59</v>
      </c>
      <c r="B166">
        <v>0</v>
      </c>
      <c r="C166" t="s">
        <v>50</v>
      </c>
      <c r="D166">
        <v>1450</v>
      </c>
      <c r="E166" t="s">
        <v>40</v>
      </c>
      <c r="F166">
        <v>3</v>
      </c>
      <c r="G166" t="str">
        <f>IF(Table2[[#This Row],[DistanceFromHome]]&lt;=5, "short", IF(Table2[[#This Row],[DistanceFromHome]]&lt;=15, "medium", "long"))</f>
        <v>short</v>
      </c>
      <c r="H166">
        <v>3</v>
      </c>
      <c r="I166" t="s">
        <v>46</v>
      </c>
      <c r="J166">
        <v>224</v>
      </c>
      <c r="K166">
        <v>3</v>
      </c>
      <c r="L166" t="s">
        <v>41</v>
      </c>
      <c r="M166">
        <v>79</v>
      </c>
      <c r="N166">
        <v>2</v>
      </c>
      <c r="O166">
        <v>1</v>
      </c>
      <c r="P166" t="s">
        <v>42</v>
      </c>
      <c r="Q166">
        <v>3</v>
      </c>
      <c r="R166" t="s">
        <v>47</v>
      </c>
      <c r="S166">
        <v>2566</v>
      </c>
      <c r="T166">
        <v>25326</v>
      </c>
      <c r="U166">
        <v>1</v>
      </c>
      <c r="V166" t="s">
        <v>31</v>
      </c>
      <c r="W166">
        <v>15</v>
      </c>
      <c r="X166">
        <v>3</v>
      </c>
      <c r="Y166">
        <v>4</v>
      </c>
      <c r="Z166">
        <v>1</v>
      </c>
      <c r="AA166">
        <v>1</v>
      </c>
      <c r="AB166" t="str">
        <f>IF(Table2[[#This Row],[TotalWorkingYears]]&lt;=5,"Early (0-5)",IF(Table2[[#This Row],[TotalWorkingYears]]&lt;=15,"Mid (6-15)","Senior (16+)"))</f>
        <v>Early (0-5)</v>
      </c>
      <c r="AC166">
        <v>2</v>
      </c>
      <c r="AD166">
        <v>2</v>
      </c>
      <c r="AE166" t="s">
        <v>63</v>
      </c>
      <c r="AF166">
        <v>1</v>
      </c>
      <c r="AG166">
        <v>0</v>
      </c>
      <c r="AH166">
        <v>1</v>
      </c>
    </row>
    <row r="167" spans="1:34" x14ac:dyDescent="0.3">
      <c r="A167" t="s">
        <v>58</v>
      </c>
      <c r="B167">
        <v>0</v>
      </c>
      <c r="C167" t="s">
        <v>32</v>
      </c>
      <c r="D167">
        <v>1452</v>
      </c>
      <c r="E167" t="s">
        <v>40</v>
      </c>
      <c r="F167">
        <v>11</v>
      </c>
      <c r="G167" t="str">
        <f>IF(Table2[[#This Row],[DistanceFromHome]]&lt;=5, "short", IF(Table2[[#This Row],[DistanceFromHome]]&lt;=15, "medium", "long"))</f>
        <v>medium</v>
      </c>
      <c r="H167">
        <v>3</v>
      </c>
      <c r="I167" t="s">
        <v>34</v>
      </c>
      <c r="J167">
        <v>226</v>
      </c>
      <c r="K167">
        <v>3</v>
      </c>
      <c r="L167" t="s">
        <v>35</v>
      </c>
      <c r="M167">
        <v>53</v>
      </c>
      <c r="N167">
        <v>3</v>
      </c>
      <c r="O167">
        <v>5</v>
      </c>
      <c r="P167" t="s">
        <v>51</v>
      </c>
      <c r="Q167">
        <v>2</v>
      </c>
      <c r="R167" t="s">
        <v>37</v>
      </c>
      <c r="S167">
        <v>19926</v>
      </c>
      <c r="T167">
        <v>17053</v>
      </c>
      <c r="U167">
        <v>3</v>
      </c>
      <c r="V167" t="s">
        <v>38</v>
      </c>
      <c r="W167">
        <v>15</v>
      </c>
      <c r="X167">
        <v>3</v>
      </c>
      <c r="Y167">
        <v>2</v>
      </c>
      <c r="Z167">
        <v>0</v>
      </c>
      <c r="AA167">
        <v>21</v>
      </c>
      <c r="AB167" t="str">
        <f>IF(Table2[[#This Row],[TotalWorkingYears]]&lt;=5,"Early (0-5)",IF(Table2[[#This Row],[TotalWorkingYears]]&lt;=15,"Mid (6-15)","Senior (16+)"))</f>
        <v>Senior (16+)</v>
      </c>
      <c r="AC167">
        <v>5</v>
      </c>
      <c r="AD167">
        <v>3</v>
      </c>
      <c r="AE167" t="s">
        <v>64</v>
      </c>
      <c r="AF167">
        <v>4</v>
      </c>
      <c r="AG167">
        <v>4</v>
      </c>
      <c r="AH167">
        <v>4</v>
      </c>
    </row>
    <row r="168" spans="1:34" x14ac:dyDescent="0.3">
      <c r="A168" t="s">
        <v>57</v>
      </c>
      <c r="B168">
        <v>0</v>
      </c>
      <c r="C168" t="s">
        <v>32</v>
      </c>
      <c r="D168">
        <v>465</v>
      </c>
      <c r="E168" t="s">
        <v>40</v>
      </c>
      <c r="F168">
        <v>14</v>
      </c>
      <c r="G168" t="str">
        <f>IF(Table2[[#This Row],[DistanceFromHome]]&lt;=5, "short", IF(Table2[[#This Row],[DistanceFromHome]]&lt;=15, "medium", "long"))</f>
        <v>medium</v>
      </c>
      <c r="H168">
        <v>3</v>
      </c>
      <c r="I168" t="s">
        <v>34</v>
      </c>
      <c r="J168">
        <v>227</v>
      </c>
      <c r="K168">
        <v>1</v>
      </c>
      <c r="L168" t="s">
        <v>41</v>
      </c>
      <c r="M168">
        <v>56</v>
      </c>
      <c r="N168">
        <v>3</v>
      </c>
      <c r="O168">
        <v>1</v>
      </c>
      <c r="P168" t="s">
        <v>42</v>
      </c>
      <c r="Q168">
        <v>3</v>
      </c>
      <c r="R168" t="s">
        <v>47</v>
      </c>
      <c r="S168">
        <v>2451</v>
      </c>
      <c r="T168">
        <v>4609</v>
      </c>
      <c r="U168">
        <v>4</v>
      </c>
      <c r="V168" t="s">
        <v>38</v>
      </c>
      <c r="W168">
        <v>12</v>
      </c>
      <c r="X168">
        <v>3</v>
      </c>
      <c r="Y168">
        <v>1</v>
      </c>
      <c r="Z168">
        <v>1</v>
      </c>
      <c r="AA168">
        <v>13</v>
      </c>
      <c r="AB168" t="str">
        <f>IF(Table2[[#This Row],[TotalWorkingYears]]&lt;=5,"Early (0-5)",IF(Table2[[#This Row],[TotalWorkingYears]]&lt;=15,"Mid (6-15)","Senior (16+)"))</f>
        <v>Mid (6-15)</v>
      </c>
      <c r="AC168">
        <v>2</v>
      </c>
      <c r="AD168">
        <v>3</v>
      </c>
      <c r="AE168" t="s">
        <v>62</v>
      </c>
      <c r="AF168">
        <v>8</v>
      </c>
      <c r="AG168">
        <v>1</v>
      </c>
      <c r="AH168">
        <v>8</v>
      </c>
    </row>
    <row r="169" spans="1:34" x14ac:dyDescent="0.3">
      <c r="A169" t="s">
        <v>59</v>
      </c>
      <c r="B169">
        <v>0</v>
      </c>
      <c r="C169" t="s">
        <v>32</v>
      </c>
      <c r="D169">
        <v>1339</v>
      </c>
      <c r="E169" t="s">
        <v>33</v>
      </c>
      <c r="F169">
        <v>5</v>
      </c>
      <c r="G169" t="str">
        <f>IF(Table2[[#This Row],[DistanceFromHome]]&lt;=5, "short", IF(Table2[[#This Row],[DistanceFromHome]]&lt;=15, "medium", "long"))</f>
        <v>short</v>
      </c>
      <c r="H169">
        <v>3</v>
      </c>
      <c r="I169" t="s">
        <v>34</v>
      </c>
      <c r="J169">
        <v>228</v>
      </c>
      <c r="K169">
        <v>2</v>
      </c>
      <c r="L169" t="s">
        <v>35</v>
      </c>
      <c r="M169">
        <v>41</v>
      </c>
      <c r="N169">
        <v>3</v>
      </c>
      <c r="O169">
        <v>3</v>
      </c>
      <c r="P169" t="s">
        <v>36</v>
      </c>
      <c r="Q169">
        <v>4</v>
      </c>
      <c r="R169" t="s">
        <v>43</v>
      </c>
      <c r="S169">
        <v>9419</v>
      </c>
      <c r="T169">
        <v>8053</v>
      </c>
      <c r="U169">
        <v>2</v>
      </c>
      <c r="V169" t="s">
        <v>38</v>
      </c>
      <c r="W169">
        <v>12</v>
      </c>
      <c r="X169">
        <v>3</v>
      </c>
      <c r="Y169">
        <v>3</v>
      </c>
      <c r="Z169">
        <v>1</v>
      </c>
      <c r="AA169">
        <v>12</v>
      </c>
      <c r="AB169" t="str">
        <f>IF(Table2[[#This Row],[TotalWorkingYears]]&lt;=5,"Early (0-5)",IF(Table2[[#This Row],[TotalWorkingYears]]&lt;=15,"Mid (6-15)","Senior (16+)"))</f>
        <v>Mid (6-15)</v>
      </c>
      <c r="AC169">
        <v>2</v>
      </c>
      <c r="AD169">
        <v>3</v>
      </c>
      <c r="AE169" t="s">
        <v>62</v>
      </c>
      <c r="AF169">
        <v>9</v>
      </c>
      <c r="AG169">
        <v>7</v>
      </c>
      <c r="AH169">
        <v>4</v>
      </c>
    </row>
    <row r="170" spans="1:34" x14ac:dyDescent="0.3">
      <c r="A170" t="s">
        <v>57</v>
      </c>
      <c r="B170">
        <v>0</v>
      </c>
      <c r="C170" t="s">
        <v>32</v>
      </c>
      <c r="D170">
        <v>702</v>
      </c>
      <c r="E170" t="s">
        <v>33</v>
      </c>
      <c r="F170">
        <v>1</v>
      </c>
      <c r="G170" t="str">
        <f>IF(Table2[[#This Row],[DistanceFromHome]]&lt;=5, "short", IF(Table2[[#This Row],[DistanceFromHome]]&lt;=15, "medium", "long"))</f>
        <v>short</v>
      </c>
      <c r="H170">
        <v>4</v>
      </c>
      <c r="I170" t="s">
        <v>34</v>
      </c>
      <c r="J170">
        <v>230</v>
      </c>
      <c r="K170">
        <v>1</v>
      </c>
      <c r="L170" t="s">
        <v>35</v>
      </c>
      <c r="M170">
        <v>59</v>
      </c>
      <c r="N170">
        <v>2</v>
      </c>
      <c r="O170">
        <v>2</v>
      </c>
      <c r="P170" t="s">
        <v>36</v>
      </c>
      <c r="Q170">
        <v>4</v>
      </c>
      <c r="R170" t="s">
        <v>37</v>
      </c>
      <c r="S170">
        <v>8686</v>
      </c>
      <c r="T170">
        <v>12930</v>
      </c>
      <c r="U170">
        <v>4</v>
      </c>
      <c r="V170" t="s">
        <v>38</v>
      </c>
      <c r="W170">
        <v>22</v>
      </c>
      <c r="X170">
        <v>4</v>
      </c>
      <c r="Y170">
        <v>3</v>
      </c>
      <c r="Z170">
        <v>0</v>
      </c>
      <c r="AA170">
        <v>12</v>
      </c>
      <c r="AB170" t="str">
        <f>IF(Table2[[#This Row],[TotalWorkingYears]]&lt;=5,"Early (0-5)",IF(Table2[[#This Row],[TotalWorkingYears]]&lt;=15,"Mid (6-15)","Senior (16+)"))</f>
        <v>Mid (6-15)</v>
      </c>
      <c r="AC170">
        <v>2</v>
      </c>
      <c r="AD170">
        <v>4</v>
      </c>
      <c r="AE170" t="s">
        <v>62</v>
      </c>
      <c r="AF170">
        <v>3</v>
      </c>
      <c r="AG170">
        <v>0</v>
      </c>
      <c r="AH170">
        <v>7</v>
      </c>
    </row>
    <row r="171" spans="1:34" x14ac:dyDescent="0.3">
      <c r="A171" t="s">
        <v>59</v>
      </c>
      <c r="B171">
        <v>0</v>
      </c>
      <c r="C171" t="s">
        <v>32</v>
      </c>
      <c r="D171">
        <v>120</v>
      </c>
      <c r="E171" t="s">
        <v>40</v>
      </c>
      <c r="F171">
        <v>6</v>
      </c>
      <c r="G171" t="str">
        <f>IF(Table2[[#This Row],[DistanceFromHome]]&lt;=5, "short", IF(Table2[[#This Row],[DistanceFromHome]]&lt;=15, "medium", "long"))</f>
        <v>medium</v>
      </c>
      <c r="H171">
        <v>5</v>
      </c>
      <c r="I171" t="s">
        <v>34</v>
      </c>
      <c r="J171">
        <v>231</v>
      </c>
      <c r="K171">
        <v>3</v>
      </c>
      <c r="L171" t="s">
        <v>41</v>
      </c>
      <c r="M171">
        <v>43</v>
      </c>
      <c r="N171">
        <v>3</v>
      </c>
      <c r="O171">
        <v>1</v>
      </c>
      <c r="P171" t="s">
        <v>42</v>
      </c>
      <c r="Q171">
        <v>3</v>
      </c>
      <c r="R171" t="s">
        <v>37</v>
      </c>
      <c r="S171">
        <v>3038</v>
      </c>
      <c r="T171">
        <v>12430</v>
      </c>
      <c r="U171">
        <v>3</v>
      </c>
      <c r="V171" t="s">
        <v>38</v>
      </c>
      <c r="W171">
        <v>20</v>
      </c>
      <c r="X171">
        <v>4</v>
      </c>
      <c r="Y171">
        <v>1</v>
      </c>
      <c r="Z171">
        <v>0</v>
      </c>
      <c r="AA171">
        <v>8</v>
      </c>
      <c r="AB171" t="str">
        <f>IF(Table2[[#This Row],[TotalWorkingYears]]&lt;=5,"Early (0-5)",IF(Table2[[#This Row],[TotalWorkingYears]]&lt;=15,"Mid (6-15)","Senior (16+)"))</f>
        <v>Mid (6-15)</v>
      </c>
      <c r="AC171">
        <v>2</v>
      </c>
      <c r="AD171">
        <v>3</v>
      </c>
      <c r="AE171" t="s">
        <v>64</v>
      </c>
      <c r="AF171">
        <v>4</v>
      </c>
      <c r="AG171">
        <v>1</v>
      </c>
      <c r="AH171">
        <v>4</v>
      </c>
    </row>
    <row r="172" spans="1:34" x14ac:dyDescent="0.3">
      <c r="A172" t="s">
        <v>59</v>
      </c>
      <c r="B172">
        <v>0</v>
      </c>
      <c r="C172" t="s">
        <v>32</v>
      </c>
      <c r="D172">
        <v>1157</v>
      </c>
      <c r="E172" t="s">
        <v>40</v>
      </c>
      <c r="F172">
        <v>17</v>
      </c>
      <c r="G172" t="str">
        <f>IF(Table2[[#This Row],[DistanceFromHome]]&lt;=5, "short", IF(Table2[[#This Row],[DistanceFromHome]]&lt;=15, "medium", "long"))</f>
        <v>long</v>
      </c>
      <c r="H172">
        <v>3</v>
      </c>
      <c r="I172" t="s">
        <v>55</v>
      </c>
      <c r="J172">
        <v>233</v>
      </c>
      <c r="K172">
        <v>3</v>
      </c>
      <c r="L172" t="s">
        <v>41</v>
      </c>
      <c r="M172">
        <v>51</v>
      </c>
      <c r="N172">
        <v>3</v>
      </c>
      <c r="O172">
        <v>1</v>
      </c>
      <c r="P172" t="s">
        <v>42</v>
      </c>
      <c r="Q172">
        <v>2</v>
      </c>
      <c r="R172" t="s">
        <v>43</v>
      </c>
      <c r="S172">
        <v>3058</v>
      </c>
      <c r="T172">
        <v>13364</v>
      </c>
      <c r="U172">
        <v>0</v>
      </c>
      <c r="V172" t="s">
        <v>31</v>
      </c>
      <c r="W172">
        <v>16</v>
      </c>
      <c r="X172">
        <v>3</v>
      </c>
      <c r="Y172">
        <v>4</v>
      </c>
      <c r="Z172">
        <v>1</v>
      </c>
      <c r="AA172">
        <v>6</v>
      </c>
      <c r="AB172" t="str">
        <f>IF(Table2[[#This Row],[TotalWorkingYears]]&lt;=5,"Early (0-5)",IF(Table2[[#This Row],[TotalWorkingYears]]&lt;=15,"Mid (6-15)","Senior (16+)"))</f>
        <v>Mid (6-15)</v>
      </c>
      <c r="AC172">
        <v>3</v>
      </c>
      <c r="AD172">
        <v>2</v>
      </c>
      <c r="AE172" t="s">
        <v>64</v>
      </c>
      <c r="AF172">
        <v>2</v>
      </c>
      <c r="AG172">
        <v>1</v>
      </c>
      <c r="AH172">
        <v>1</v>
      </c>
    </row>
    <row r="173" spans="1:34" x14ac:dyDescent="0.3">
      <c r="A173" t="s">
        <v>60</v>
      </c>
      <c r="B173">
        <v>1</v>
      </c>
      <c r="C173" t="s">
        <v>39</v>
      </c>
      <c r="D173">
        <v>602</v>
      </c>
      <c r="E173" t="s">
        <v>33</v>
      </c>
      <c r="F173">
        <v>1</v>
      </c>
      <c r="G173" t="str">
        <f>IF(Table2[[#This Row],[DistanceFromHome]]&lt;=5, "short", IF(Table2[[#This Row],[DistanceFromHome]]&lt;=15, "medium", "long"))</f>
        <v>short</v>
      </c>
      <c r="H173">
        <v>1</v>
      </c>
      <c r="I173" t="s">
        <v>55</v>
      </c>
      <c r="J173">
        <v>235</v>
      </c>
      <c r="K173">
        <v>3</v>
      </c>
      <c r="L173" t="s">
        <v>35</v>
      </c>
      <c r="M173">
        <v>100</v>
      </c>
      <c r="N173">
        <v>1</v>
      </c>
      <c r="O173">
        <v>1</v>
      </c>
      <c r="P173" t="s">
        <v>52</v>
      </c>
      <c r="Q173">
        <v>1</v>
      </c>
      <c r="R173" t="s">
        <v>37</v>
      </c>
      <c r="S173">
        <v>2325</v>
      </c>
      <c r="T173">
        <v>20989</v>
      </c>
      <c r="U173">
        <v>0</v>
      </c>
      <c r="V173" t="s">
        <v>38</v>
      </c>
      <c r="W173">
        <v>21</v>
      </c>
      <c r="X173">
        <v>4</v>
      </c>
      <c r="Y173">
        <v>1</v>
      </c>
      <c r="Z173">
        <v>0</v>
      </c>
      <c r="AA173">
        <v>1</v>
      </c>
      <c r="AB173" t="str">
        <f>IF(Table2[[#This Row],[TotalWorkingYears]]&lt;=5,"Early (0-5)",IF(Table2[[#This Row],[TotalWorkingYears]]&lt;=15,"Mid (6-15)","Senior (16+)"))</f>
        <v>Early (0-5)</v>
      </c>
      <c r="AC173">
        <v>5</v>
      </c>
      <c r="AD173">
        <v>4</v>
      </c>
      <c r="AE173" t="s">
        <v>63</v>
      </c>
      <c r="AF173">
        <v>0</v>
      </c>
      <c r="AG173">
        <v>0</v>
      </c>
      <c r="AH173">
        <v>0</v>
      </c>
    </row>
    <row r="174" spans="1:34" x14ac:dyDescent="0.3">
      <c r="A174" t="s">
        <v>57</v>
      </c>
      <c r="B174">
        <v>0</v>
      </c>
      <c r="C174" t="s">
        <v>39</v>
      </c>
      <c r="D174">
        <v>1480</v>
      </c>
      <c r="E174" t="s">
        <v>40</v>
      </c>
      <c r="F174">
        <v>3</v>
      </c>
      <c r="G174" t="str">
        <f>IF(Table2[[#This Row],[DistanceFromHome]]&lt;=5, "short", IF(Table2[[#This Row],[DistanceFromHome]]&lt;=15, "medium", "long"))</f>
        <v>short</v>
      </c>
      <c r="H174">
        <v>2</v>
      </c>
      <c r="I174" t="s">
        <v>46</v>
      </c>
      <c r="J174">
        <v>238</v>
      </c>
      <c r="K174">
        <v>4</v>
      </c>
      <c r="L174" t="s">
        <v>41</v>
      </c>
      <c r="M174">
        <v>30</v>
      </c>
      <c r="N174">
        <v>3</v>
      </c>
      <c r="O174">
        <v>1</v>
      </c>
      <c r="P174" t="s">
        <v>45</v>
      </c>
      <c r="Q174">
        <v>2</v>
      </c>
      <c r="R174" t="s">
        <v>37</v>
      </c>
      <c r="S174">
        <v>2088</v>
      </c>
      <c r="T174">
        <v>15062</v>
      </c>
      <c r="U174">
        <v>4</v>
      </c>
      <c r="V174" t="s">
        <v>38</v>
      </c>
      <c r="W174">
        <v>12</v>
      </c>
      <c r="X174">
        <v>3</v>
      </c>
      <c r="Y174">
        <v>3</v>
      </c>
      <c r="Z174">
        <v>0</v>
      </c>
      <c r="AA174">
        <v>13</v>
      </c>
      <c r="AB174" t="str">
        <f>IF(Table2[[#This Row],[TotalWorkingYears]]&lt;=5,"Early (0-5)",IF(Table2[[#This Row],[TotalWorkingYears]]&lt;=15,"Mid (6-15)","Senior (16+)"))</f>
        <v>Mid (6-15)</v>
      </c>
      <c r="AC174">
        <v>3</v>
      </c>
      <c r="AD174">
        <v>2</v>
      </c>
      <c r="AE174" t="s">
        <v>62</v>
      </c>
      <c r="AF174">
        <v>7</v>
      </c>
      <c r="AG174">
        <v>7</v>
      </c>
      <c r="AH174">
        <v>2</v>
      </c>
    </row>
    <row r="175" spans="1:34" x14ac:dyDescent="0.3">
      <c r="A175" t="s">
        <v>59</v>
      </c>
      <c r="B175">
        <v>0</v>
      </c>
      <c r="C175" t="s">
        <v>50</v>
      </c>
      <c r="D175">
        <v>111</v>
      </c>
      <c r="E175" t="s">
        <v>40</v>
      </c>
      <c r="F175">
        <v>9</v>
      </c>
      <c r="G175" t="str">
        <f>IF(Table2[[#This Row],[DistanceFromHome]]&lt;=5, "short", IF(Table2[[#This Row],[DistanceFromHome]]&lt;=15, "medium", "long"))</f>
        <v>medium</v>
      </c>
      <c r="H175">
        <v>3</v>
      </c>
      <c r="I175" t="s">
        <v>46</v>
      </c>
      <c r="J175">
        <v>239</v>
      </c>
      <c r="K175">
        <v>3</v>
      </c>
      <c r="L175" t="s">
        <v>41</v>
      </c>
      <c r="M175">
        <v>66</v>
      </c>
      <c r="N175">
        <v>3</v>
      </c>
      <c r="O175">
        <v>2</v>
      </c>
      <c r="P175" t="s">
        <v>45</v>
      </c>
      <c r="Q175">
        <v>1</v>
      </c>
      <c r="R175" t="s">
        <v>47</v>
      </c>
      <c r="S175">
        <v>3072</v>
      </c>
      <c r="T175">
        <v>11012</v>
      </c>
      <c r="U175">
        <v>1</v>
      </c>
      <c r="V175" t="s">
        <v>38</v>
      </c>
      <c r="W175">
        <v>11</v>
      </c>
      <c r="X175">
        <v>3</v>
      </c>
      <c r="Y175">
        <v>3</v>
      </c>
      <c r="Z175">
        <v>2</v>
      </c>
      <c r="AA175">
        <v>12</v>
      </c>
      <c r="AB175" t="str">
        <f>IF(Table2[[#This Row],[TotalWorkingYears]]&lt;=5,"Early (0-5)",IF(Table2[[#This Row],[TotalWorkingYears]]&lt;=15,"Mid (6-15)","Senior (16+)"))</f>
        <v>Mid (6-15)</v>
      </c>
      <c r="AC175">
        <v>4</v>
      </c>
      <c r="AD175">
        <v>3</v>
      </c>
      <c r="AE175" t="s">
        <v>65</v>
      </c>
      <c r="AF175">
        <v>9</v>
      </c>
      <c r="AG175">
        <v>6</v>
      </c>
      <c r="AH175">
        <v>10</v>
      </c>
    </row>
    <row r="176" spans="1:34" x14ac:dyDescent="0.3">
      <c r="A176" t="s">
        <v>57</v>
      </c>
      <c r="B176">
        <v>0</v>
      </c>
      <c r="C176" t="s">
        <v>32</v>
      </c>
      <c r="D176">
        <v>1268</v>
      </c>
      <c r="E176" t="s">
        <v>33</v>
      </c>
      <c r="F176">
        <v>4</v>
      </c>
      <c r="G176" t="str">
        <f>IF(Table2[[#This Row],[DistanceFromHome]]&lt;=5, "short", IF(Table2[[#This Row],[DistanceFromHome]]&lt;=15, "medium", "long"))</f>
        <v>short</v>
      </c>
      <c r="H176">
        <v>2</v>
      </c>
      <c r="I176" t="s">
        <v>34</v>
      </c>
      <c r="J176">
        <v>240</v>
      </c>
      <c r="K176">
        <v>3</v>
      </c>
      <c r="L176" t="s">
        <v>35</v>
      </c>
      <c r="M176">
        <v>30</v>
      </c>
      <c r="N176">
        <v>3</v>
      </c>
      <c r="O176">
        <v>2</v>
      </c>
      <c r="P176" t="s">
        <v>36</v>
      </c>
      <c r="Q176">
        <v>1</v>
      </c>
      <c r="R176" t="s">
        <v>47</v>
      </c>
      <c r="S176">
        <v>5006</v>
      </c>
      <c r="T176">
        <v>6319</v>
      </c>
      <c r="U176">
        <v>4</v>
      </c>
      <c r="V176" t="s">
        <v>31</v>
      </c>
      <c r="W176">
        <v>11</v>
      </c>
      <c r="X176">
        <v>3</v>
      </c>
      <c r="Y176">
        <v>1</v>
      </c>
      <c r="Z176">
        <v>1</v>
      </c>
      <c r="AA176">
        <v>9</v>
      </c>
      <c r="AB176" t="str">
        <f>IF(Table2[[#This Row],[TotalWorkingYears]]&lt;=5,"Early (0-5)",IF(Table2[[#This Row],[TotalWorkingYears]]&lt;=15,"Mid (6-15)","Senior (16+)"))</f>
        <v>Mid (6-15)</v>
      </c>
      <c r="AC176">
        <v>3</v>
      </c>
      <c r="AD176">
        <v>4</v>
      </c>
      <c r="AE176" t="s">
        <v>64</v>
      </c>
      <c r="AF176">
        <v>4</v>
      </c>
      <c r="AG176">
        <v>0</v>
      </c>
      <c r="AH176">
        <v>3</v>
      </c>
    </row>
    <row r="177" spans="1:34" x14ac:dyDescent="0.3">
      <c r="A177" t="s">
        <v>58</v>
      </c>
      <c r="B177">
        <v>0</v>
      </c>
      <c r="C177" t="s">
        <v>32</v>
      </c>
      <c r="D177">
        <v>713</v>
      </c>
      <c r="E177" t="s">
        <v>40</v>
      </c>
      <c r="F177">
        <v>8</v>
      </c>
      <c r="G177" t="str">
        <f>IF(Table2[[#This Row],[DistanceFromHome]]&lt;=5, "short", IF(Table2[[#This Row],[DistanceFromHome]]&lt;=15, "medium", "long"))</f>
        <v>medium</v>
      </c>
      <c r="H177">
        <v>3</v>
      </c>
      <c r="I177" t="s">
        <v>34</v>
      </c>
      <c r="J177">
        <v>241</v>
      </c>
      <c r="K177">
        <v>3</v>
      </c>
      <c r="L177" t="s">
        <v>35</v>
      </c>
      <c r="M177">
        <v>67</v>
      </c>
      <c r="N177">
        <v>3</v>
      </c>
      <c r="O177">
        <v>1</v>
      </c>
      <c r="P177" t="s">
        <v>42</v>
      </c>
      <c r="Q177">
        <v>1</v>
      </c>
      <c r="R177" t="s">
        <v>47</v>
      </c>
      <c r="S177">
        <v>4257</v>
      </c>
      <c r="T177">
        <v>13939</v>
      </c>
      <c r="U177">
        <v>4</v>
      </c>
      <c r="V177" t="s">
        <v>31</v>
      </c>
      <c r="W177">
        <v>18</v>
      </c>
      <c r="X177">
        <v>3</v>
      </c>
      <c r="Y177">
        <v>3</v>
      </c>
      <c r="Z177">
        <v>1</v>
      </c>
      <c r="AA177">
        <v>19</v>
      </c>
      <c r="AB177" t="str">
        <f>IF(Table2[[#This Row],[TotalWorkingYears]]&lt;=5,"Early (0-5)",IF(Table2[[#This Row],[TotalWorkingYears]]&lt;=15,"Mid (6-15)","Senior (16+)"))</f>
        <v>Senior (16+)</v>
      </c>
      <c r="AC177">
        <v>3</v>
      </c>
      <c r="AD177">
        <v>3</v>
      </c>
      <c r="AE177" t="s">
        <v>63</v>
      </c>
      <c r="AF177">
        <v>2</v>
      </c>
      <c r="AG177">
        <v>2</v>
      </c>
      <c r="AH177">
        <v>2</v>
      </c>
    </row>
    <row r="178" spans="1:34" x14ac:dyDescent="0.3">
      <c r="A178" t="s">
        <v>59</v>
      </c>
      <c r="B178">
        <v>0</v>
      </c>
      <c r="C178" t="s">
        <v>32</v>
      </c>
      <c r="D178">
        <v>134</v>
      </c>
      <c r="E178" t="s">
        <v>40</v>
      </c>
      <c r="F178">
        <v>2</v>
      </c>
      <c r="G178" t="str">
        <f>IF(Table2[[#This Row],[DistanceFromHome]]&lt;=5, "short", IF(Table2[[#This Row],[DistanceFromHome]]&lt;=15, "medium", "long"))</f>
        <v>short</v>
      </c>
      <c r="H178">
        <v>3</v>
      </c>
      <c r="I178" t="s">
        <v>34</v>
      </c>
      <c r="J178">
        <v>242</v>
      </c>
      <c r="K178">
        <v>3</v>
      </c>
      <c r="L178" t="s">
        <v>41</v>
      </c>
      <c r="M178">
        <v>90</v>
      </c>
      <c r="N178">
        <v>3</v>
      </c>
      <c r="O178">
        <v>1</v>
      </c>
      <c r="P178" t="s">
        <v>42</v>
      </c>
      <c r="Q178">
        <v>4</v>
      </c>
      <c r="R178" t="s">
        <v>37</v>
      </c>
      <c r="S178">
        <v>2500</v>
      </c>
      <c r="T178">
        <v>10515</v>
      </c>
      <c r="U178">
        <v>0</v>
      </c>
      <c r="V178" t="s">
        <v>38</v>
      </c>
      <c r="W178">
        <v>14</v>
      </c>
      <c r="X178">
        <v>3</v>
      </c>
      <c r="Y178">
        <v>1</v>
      </c>
      <c r="Z178">
        <v>0</v>
      </c>
      <c r="AA178">
        <v>4</v>
      </c>
      <c r="AB178" t="str">
        <f>IF(Table2[[#This Row],[TotalWorkingYears]]&lt;=5,"Early (0-5)",IF(Table2[[#This Row],[TotalWorkingYears]]&lt;=15,"Mid (6-15)","Senior (16+)"))</f>
        <v>Early (0-5)</v>
      </c>
      <c r="AC178">
        <v>2</v>
      </c>
      <c r="AD178">
        <v>4</v>
      </c>
      <c r="AE178" t="s">
        <v>64</v>
      </c>
      <c r="AF178">
        <v>1</v>
      </c>
      <c r="AG178">
        <v>0</v>
      </c>
      <c r="AH178">
        <v>2</v>
      </c>
    </row>
    <row r="179" spans="1:34" x14ac:dyDescent="0.3">
      <c r="A179" t="s">
        <v>60</v>
      </c>
      <c r="B179">
        <v>1</v>
      </c>
      <c r="C179" t="s">
        <v>32</v>
      </c>
      <c r="D179">
        <v>303</v>
      </c>
      <c r="E179" t="s">
        <v>40</v>
      </c>
      <c r="F179">
        <v>2</v>
      </c>
      <c r="G179" t="str">
        <f>IF(Table2[[#This Row],[DistanceFromHome]]&lt;=5, "short", IF(Table2[[#This Row],[DistanceFromHome]]&lt;=15, "medium", "long"))</f>
        <v>short</v>
      </c>
      <c r="H179">
        <v>3</v>
      </c>
      <c r="I179" t="s">
        <v>34</v>
      </c>
      <c r="J179">
        <v>243</v>
      </c>
      <c r="K179">
        <v>2</v>
      </c>
      <c r="L179" t="s">
        <v>41</v>
      </c>
      <c r="M179">
        <v>47</v>
      </c>
      <c r="N179">
        <v>2</v>
      </c>
      <c r="O179">
        <v>1</v>
      </c>
      <c r="P179" t="s">
        <v>45</v>
      </c>
      <c r="Q179">
        <v>4</v>
      </c>
      <c r="R179" t="s">
        <v>37</v>
      </c>
      <c r="S179">
        <v>1102</v>
      </c>
      <c r="T179">
        <v>9241</v>
      </c>
      <c r="U179">
        <v>1</v>
      </c>
      <c r="V179" t="s">
        <v>38</v>
      </c>
      <c r="W179">
        <v>22</v>
      </c>
      <c r="X179">
        <v>4</v>
      </c>
      <c r="Y179">
        <v>3</v>
      </c>
      <c r="Z179">
        <v>0</v>
      </c>
      <c r="AA179">
        <v>1</v>
      </c>
      <c r="AB179" t="str">
        <f>IF(Table2[[#This Row],[TotalWorkingYears]]&lt;=5,"Early (0-5)",IF(Table2[[#This Row],[TotalWorkingYears]]&lt;=15,"Mid (6-15)","Senior (16+)"))</f>
        <v>Early (0-5)</v>
      </c>
      <c r="AC179">
        <v>3</v>
      </c>
      <c r="AD179">
        <v>2</v>
      </c>
      <c r="AE179" t="s">
        <v>63</v>
      </c>
      <c r="AF179">
        <v>0</v>
      </c>
      <c r="AG179">
        <v>1</v>
      </c>
      <c r="AH179">
        <v>0</v>
      </c>
    </row>
    <row r="180" spans="1:34" x14ac:dyDescent="0.3">
      <c r="A180" t="s">
        <v>58</v>
      </c>
      <c r="B180">
        <v>0</v>
      </c>
      <c r="C180" t="s">
        <v>32</v>
      </c>
      <c r="D180">
        <v>526</v>
      </c>
      <c r="E180" t="s">
        <v>33</v>
      </c>
      <c r="F180">
        <v>1</v>
      </c>
      <c r="G180" t="str">
        <f>IF(Table2[[#This Row],[DistanceFromHome]]&lt;=5, "short", IF(Table2[[#This Row],[DistanceFromHome]]&lt;=15, "medium", "long"))</f>
        <v>short</v>
      </c>
      <c r="H180">
        <v>2</v>
      </c>
      <c r="I180" t="s">
        <v>54</v>
      </c>
      <c r="J180">
        <v>244</v>
      </c>
      <c r="K180">
        <v>2</v>
      </c>
      <c r="L180" t="s">
        <v>35</v>
      </c>
      <c r="M180">
        <v>92</v>
      </c>
      <c r="N180">
        <v>3</v>
      </c>
      <c r="O180">
        <v>3</v>
      </c>
      <c r="P180" t="s">
        <v>36</v>
      </c>
      <c r="Q180">
        <v>1</v>
      </c>
      <c r="R180" t="s">
        <v>47</v>
      </c>
      <c r="S180">
        <v>10453</v>
      </c>
      <c r="T180">
        <v>2137</v>
      </c>
      <c r="U180">
        <v>1</v>
      </c>
      <c r="V180" t="s">
        <v>38</v>
      </c>
      <c r="W180">
        <v>25</v>
      </c>
      <c r="X180">
        <v>4</v>
      </c>
      <c r="Y180">
        <v>3</v>
      </c>
      <c r="Z180">
        <v>3</v>
      </c>
      <c r="AA180">
        <v>24</v>
      </c>
      <c r="AB180" t="str">
        <f>IF(Table2[[#This Row],[TotalWorkingYears]]&lt;=5,"Early (0-5)",IF(Table2[[#This Row],[TotalWorkingYears]]&lt;=15,"Mid (6-15)","Senior (16+)"))</f>
        <v>Senior (16+)</v>
      </c>
      <c r="AC180">
        <v>2</v>
      </c>
      <c r="AD180">
        <v>3</v>
      </c>
      <c r="AE180" t="s">
        <v>65</v>
      </c>
      <c r="AF180">
        <v>13</v>
      </c>
      <c r="AG180">
        <v>15</v>
      </c>
      <c r="AH180">
        <v>7</v>
      </c>
    </row>
    <row r="181" spans="1:34" x14ac:dyDescent="0.3">
      <c r="A181" t="s">
        <v>57</v>
      </c>
      <c r="B181">
        <v>0</v>
      </c>
      <c r="C181" t="s">
        <v>32</v>
      </c>
      <c r="D181">
        <v>1380</v>
      </c>
      <c r="E181" t="s">
        <v>40</v>
      </c>
      <c r="F181">
        <v>9</v>
      </c>
      <c r="G181" t="str">
        <f>IF(Table2[[#This Row],[DistanceFromHome]]&lt;=5, "short", IF(Table2[[#This Row],[DistanceFromHome]]&lt;=15, "medium", "long"))</f>
        <v>medium</v>
      </c>
      <c r="H181">
        <v>2</v>
      </c>
      <c r="I181" t="s">
        <v>34</v>
      </c>
      <c r="J181">
        <v>245</v>
      </c>
      <c r="K181">
        <v>3</v>
      </c>
      <c r="L181" t="s">
        <v>35</v>
      </c>
      <c r="M181">
        <v>75</v>
      </c>
      <c r="N181">
        <v>3</v>
      </c>
      <c r="O181">
        <v>1</v>
      </c>
      <c r="P181" t="s">
        <v>45</v>
      </c>
      <c r="Q181">
        <v>4</v>
      </c>
      <c r="R181" t="s">
        <v>37</v>
      </c>
      <c r="S181">
        <v>2288</v>
      </c>
      <c r="T181">
        <v>6319</v>
      </c>
      <c r="U181">
        <v>1</v>
      </c>
      <c r="V181" t="s">
        <v>38</v>
      </c>
      <c r="W181">
        <v>12</v>
      </c>
      <c r="X181">
        <v>3</v>
      </c>
      <c r="Y181">
        <v>3</v>
      </c>
      <c r="Z181">
        <v>0</v>
      </c>
      <c r="AA181">
        <v>2</v>
      </c>
      <c r="AB181" t="str">
        <f>IF(Table2[[#This Row],[TotalWorkingYears]]&lt;=5,"Early (0-5)",IF(Table2[[#This Row],[TotalWorkingYears]]&lt;=15,"Mid (6-15)","Senior (16+)"))</f>
        <v>Early (0-5)</v>
      </c>
      <c r="AC181">
        <v>3</v>
      </c>
      <c r="AD181">
        <v>3</v>
      </c>
      <c r="AE181" t="s">
        <v>63</v>
      </c>
      <c r="AF181">
        <v>2</v>
      </c>
      <c r="AG181">
        <v>2</v>
      </c>
      <c r="AH181">
        <v>1</v>
      </c>
    </row>
    <row r="182" spans="1:34" x14ac:dyDescent="0.3">
      <c r="A182" t="s">
        <v>59</v>
      </c>
      <c r="B182">
        <v>0</v>
      </c>
      <c r="C182" t="s">
        <v>32</v>
      </c>
      <c r="D182">
        <v>140</v>
      </c>
      <c r="E182" t="s">
        <v>40</v>
      </c>
      <c r="F182">
        <v>12</v>
      </c>
      <c r="G182" t="str">
        <f>IF(Table2[[#This Row],[DistanceFromHome]]&lt;=5, "short", IF(Table2[[#This Row],[DistanceFromHome]]&lt;=15, "medium", "long"))</f>
        <v>medium</v>
      </c>
      <c r="H182">
        <v>1</v>
      </c>
      <c r="I182" t="s">
        <v>46</v>
      </c>
      <c r="J182">
        <v>246</v>
      </c>
      <c r="K182">
        <v>3</v>
      </c>
      <c r="L182" t="s">
        <v>35</v>
      </c>
      <c r="M182">
        <v>95</v>
      </c>
      <c r="N182">
        <v>3</v>
      </c>
      <c r="O182">
        <v>1</v>
      </c>
      <c r="P182" t="s">
        <v>42</v>
      </c>
      <c r="Q182">
        <v>4</v>
      </c>
      <c r="R182" t="s">
        <v>43</v>
      </c>
      <c r="S182">
        <v>3929</v>
      </c>
      <c r="T182">
        <v>6984</v>
      </c>
      <c r="U182">
        <v>8</v>
      </c>
      <c r="V182" t="s">
        <v>31</v>
      </c>
      <c r="W182">
        <v>23</v>
      </c>
      <c r="X182">
        <v>4</v>
      </c>
      <c r="Y182">
        <v>3</v>
      </c>
      <c r="Z182">
        <v>1</v>
      </c>
      <c r="AA182">
        <v>7</v>
      </c>
      <c r="AB182" t="str">
        <f>IF(Table2[[#This Row],[TotalWorkingYears]]&lt;=5,"Early (0-5)",IF(Table2[[#This Row],[TotalWorkingYears]]&lt;=15,"Mid (6-15)","Senior (16+)"))</f>
        <v>Mid (6-15)</v>
      </c>
      <c r="AC182">
        <v>0</v>
      </c>
      <c r="AD182">
        <v>3</v>
      </c>
      <c r="AE182" t="s">
        <v>64</v>
      </c>
      <c r="AF182">
        <v>2</v>
      </c>
      <c r="AG182">
        <v>0</v>
      </c>
      <c r="AH182">
        <v>2</v>
      </c>
    </row>
    <row r="183" spans="1:34" x14ac:dyDescent="0.3">
      <c r="A183" t="s">
        <v>59</v>
      </c>
      <c r="B183">
        <v>0</v>
      </c>
      <c r="C183" t="s">
        <v>32</v>
      </c>
      <c r="D183">
        <v>629</v>
      </c>
      <c r="E183" t="s">
        <v>40</v>
      </c>
      <c r="F183">
        <v>27</v>
      </c>
      <c r="G183" t="str">
        <f>IF(Table2[[#This Row],[DistanceFromHome]]&lt;=5, "short", IF(Table2[[#This Row],[DistanceFromHome]]&lt;=15, "medium", "long"))</f>
        <v>long</v>
      </c>
      <c r="H183">
        <v>2</v>
      </c>
      <c r="I183" t="s">
        <v>46</v>
      </c>
      <c r="J183">
        <v>247</v>
      </c>
      <c r="K183">
        <v>4</v>
      </c>
      <c r="L183" t="s">
        <v>35</v>
      </c>
      <c r="M183">
        <v>95</v>
      </c>
      <c r="N183">
        <v>3</v>
      </c>
      <c r="O183">
        <v>1</v>
      </c>
      <c r="P183" t="s">
        <v>42</v>
      </c>
      <c r="Q183">
        <v>2</v>
      </c>
      <c r="R183" t="s">
        <v>37</v>
      </c>
      <c r="S183">
        <v>2311</v>
      </c>
      <c r="T183">
        <v>5711</v>
      </c>
      <c r="U183">
        <v>2</v>
      </c>
      <c r="V183" t="s">
        <v>38</v>
      </c>
      <c r="W183">
        <v>15</v>
      </c>
      <c r="X183">
        <v>3</v>
      </c>
      <c r="Y183">
        <v>4</v>
      </c>
      <c r="Z183">
        <v>0</v>
      </c>
      <c r="AA183">
        <v>9</v>
      </c>
      <c r="AB183" t="str">
        <f>IF(Table2[[#This Row],[TotalWorkingYears]]&lt;=5,"Early (0-5)",IF(Table2[[#This Row],[TotalWorkingYears]]&lt;=15,"Mid (6-15)","Senior (16+)"))</f>
        <v>Mid (6-15)</v>
      </c>
      <c r="AC183">
        <v>3</v>
      </c>
      <c r="AD183">
        <v>3</v>
      </c>
      <c r="AE183" t="s">
        <v>64</v>
      </c>
      <c r="AF183">
        <v>2</v>
      </c>
      <c r="AG183">
        <v>1</v>
      </c>
      <c r="AH183">
        <v>2</v>
      </c>
    </row>
    <row r="184" spans="1:34" x14ac:dyDescent="0.3">
      <c r="A184" t="s">
        <v>57</v>
      </c>
      <c r="B184">
        <v>1</v>
      </c>
      <c r="C184" t="s">
        <v>32</v>
      </c>
      <c r="D184">
        <v>1356</v>
      </c>
      <c r="E184" t="s">
        <v>33</v>
      </c>
      <c r="F184">
        <v>20</v>
      </c>
      <c r="G184" t="str">
        <f>IF(Table2[[#This Row],[DistanceFromHome]]&lt;=5, "short", IF(Table2[[#This Row],[DistanceFromHome]]&lt;=15, "medium", "long"))</f>
        <v>long</v>
      </c>
      <c r="H184">
        <v>2</v>
      </c>
      <c r="I184" t="s">
        <v>54</v>
      </c>
      <c r="J184">
        <v>248</v>
      </c>
      <c r="K184">
        <v>2</v>
      </c>
      <c r="L184" t="s">
        <v>35</v>
      </c>
      <c r="M184">
        <v>70</v>
      </c>
      <c r="N184">
        <v>3</v>
      </c>
      <c r="O184">
        <v>1</v>
      </c>
      <c r="P184" t="s">
        <v>52</v>
      </c>
      <c r="Q184">
        <v>2</v>
      </c>
      <c r="R184" t="s">
        <v>37</v>
      </c>
      <c r="S184">
        <v>3140</v>
      </c>
      <c r="T184">
        <v>21728</v>
      </c>
      <c r="U184">
        <v>1</v>
      </c>
      <c r="V184" t="s">
        <v>31</v>
      </c>
      <c r="W184">
        <v>22</v>
      </c>
      <c r="X184">
        <v>4</v>
      </c>
      <c r="Y184">
        <v>4</v>
      </c>
      <c r="Z184">
        <v>0</v>
      </c>
      <c r="AA184">
        <v>4</v>
      </c>
      <c r="AB184" t="str">
        <f>IF(Table2[[#This Row],[TotalWorkingYears]]&lt;=5,"Early (0-5)",IF(Table2[[#This Row],[TotalWorkingYears]]&lt;=15,"Mid (6-15)","Senior (16+)"))</f>
        <v>Early (0-5)</v>
      </c>
      <c r="AC184">
        <v>5</v>
      </c>
      <c r="AD184">
        <v>2</v>
      </c>
      <c r="AE184" t="s">
        <v>64</v>
      </c>
      <c r="AF184">
        <v>3</v>
      </c>
      <c r="AG184">
        <v>0</v>
      </c>
      <c r="AH184">
        <v>2</v>
      </c>
    </row>
    <row r="185" spans="1:34" x14ac:dyDescent="0.3">
      <c r="A185" t="s">
        <v>58</v>
      </c>
      <c r="B185">
        <v>0</v>
      </c>
      <c r="C185" t="s">
        <v>32</v>
      </c>
      <c r="D185">
        <v>328</v>
      </c>
      <c r="E185" t="s">
        <v>40</v>
      </c>
      <c r="F185">
        <v>1</v>
      </c>
      <c r="G185" t="str">
        <f>IF(Table2[[#This Row],[DistanceFromHome]]&lt;=5, "short", IF(Table2[[#This Row],[DistanceFromHome]]&lt;=15, "medium", "long"))</f>
        <v>short</v>
      </c>
      <c r="H185">
        <v>3</v>
      </c>
      <c r="I185" t="s">
        <v>46</v>
      </c>
      <c r="J185">
        <v>249</v>
      </c>
      <c r="K185">
        <v>3</v>
      </c>
      <c r="L185" t="s">
        <v>41</v>
      </c>
      <c r="M185">
        <v>86</v>
      </c>
      <c r="N185">
        <v>2</v>
      </c>
      <c r="O185">
        <v>1</v>
      </c>
      <c r="P185" t="s">
        <v>45</v>
      </c>
      <c r="Q185">
        <v>3</v>
      </c>
      <c r="R185" t="s">
        <v>43</v>
      </c>
      <c r="S185">
        <v>3690</v>
      </c>
      <c r="T185">
        <v>3425</v>
      </c>
      <c r="U185">
        <v>2</v>
      </c>
      <c r="V185" t="s">
        <v>38</v>
      </c>
      <c r="W185">
        <v>15</v>
      </c>
      <c r="X185">
        <v>3</v>
      </c>
      <c r="Y185">
        <v>4</v>
      </c>
      <c r="Z185">
        <v>1</v>
      </c>
      <c r="AA185">
        <v>5</v>
      </c>
      <c r="AB185" t="str">
        <f>IF(Table2[[#This Row],[TotalWorkingYears]]&lt;=5,"Early (0-5)",IF(Table2[[#This Row],[TotalWorkingYears]]&lt;=15,"Mid (6-15)","Senior (16+)"))</f>
        <v>Early (0-5)</v>
      </c>
      <c r="AC185">
        <v>2</v>
      </c>
      <c r="AD185">
        <v>2</v>
      </c>
      <c r="AE185" t="s">
        <v>64</v>
      </c>
      <c r="AF185">
        <v>2</v>
      </c>
      <c r="AG185">
        <v>0</v>
      </c>
      <c r="AH185">
        <v>2</v>
      </c>
    </row>
    <row r="186" spans="1:34" x14ac:dyDescent="0.3">
      <c r="A186" t="s">
        <v>58</v>
      </c>
      <c r="B186">
        <v>0</v>
      </c>
      <c r="C186" t="s">
        <v>32</v>
      </c>
      <c r="D186">
        <v>1084</v>
      </c>
      <c r="E186" t="s">
        <v>40</v>
      </c>
      <c r="F186">
        <v>13</v>
      </c>
      <c r="G186" t="str">
        <f>IF(Table2[[#This Row],[DistanceFromHome]]&lt;=5, "short", IF(Table2[[#This Row],[DistanceFromHome]]&lt;=15, "medium", "long"))</f>
        <v>medium</v>
      </c>
      <c r="H186">
        <v>2</v>
      </c>
      <c r="I186" t="s">
        <v>46</v>
      </c>
      <c r="J186">
        <v>250</v>
      </c>
      <c r="K186">
        <v>4</v>
      </c>
      <c r="L186" t="s">
        <v>35</v>
      </c>
      <c r="M186">
        <v>57</v>
      </c>
      <c r="N186">
        <v>4</v>
      </c>
      <c r="O186">
        <v>2</v>
      </c>
      <c r="P186" t="s">
        <v>48</v>
      </c>
      <c r="Q186">
        <v>1</v>
      </c>
      <c r="R186" t="s">
        <v>47</v>
      </c>
      <c r="S186">
        <v>4450</v>
      </c>
      <c r="T186">
        <v>26250</v>
      </c>
      <c r="U186">
        <v>1</v>
      </c>
      <c r="V186" t="s">
        <v>38</v>
      </c>
      <c r="W186">
        <v>11</v>
      </c>
      <c r="X186">
        <v>3</v>
      </c>
      <c r="Y186">
        <v>3</v>
      </c>
      <c r="Z186">
        <v>2</v>
      </c>
      <c r="AA186">
        <v>5</v>
      </c>
      <c r="AB186" t="str">
        <f>IF(Table2[[#This Row],[TotalWorkingYears]]&lt;=5,"Early (0-5)",IF(Table2[[#This Row],[TotalWorkingYears]]&lt;=15,"Mid (6-15)","Senior (16+)"))</f>
        <v>Early (0-5)</v>
      </c>
      <c r="AC186">
        <v>3</v>
      </c>
      <c r="AD186">
        <v>3</v>
      </c>
      <c r="AE186" t="s">
        <v>64</v>
      </c>
      <c r="AF186">
        <v>2</v>
      </c>
      <c r="AG186">
        <v>1</v>
      </c>
      <c r="AH186">
        <v>3</v>
      </c>
    </row>
    <row r="187" spans="1:34" x14ac:dyDescent="0.3">
      <c r="A187" t="s">
        <v>59</v>
      </c>
      <c r="B187">
        <v>0</v>
      </c>
      <c r="C187" t="s">
        <v>32</v>
      </c>
      <c r="D187">
        <v>931</v>
      </c>
      <c r="E187" t="s">
        <v>40</v>
      </c>
      <c r="F187">
        <v>14</v>
      </c>
      <c r="G187" t="str">
        <f>IF(Table2[[#This Row],[DistanceFromHome]]&lt;=5, "short", IF(Table2[[#This Row],[DistanceFromHome]]&lt;=15, "medium", "long"))</f>
        <v>medium</v>
      </c>
      <c r="H187">
        <v>3</v>
      </c>
      <c r="I187" t="s">
        <v>46</v>
      </c>
      <c r="J187">
        <v>252</v>
      </c>
      <c r="K187">
        <v>4</v>
      </c>
      <c r="L187" t="s">
        <v>35</v>
      </c>
      <c r="M187">
        <v>72</v>
      </c>
      <c r="N187">
        <v>3</v>
      </c>
      <c r="O187">
        <v>1</v>
      </c>
      <c r="P187" t="s">
        <v>42</v>
      </c>
      <c r="Q187">
        <v>2</v>
      </c>
      <c r="R187" t="s">
        <v>43</v>
      </c>
      <c r="S187">
        <v>2756</v>
      </c>
      <c r="T187">
        <v>4673</v>
      </c>
      <c r="U187">
        <v>1</v>
      </c>
      <c r="V187" t="s">
        <v>38</v>
      </c>
      <c r="W187">
        <v>13</v>
      </c>
      <c r="X187">
        <v>3</v>
      </c>
      <c r="Y187">
        <v>4</v>
      </c>
      <c r="Z187">
        <v>1</v>
      </c>
      <c r="AA187">
        <v>8</v>
      </c>
      <c r="AB187" t="str">
        <f>IF(Table2[[#This Row],[TotalWorkingYears]]&lt;=5,"Early (0-5)",IF(Table2[[#This Row],[TotalWorkingYears]]&lt;=15,"Mid (6-15)","Senior (16+)"))</f>
        <v>Mid (6-15)</v>
      </c>
      <c r="AC187">
        <v>5</v>
      </c>
      <c r="AD187">
        <v>3</v>
      </c>
      <c r="AE187" t="s">
        <v>62</v>
      </c>
      <c r="AF187">
        <v>7</v>
      </c>
      <c r="AG187">
        <v>1</v>
      </c>
      <c r="AH187">
        <v>6</v>
      </c>
    </row>
    <row r="188" spans="1:34" x14ac:dyDescent="0.3">
      <c r="A188" t="s">
        <v>57</v>
      </c>
      <c r="B188">
        <v>0</v>
      </c>
      <c r="C188" t="s">
        <v>32</v>
      </c>
      <c r="D188">
        <v>989</v>
      </c>
      <c r="E188" t="s">
        <v>40</v>
      </c>
      <c r="F188">
        <v>4</v>
      </c>
      <c r="G188" t="str">
        <f>IF(Table2[[#This Row],[DistanceFromHome]]&lt;=5, "short", IF(Table2[[#This Row],[DistanceFromHome]]&lt;=15, "medium", "long"))</f>
        <v>short</v>
      </c>
      <c r="H188">
        <v>1</v>
      </c>
      <c r="I188" t="s">
        <v>46</v>
      </c>
      <c r="J188">
        <v>253</v>
      </c>
      <c r="K188">
        <v>4</v>
      </c>
      <c r="L188" t="s">
        <v>35</v>
      </c>
      <c r="M188">
        <v>46</v>
      </c>
      <c r="N188">
        <v>3</v>
      </c>
      <c r="O188">
        <v>5</v>
      </c>
      <c r="P188" t="s">
        <v>51</v>
      </c>
      <c r="Q188">
        <v>3</v>
      </c>
      <c r="R188" t="s">
        <v>43</v>
      </c>
      <c r="S188">
        <v>19033</v>
      </c>
      <c r="T188">
        <v>6499</v>
      </c>
      <c r="U188">
        <v>1</v>
      </c>
      <c r="V188" t="s">
        <v>38</v>
      </c>
      <c r="W188">
        <v>14</v>
      </c>
      <c r="X188">
        <v>3</v>
      </c>
      <c r="Y188">
        <v>2</v>
      </c>
      <c r="Z188">
        <v>1</v>
      </c>
      <c r="AA188">
        <v>21</v>
      </c>
      <c r="AB188" t="str">
        <f>IF(Table2[[#This Row],[TotalWorkingYears]]&lt;=5,"Early (0-5)",IF(Table2[[#This Row],[TotalWorkingYears]]&lt;=15,"Mid (6-15)","Senior (16+)"))</f>
        <v>Senior (16+)</v>
      </c>
      <c r="AC188">
        <v>2</v>
      </c>
      <c r="AD188">
        <v>3</v>
      </c>
      <c r="AE188" t="s">
        <v>65</v>
      </c>
      <c r="AF188">
        <v>8</v>
      </c>
      <c r="AG188">
        <v>9</v>
      </c>
      <c r="AH188">
        <v>9</v>
      </c>
    </row>
    <row r="189" spans="1:34" x14ac:dyDescent="0.3">
      <c r="A189" t="s">
        <v>58</v>
      </c>
      <c r="B189">
        <v>0</v>
      </c>
      <c r="C189" t="s">
        <v>32</v>
      </c>
      <c r="D189">
        <v>692</v>
      </c>
      <c r="E189" t="s">
        <v>40</v>
      </c>
      <c r="F189">
        <v>14</v>
      </c>
      <c r="G189" t="str">
        <f>IF(Table2[[#This Row],[DistanceFromHome]]&lt;=5, "short", IF(Table2[[#This Row],[DistanceFromHome]]&lt;=15, "medium", "long"))</f>
        <v>medium</v>
      </c>
      <c r="H189">
        <v>4</v>
      </c>
      <c r="I189" t="s">
        <v>46</v>
      </c>
      <c r="J189">
        <v>254</v>
      </c>
      <c r="K189">
        <v>3</v>
      </c>
      <c r="L189" t="s">
        <v>41</v>
      </c>
      <c r="M189">
        <v>61</v>
      </c>
      <c r="N189">
        <v>4</v>
      </c>
      <c r="O189">
        <v>5</v>
      </c>
      <c r="P189" t="s">
        <v>53</v>
      </c>
      <c r="Q189">
        <v>2</v>
      </c>
      <c r="R189" t="s">
        <v>37</v>
      </c>
      <c r="S189">
        <v>18722</v>
      </c>
      <c r="T189">
        <v>13339</v>
      </c>
      <c r="U189">
        <v>8</v>
      </c>
      <c r="V189" t="s">
        <v>38</v>
      </c>
      <c r="W189">
        <v>11</v>
      </c>
      <c r="X189">
        <v>3</v>
      </c>
      <c r="Y189">
        <v>4</v>
      </c>
      <c r="Z189">
        <v>0</v>
      </c>
      <c r="AA189">
        <v>36</v>
      </c>
      <c r="AB189" t="str">
        <f>IF(Table2[[#This Row],[TotalWorkingYears]]&lt;=5,"Early (0-5)",IF(Table2[[#This Row],[TotalWorkingYears]]&lt;=15,"Mid (6-15)","Senior (16+)"))</f>
        <v>Senior (16+)</v>
      </c>
      <c r="AC189">
        <v>3</v>
      </c>
      <c r="AD189">
        <v>3</v>
      </c>
      <c r="AE189" t="s">
        <v>65</v>
      </c>
      <c r="AF189">
        <v>15</v>
      </c>
      <c r="AG189">
        <v>2</v>
      </c>
      <c r="AH189">
        <v>15</v>
      </c>
    </row>
    <row r="190" spans="1:34" x14ac:dyDescent="0.3">
      <c r="A190" t="s">
        <v>59</v>
      </c>
      <c r="B190">
        <v>0</v>
      </c>
      <c r="C190" t="s">
        <v>39</v>
      </c>
      <c r="D190">
        <v>1069</v>
      </c>
      <c r="E190" t="s">
        <v>40</v>
      </c>
      <c r="F190">
        <v>2</v>
      </c>
      <c r="G190" t="str">
        <f>IF(Table2[[#This Row],[DistanceFromHome]]&lt;=5, "short", IF(Table2[[#This Row],[DistanceFromHome]]&lt;=15, "medium", "long"))</f>
        <v>short</v>
      </c>
      <c r="H190">
        <v>1</v>
      </c>
      <c r="I190" t="s">
        <v>34</v>
      </c>
      <c r="J190">
        <v>256</v>
      </c>
      <c r="K190">
        <v>4</v>
      </c>
      <c r="L190" t="s">
        <v>41</v>
      </c>
      <c r="M190">
        <v>45</v>
      </c>
      <c r="N190">
        <v>2</v>
      </c>
      <c r="O190">
        <v>2</v>
      </c>
      <c r="P190" t="s">
        <v>48</v>
      </c>
      <c r="Q190">
        <v>3</v>
      </c>
      <c r="R190" t="s">
        <v>43</v>
      </c>
      <c r="S190">
        <v>9547</v>
      </c>
      <c r="T190">
        <v>14074</v>
      </c>
      <c r="U190">
        <v>1</v>
      </c>
      <c r="V190" t="s">
        <v>38</v>
      </c>
      <c r="W190">
        <v>17</v>
      </c>
      <c r="X190">
        <v>3</v>
      </c>
      <c r="Y190">
        <v>3</v>
      </c>
      <c r="Z190">
        <v>0</v>
      </c>
      <c r="AA190">
        <v>10</v>
      </c>
      <c r="AB190" t="str">
        <f>IF(Table2[[#This Row],[TotalWorkingYears]]&lt;=5,"Early (0-5)",IF(Table2[[#This Row],[TotalWorkingYears]]&lt;=15,"Mid (6-15)","Senior (16+)"))</f>
        <v>Mid (6-15)</v>
      </c>
      <c r="AC190">
        <v>2</v>
      </c>
      <c r="AD190">
        <v>2</v>
      </c>
      <c r="AE190" t="s">
        <v>62</v>
      </c>
      <c r="AF190">
        <v>9</v>
      </c>
      <c r="AG190">
        <v>1</v>
      </c>
      <c r="AH190">
        <v>9</v>
      </c>
    </row>
    <row r="191" spans="1:34" x14ac:dyDescent="0.3">
      <c r="A191" t="s">
        <v>58</v>
      </c>
      <c r="B191">
        <v>0</v>
      </c>
      <c r="C191" t="s">
        <v>32</v>
      </c>
      <c r="D191">
        <v>313</v>
      </c>
      <c r="E191" t="s">
        <v>40</v>
      </c>
      <c r="F191">
        <v>3</v>
      </c>
      <c r="G191" t="str">
        <f>IF(Table2[[#This Row],[DistanceFromHome]]&lt;=5, "short", IF(Table2[[#This Row],[DistanceFromHome]]&lt;=15, "medium", "long"))</f>
        <v>short</v>
      </c>
      <c r="H191">
        <v>3</v>
      </c>
      <c r="I191" t="s">
        <v>46</v>
      </c>
      <c r="J191">
        <v>258</v>
      </c>
      <c r="K191">
        <v>4</v>
      </c>
      <c r="L191" t="s">
        <v>35</v>
      </c>
      <c r="M191">
        <v>98</v>
      </c>
      <c r="N191">
        <v>3</v>
      </c>
      <c r="O191">
        <v>4</v>
      </c>
      <c r="P191" t="s">
        <v>49</v>
      </c>
      <c r="Q191">
        <v>2</v>
      </c>
      <c r="R191" t="s">
        <v>37</v>
      </c>
      <c r="S191">
        <v>13734</v>
      </c>
      <c r="T191">
        <v>7192</v>
      </c>
      <c r="U191">
        <v>3</v>
      </c>
      <c r="V191" t="s">
        <v>38</v>
      </c>
      <c r="W191">
        <v>18</v>
      </c>
      <c r="X191">
        <v>3</v>
      </c>
      <c r="Y191">
        <v>3</v>
      </c>
      <c r="Z191">
        <v>0</v>
      </c>
      <c r="AA191">
        <v>21</v>
      </c>
      <c r="AB191" t="str">
        <f>IF(Table2[[#This Row],[TotalWorkingYears]]&lt;=5,"Early (0-5)",IF(Table2[[#This Row],[TotalWorkingYears]]&lt;=15,"Mid (6-15)","Senior (16+)"))</f>
        <v>Senior (16+)</v>
      </c>
      <c r="AC191">
        <v>6</v>
      </c>
      <c r="AD191">
        <v>3</v>
      </c>
      <c r="AE191" t="s">
        <v>62</v>
      </c>
      <c r="AF191">
        <v>7</v>
      </c>
      <c r="AG191">
        <v>1</v>
      </c>
      <c r="AH191">
        <v>0</v>
      </c>
    </row>
    <row r="192" spans="1:34" x14ac:dyDescent="0.3">
      <c r="A192" t="s">
        <v>58</v>
      </c>
      <c r="B192">
        <v>0</v>
      </c>
      <c r="C192" t="s">
        <v>32</v>
      </c>
      <c r="D192">
        <v>699</v>
      </c>
      <c r="E192" t="s">
        <v>40</v>
      </c>
      <c r="F192">
        <v>1</v>
      </c>
      <c r="G192" t="str">
        <f>IF(Table2[[#This Row],[DistanceFromHome]]&lt;=5, "short", IF(Table2[[#This Row],[DistanceFromHome]]&lt;=15, "medium", "long"))</f>
        <v>short</v>
      </c>
      <c r="H192">
        <v>4</v>
      </c>
      <c r="I192" t="s">
        <v>34</v>
      </c>
      <c r="J192">
        <v>259</v>
      </c>
      <c r="K192">
        <v>3</v>
      </c>
      <c r="L192" t="s">
        <v>41</v>
      </c>
      <c r="M192">
        <v>65</v>
      </c>
      <c r="N192">
        <v>2</v>
      </c>
      <c r="O192">
        <v>5</v>
      </c>
      <c r="P192" t="s">
        <v>51</v>
      </c>
      <c r="Q192">
        <v>3</v>
      </c>
      <c r="R192" t="s">
        <v>43</v>
      </c>
      <c r="S192">
        <v>19999</v>
      </c>
      <c r="T192">
        <v>5678</v>
      </c>
      <c r="U192">
        <v>0</v>
      </c>
      <c r="V192" t="s">
        <v>38</v>
      </c>
      <c r="W192">
        <v>14</v>
      </c>
      <c r="X192">
        <v>3</v>
      </c>
      <c r="Y192">
        <v>1</v>
      </c>
      <c r="Z192">
        <v>1</v>
      </c>
      <c r="AA192">
        <v>34</v>
      </c>
      <c r="AB192" t="str">
        <f>IF(Table2[[#This Row],[TotalWorkingYears]]&lt;=5,"Early (0-5)",IF(Table2[[#This Row],[TotalWorkingYears]]&lt;=15,"Mid (6-15)","Senior (16+)"))</f>
        <v>Senior (16+)</v>
      </c>
      <c r="AC192">
        <v>5</v>
      </c>
      <c r="AD192">
        <v>3</v>
      </c>
      <c r="AE192" t="s">
        <v>65</v>
      </c>
      <c r="AF192">
        <v>18</v>
      </c>
      <c r="AG192">
        <v>11</v>
      </c>
      <c r="AH192">
        <v>9</v>
      </c>
    </row>
    <row r="193" spans="1:34" x14ac:dyDescent="0.3">
      <c r="A193" t="s">
        <v>59</v>
      </c>
      <c r="B193">
        <v>0</v>
      </c>
      <c r="C193" t="s">
        <v>32</v>
      </c>
      <c r="D193">
        <v>894</v>
      </c>
      <c r="E193" t="s">
        <v>40</v>
      </c>
      <c r="F193">
        <v>9</v>
      </c>
      <c r="G193" t="str">
        <f>IF(Table2[[#This Row],[DistanceFromHome]]&lt;=5, "short", IF(Table2[[#This Row],[DistanceFromHome]]&lt;=15, "medium", "long"))</f>
        <v>medium</v>
      </c>
      <c r="H193">
        <v>3</v>
      </c>
      <c r="I193" t="s">
        <v>46</v>
      </c>
      <c r="J193">
        <v>260</v>
      </c>
      <c r="K193">
        <v>4</v>
      </c>
      <c r="L193" t="s">
        <v>35</v>
      </c>
      <c r="M193">
        <v>99</v>
      </c>
      <c r="N193">
        <v>3</v>
      </c>
      <c r="O193">
        <v>1</v>
      </c>
      <c r="P193" t="s">
        <v>42</v>
      </c>
      <c r="Q193">
        <v>2</v>
      </c>
      <c r="R193" t="s">
        <v>37</v>
      </c>
      <c r="S193">
        <v>2279</v>
      </c>
      <c r="T193">
        <v>11781</v>
      </c>
      <c r="U193">
        <v>1</v>
      </c>
      <c r="V193" t="s">
        <v>38</v>
      </c>
      <c r="W193">
        <v>16</v>
      </c>
      <c r="X193">
        <v>3</v>
      </c>
      <c r="Y193">
        <v>4</v>
      </c>
      <c r="Z193">
        <v>0</v>
      </c>
      <c r="AA193">
        <v>7</v>
      </c>
      <c r="AB193" t="str">
        <f>IF(Table2[[#This Row],[TotalWorkingYears]]&lt;=5,"Early (0-5)",IF(Table2[[#This Row],[TotalWorkingYears]]&lt;=15,"Mid (6-15)","Senior (16+)"))</f>
        <v>Mid (6-15)</v>
      </c>
      <c r="AC193">
        <v>2</v>
      </c>
      <c r="AD193">
        <v>2</v>
      </c>
      <c r="AE193" t="s">
        <v>62</v>
      </c>
      <c r="AF193">
        <v>7</v>
      </c>
      <c r="AG193">
        <v>0</v>
      </c>
      <c r="AH193">
        <v>3</v>
      </c>
    </row>
    <row r="194" spans="1:34" x14ac:dyDescent="0.3">
      <c r="A194" t="s">
        <v>59</v>
      </c>
      <c r="B194">
        <v>1</v>
      </c>
      <c r="C194" t="s">
        <v>32</v>
      </c>
      <c r="D194">
        <v>556</v>
      </c>
      <c r="E194" t="s">
        <v>40</v>
      </c>
      <c r="F194">
        <v>23</v>
      </c>
      <c r="G194" t="str">
        <f>IF(Table2[[#This Row],[DistanceFromHome]]&lt;=5, "short", IF(Table2[[#This Row],[DistanceFromHome]]&lt;=15, "medium", "long"))</f>
        <v>long</v>
      </c>
      <c r="H194">
        <v>2</v>
      </c>
      <c r="I194" t="s">
        <v>34</v>
      </c>
      <c r="J194">
        <v>261</v>
      </c>
      <c r="K194">
        <v>2</v>
      </c>
      <c r="L194" t="s">
        <v>41</v>
      </c>
      <c r="M194">
        <v>50</v>
      </c>
      <c r="N194">
        <v>2</v>
      </c>
      <c r="O194">
        <v>2</v>
      </c>
      <c r="P194" t="s">
        <v>48</v>
      </c>
      <c r="Q194">
        <v>3</v>
      </c>
      <c r="R194" t="s">
        <v>43</v>
      </c>
      <c r="S194">
        <v>5916</v>
      </c>
      <c r="T194">
        <v>15497</v>
      </c>
      <c r="U194">
        <v>3</v>
      </c>
      <c r="V194" t="s">
        <v>31</v>
      </c>
      <c r="W194">
        <v>13</v>
      </c>
      <c r="X194">
        <v>3</v>
      </c>
      <c r="Y194">
        <v>1</v>
      </c>
      <c r="Z194">
        <v>0</v>
      </c>
      <c r="AA194">
        <v>8</v>
      </c>
      <c r="AB194" t="str">
        <f>IF(Table2[[#This Row],[TotalWorkingYears]]&lt;=5,"Early (0-5)",IF(Table2[[#This Row],[TotalWorkingYears]]&lt;=15,"Mid (6-15)","Senior (16+)"))</f>
        <v>Mid (6-15)</v>
      </c>
      <c r="AC194">
        <v>1</v>
      </c>
      <c r="AD194">
        <v>3</v>
      </c>
      <c r="AE194" t="s">
        <v>63</v>
      </c>
      <c r="AF194">
        <v>0</v>
      </c>
      <c r="AG194">
        <v>0</v>
      </c>
      <c r="AH194">
        <v>1</v>
      </c>
    </row>
    <row r="195" spans="1:34" x14ac:dyDescent="0.3">
      <c r="A195" t="s">
        <v>57</v>
      </c>
      <c r="B195">
        <v>0</v>
      </c>
      <c r="C195" t="s">
        <v>50</v>
      </c>
      <c r="D195">
        <v>1344</v>
      </c>
      <c r="E195" t="s">
        <v>40</v>
      </c>
      <c r="F195">
        <v>7</v>
      </c>
      <c r="G195" t="str">
        <f>IF(Table2[[#This Row],[DistanceFromHome]]&lt;=5, "short", IF(Table2[[#This Row],[DistanceFromHome]]&lt;=15, "medium", "long"))</f>
        <v>medium</v>
      </c>
      <c r="H195">
        <v>3</v>
      </c>
      <c r="I195" t="s">
        <v>46</v>
      </c>
      <c r="J195">
        <v>262</v>
      </c>
      <c r="K195">
        <v>4</v>
      </c>
      <c r="L195" t="s">
        <v>41</v>
      </c>
      <c r="M195">
        <v>37</v>
      </c>
      <c r="N195">
        <v>4</v>
      </c>
      <c r="O195">
        <v>1</v>
      </c>
      <c r="P195" t="s">
        <v>42</v>
      </c>
      <c r="Q195">
        <v>4</v>
      </c>
      <c r="R195" t="s">
        <v>47</v>
      </c>
      <c r="S195">
        <v>2089</v>
      </c>
      <c r="T195">
        <v>5228</v>
      </c>
      <c r="U195">
        <v>4</v>
      </c>
      <c r="V195" t="s">
        <v>38</v>
      </c>
      <c r="W195">
        <v>14</v>
      </c>
      <c r="X195">
        <v>3</v>
      </c>
      <c r="Y195">
        <v>4</v>
      </c>
      <c r="Z195">
        <v>3</v>
      </c>
      <c r="AA195">
        <v>7</v>
      </c>
      <c r="AB195" t="str">
        <f>IF(Table2[[#This Row],[TotalWorkingYears]]&lt;=5,"Early (0-5)",IF(Table2[[#This Row],[TotalWorkingYears]]&lt;=15,"Mid (6-15)","Senior (16+)"))</f>
        <v>Mid (6-15)</v>
      </c>
      <c r="AC195">
        <v>3</v>
      </c>
      <c r="AD195">
        <v>4</v>
      </c>
      <c r="AE195" t="s">
        <v>64</v>
      </c>
      <c r="AF195">
        <v>4</v>
      </c>
      <c r="AG195">
        <v>2</v>
      </c>
      <c r="AH195">
        <v>2</v>
      </c>
    </row>
    <row r="196" spans="1:34" x14ac:dyDescent="0.3">
      <c r="A196" t="s">
        <v>57</v>
      </c>
      <c r="B196">
        <v>0</v>
      </c>
      <c r="C196" t="s">
        <v>50</v>
      </c>
      <c r="D196">
        <v>1195</v>
      </c>
      <c r="E196" t="s">
        <v>40</v>
      </c>
      <c r="F196">
        <v>2</v>
      </c>
      <c r="G196" t="str">
        <f>IF(Table2[[#This Row],[DistanceFromHome]]&lt;=5, "short", IF(Table2[[#This Row],[DistanceFromHome]]&lt;=15, "medium", "long"))</f>
        <v>short</v>
      </c>
      <c r="H196">
        <v>2</v>
      </c>
      <c r="I196" t="s">
        <v>46</v>
      </c>
      <c r="J196">
        <v>264</v>
      </c>
      <c r="K196">
        <v>1</v>
      </c>
      <c r="L196" t="s">
        <v>41</v>
      </c>
      <c r="M196">
        <v>65</v>
      </c>
      <c r="N196">
        <v>2</v>
      </c>
      <c r="O196">
        <v>4</v>
      </c>
      <c r="P196" t="s">
        <v>51</v>
      </c>
      <c r="Q196">
        <v>4</v>
      </c>
      <c r="R196" t="s">
        <v>43</v>
      </c>
      <c r="S196">
        <v>16792</v>
      </c>
      <c r="T196">
        <v>20462</v>
      </c>
      <c r="U196">
        <v>9</v>
      </c>
      <c r="V196" t="s">
        <v>38</v>
      </c>
      <c r="W196">
        <v>23</v>
      </c>
      <c r="X196">
        <v>4</v>
      </c>
      <c r="Y196">
        <v>4</v>
      </c>
      <c r="Z196">
        <v>1</v>
      </c>
      <c r="AA196">
        <v>22</v>
      </c>
      <c r="AB196" t="str">
        <f>IF(Table2[[#This Row],[TotalWorkingYears]]&lt;=5,"Early (0-5)",IF(Table2[[#This Row],[TotalWorkingYears]]&lt;=15,"Mid (6-15)","Senior (16+)"))</f>
        <v>Senior (16+)</v>
      </c>
      <c r="AC196">
        <v>1</v>
      </c>
      <c r="AD196">
        <v>3</v>
      </c>
      <c r="AE196" t="s">
        <v>65</v>
      </c>
      <c r="AF196">
        <v>8</v>
      </c>
      <c r="AG196">
        <v>11</v>
      </c>
      <c r="AH196">
        <v>8</v>
      </c>
    </row>
    <row r="197" spans="1:34" x14ac:dyDescent="0.3">
      <c r="A197" t="s">
        <v>57</v>
      </c>
      <c r="B197">
        <v>0</v>
      </c>
      <c r="C197" t="s">
        <v>32</v>
      </c>
      <c r="D197">
        <v>290</v>
      </c>
      <c r="E197" t="s">
        <v>40</v>
      </c>
      <c r="F197">
        <v>21</v>
      </c>
      <c r="G197" t="str">
        <f>IF(Table2[[#This Row],[DistanceFromHome]]&lt;=5, "short", IF(Table2[[#This Row],[DistanceFromHome]]&lt;=15, "medium", "long"))</f>
        <v>long</v>
      </c>
      <c r="H197">
        <v>3</v>
      </c>
      <c r="I197" t="s">
        <v>34</v>
      </c>
      <c r="J197">
        <v>267</v>
      </c>
      <c r="K197">
        <v>2</v>
      </c>
      <c r="L197" t="s">
        <v>41</v>
      </c>
      <c r="M197">
        <v>65</v>
      </c>
      <c r="N197">
        <v>4</v>
      </c>
      <c r="O197">
        <v>1</v>
      </c>
      <c r="P197" t="s">
        <v>42</v>
      </c>
      <c r="Q197">
        <v>1</v>
      </c>
      <c r="R197" t="s">
        <v>43</v>
      </c>
      <c r="S197">
        <v>3564</v>
      </c>
      <c r="T197">
        <v>22977</v>
      </c>
      <c r="U197">
        <v>1</v>
      </c>
      <c r="V197" t="s">
        <v>31</v>
      </c>
      <c r="W197">
        <v>12</v>
      </c>
      <c r="X197">
        <v>3</v>
      </c>
      <c r="Y197">
        <v>1</v>
      </c>
      <c r="Z197">
        <v>1</v>
      </c>
      <c r="AA197">
        <v>8</v>
      </c>
      <c r="AB197" t="str">
        <f>IF(Table2[[#This Row],[TotalWorkingYears]]&lt;=5,"Early (0-5)",IF(Table2[[#This Row],[TotalWorkingYears]]&lt;=15,"Mid (6-15)","Senior (16+)"))</f>
        <v>Mid (6-15)</v>
      </c>
      <c r="AC197">
        <v>3</v>
      </c>
      <c r="AD197">
        <v>2</v>
      </c>
      <c r="AE197" t="s">
        <v>62</v>
      </c>
      <c r="AF197">
        <v>7</v>
      </c>
      <c r="AG197">
        <v>1</v>
      </c>
      <c r="AH197">
        <v>7</v>
      </c>
    </row>
    <row r="198" spans="1:34" x14ac:dyDescent="0.3">
      <c r="A198" t="s">
        <v>59</v>
      </c>
      <c r="B198">
        <v>0</v>
      </c>
      <c r="C198" t="s">
        <v>39</v>
      </c>
      <c r="D198">
        <v>138</v>
      </c>
      <c r="E198" t="s">
        <v>40</v>
      </c>
      <c r="F198">
        <v>2</v>
      </c>
      <c r="G198" t="str">
        <f>IF(Table2[[#This Row],[DistanceFromHome]]&lt;=5, "short", IF(Table2[[#This Row],[DistanceFromHome]]&lt;=15, "medium", "long"))</f>
        <v>short</v>
      </c>
      <c r="H198">
        <v>3</v>
      </c>
      <c r="I198" t="s">
        <v>46</v>
      </c>
      <c r="J198">
        <v>269</v>
      </c>
      <c r="K198">
        <v>2</v>
      </c>
      <c r="L198" t="s">
        <v>35</v>
      </c>
      <c r="M198">
        <v>37</v>
      </c>
      <c r="N198">
        <v>3</v>
      </c>
      <c r="O198">
        <v>2</v>
      </c>
      <c r="P198" t="s">
        <v>45</v>
      </c>
      <c r="Q198">
        <v>2</v>
      </c>
      <c r="R198" t="s">
        <v>37</v>
      </c>
      <c r="S198">
        <v>4425</v>
      </c>
      <c r="T198">
        <v>15986</v>
      </c>
      <c r="U198">
        <v>5</v>
      </c>
      <c r="V198" t="s">
        <v>38</v>
      </c>
      <c r="W198">
        <v>11</v>
      </c>
      <c r="X198">
        <v>3</v>
      </c>
      <c r="Y198">
        <v>4</v>
      </c>
      <c r="Z198">
        <v>0</v>
      </c>
      <c r="AA198">
        <v>10</v>
      </c>
      <c r="AB198" t="str">
        <f>IF(Table2[[#This Row],[TotalWorkingYears]]&lt;=5,"Early (0-5)",IF(Table2[[#This Row],[TotalWorkingYears]]&lt;=15,"Mid (6-15)","Senior (16+)"))</f>
        <v>Mid (6-15)</v>
      </c>
      <c r="AC198">
        <v>5</v>
      </c>
      <c r="AD198">
        <v>3</v>
      </c>
      <c r="AE198" t="s">
        <v>62</v>
      </c>
      <c r="AF198">
        <v>2</v>
      </c>
      <c r="AG198">
        <v>1</v>
      </c>
      <c r="AH198">
        <v>2</v>
      </c>
    </row>
    <row r="199" spans="1:34" x14ac:dyDescent="0.3">
      <c r="A199" t="s">
        <v>57</v>
      </c>
      <c r="B199">
        <v>0</v>
      </c>
      <c r="C199" t="s">
        <v>50</v>
      </c>
      <c r="D199">
        <v>926</v>
      </c>
      <c r="E199" t="s">
        <v>40</v>
      </c>
      <c r="F199">
        <v>21</v>
      </c>
      <c r="G199" t="str">
        <f>IF(Table2[[#This Row],[DistanceFromHome]]&lt;=5, "short", IF(Table2[[#This Row],[DistanceFromHome]]&lt;=15, "medium", "long"))</f>
        <v>long</v>
      </c>
      <c r="H199">
        <v>2</v>
      </c>
      <c r="I199" t="s">
        <v>46</v>
      </c>
      <c r="J199">
        <v>270</v>
      </c>
      <c r="K199">
        <v>3</v>
      </c>
      <c r="L199" t="s">
        <v>35</v>
      </c>
      <c r="M199">
        <v>36</v>
      </c>
      <c r="N199">
        <v>3</v>
      </c>
      <c r="O199">
        <v>2</v>
      </c>
      <c r="P199" t="s">
        <v>48</v>
      </c>
      <c r="Q199">
        <v>3</v>
      </c>
      <c r="R199" t="s">
        <v>47</v>
      </c>
      <c r="S199">
        <v>5265</v>
      </c>
      <c r="T199">
        <v>16439</v>
      </c>
      <c r="U199">
        <v>2</v>
      </c>
      <c r="V199" t="s">
        <v>38</v>
      </c>
      <c r="W199">
        <v>16</v>
      </c>
      <c r="X199">
        <v>3</v>
      </c>
      <c r="Y199">
        <v>2</v>
      </c>
      <c r="Z199">
        <v>1</v>
      </c>
      <c r="AA199">
        <v>11</v>
      </c>
      <c r="AB199" t="str">
        <f>IF(Table2[[#This Row],[TotalWorkingYears]]&lt;=5,"Early (0-5)",IF(Table2[[#This Row],[TotalWorkingYears]]&lt;=15,"Mid (6-15)","Senior (16+)"))</f>
        <v>Mid (6-15)</v>
      </c>
      <c r="AC199">
        <v>5</v>
      </c>
      <c r="AD199">
        <v>3</v>
      </c>
      <c r="AE199" t="s">
        <v>64</v>
      </c>
      <c r="AF199">
        <v>3</v>
      </c>
      <c r="AG199">
        <v>0</v>
      </c>
      <c r="AH199">
        <v>2</v>
      </c>
    </row>
    <row r="200" spans="1:34" x14ac:dyDescent="0.3">
      <c r="A200" t="s">
        <v>57</v>
      </c>
      <c r="B200">
        <v>0</v>
      </c>
      <c r="C200" t="s">
        <v>32</v>
      </c>
      <c r="D200">
        <v>1261</v>
      </c>
      <c r="E200" t="s">
        <v>40</v>
      </c>
      <c r="F200">
        <v>2</v>
      </c>
      <c r="G200" t="str">
        <f>IF(Table2[[#This Row],[DistanceFromHome]]&lt;=5, "short", IF(Table2[[#This Row],[DistanceFromHome]]&lt;=15, "medium", "long"))</f>
        <v>short</v>
      </c>
      <c r="H200">
        <v>4</v>
      </c>
      <c r="I200" t="s">
        <v>34</v>
      </c>
      <c r="J200">
        <v>271</v>
      </c>
      <c r="K200">
        <v>4</v>
      </c>
      <c r="L200" t="s">
        <v>41</v>
      </c>
      <c r="M200">
        <v>88</v>
      </c>
      <c r="N200">
        <v>3</v>
      </c>
      <c r="O200">
        <v>2</v>
      </c>
      <c r="P200" t="s">
        <v>48</v>
      </c>
      <c r="Q200">
        <v>3</v>
      </c>
      <c r="R200" t="s">
        <v>43</v>
      </c>
      <c r="S200">
        <v>6553</v>
      </c>
      <c r="T200">
        <v>7259</v>
      </c>
      <c r="U200">
        <v>9</v>
      </c>
      <c r="V200" t="s">
        <v>38</v>
      </c>
      <c r="W200">
        <v>14</v>
      </c>
      <c r="X200">
        <v>3</v>
      </c>
      <c r="Y200">
        <v>2</v>
      </c>
      <c r="Z200">
        <v>0</v>
      </c>
      <c r="AA200">
        <v>14</v>
      </c>
      <c r="AB200" t="str">
        <f>IF(Table2[[#This Row],[TotalWorkingYears]]&lt;=5,"Early (0-5)",IF(Table2[[#This Row],[TotalWorkingYears]]&lt;=15,"Mid (6-15)","Senior (16+)"))</f>
        <v>Mid (6-15)</v>
      </c>
      <c r="AC200">
        <v>3</v>
      </c>
      <c r="AD200">
        <v>3</v>
      </c>
      <c r="AE200" t="s">
        <v>63</v>
      </c>
      <c r="AF200">
        <v>0</v>
      </c>
      <c r="AG200">
        <v>0</v>
      </c>
      <c r="AH200">
        <v>0</v>
      </c>
    </row>
    <row r="201" spans="1:34" x14ac:dyDescent="0.3">
      <c r="A201" t="s">
        <v>57</v>
      </c>
      <c r="B201">
        <v>0</v>
      </c>
      <c r="C201" t="s">
        <v>32</v>
      </c>
      <c r="D201">
        <v>1084</v>
      </c>
      <c r="E201" t="s">
        <v>40</v>
      </c>
      <c r="F201">
        <v>29</v>
      </c>
      <c r="G201" t="str">
        <f>IF(Table2[[#This Row],[DistanceFromHome]]&lt;=5, "short", IF(Table2[[#This Row],[DistanceFromHome]]&lt;=15, "medium", "long"))</f>
        <v>long</v>
      </c>
      <c r="H201">
        <v>3</v>
      </c>
      <c r="I201" t="s">
        <v>55</v>
      </c>
      <c r="J201">
        <v>273</v>
      </c>
      <c r="K201">
        <v>4</v>
      </c>
      <c r="L201" t="s">
        <v>41</v>
      </c>
      <c r="M201">
        <v>54</v>
      </c>
      <c r="N201">
        <v>3</v>
      </c>
      <c r="O201">
        <v>2</v>
      </c>
      <c r="P201" t="s">
        <v>48</v>
      </c>
      <c r="Q201">
        <v>4</v>
      </c>
      <c r="R201" t="s">
        <v>43</v>
      </c>
      <c r="S201">
        <v>6261</v>
      </c>
      <c r="T201">
        <v>4185</v>
      </c>
      <c r="U201">
        <v>3</v>
      </c>
      <c r="V201" t="s">
        <v>38</v>
      </c>
      <c r="W201">
        <v>18</v>
      </c>
      <c r="X201">
        <v>3</v>
      </c>
      <c r="Y201">
        <v>1</v>
      </c>
      <c r="Z201">
        <v>1</v>
      </c>
      <c r="AA201">
        <v>9</v>
      </c>
      <c r="AB201" t="str">
        <f>IF(Table2[[#This Row],[TotalWorkingYears]]&lt;=5,"Early (0-5)",IF(Table2[[#This Row],[TotalWorkingYears]]&lt;=15,"Mid (6-15)","Senior (16+)"))</f>
        <v>Mid (6-15)</v>
      </c>
      <c r="AC201">
        <v>3</v>
      </c>
      <c r="AD201">
        <v>1</v>
      </c>
      <c r="AE201" t="s">
        <v>62</v>
      </c>
      <c r="AF201">
        <v>7</v>
      </c>
      <c r="AG201">
        <v>1</v>
      </c>
      <c r="AH201">
        <v>7</v>
      </c>
    </row>
    <row r="202" spans="1:34" x14ac:dyDescent="0.3">
      <c r="A202" t="s">
        <v>59</v>
      </c>
      <c r="B202">
        <v>0</v>
      </c>
      <c r="C202" t="s">
        <v>39</v>
      </c>
      <c r="D202">
        <v>472</v>
      </c>
      <c r="E202" t="s">
        <v>40</v>
      </c>
      <c r="F202">
        <v>1</v>
      </c>
      <c r="G202" t="str">
        <f>IF(Table2[[#This Row],[DistanceFromHome]]&lt;=5, "short", IF(Table2[[#This Row],[DistanceFromHome]]&lt;=15, "medium", "long"))</f>
        <v>short</v>
      </c>
      <c r="H202">
        <v>1</v>
      </c>
      <c r="I202" t="s">
        <v>55</v>
      </c>
      <c r="J202">
        <v>274</v>
      </c>
      <c r="K202">
        <v>3</v>
      </c>
      <c r="L202" t="s">
        <v>41</v>
      </c>
      <c r="M202">
        <v>60</v>
      </c>
      <c r="N202">
        <v>2</v>
      </c>
      <c r="O202">
        <v>2</v>
      </c>
      <c r="P202" t="s">
        <v>48</v>
      </c>
      <c r="Q202">
        <v>1</v>
      </c>
      <c r="R202" t="s">
        <v>43</v>
      </c>
      <c r="S202">
        <v>4298</v>
      </c>
      <c r="T202">
        <v>9679</v>
      </c>
      <c r="U202">
        <v>5</v>
      </c>
      <c r="V202" t="s">
        <v>38</v>
      </c>
      <c r="W202">
        <v>19</v>
      </c>
      <c r="X202">
        <v>3</v>
      </c>
      <c r="Y202">
        <v>3</v>
      </c>
      <c r="Z202">
        <v>1</v>
      </c>
      <c r="AA202">
        <v>6</v>
      </c>
      <c r="AB202" t="str">
        <f>IF(Table2[[#This Row],[TotalWorkingYears]]&lt;=5,"Early (0-5)",IF(Table2[[#This Row],[TotalWorkingYears]]&lt;=15,"Mid (6-15)","Senior (16+)"))</f>
        <v>Mid (6-15)</v>
      </c>
      <c r="AC202">
        <v>1</v>
      </c>
      <c r="AD202">
        <v>3</v>
      </c>
      <c r="AE202" t="s">
        <v>63</v>
      </c>
      <c r="AF202">
        <v>2</v>
      </c>
      <c r="AG202">
        <v>2</v>
      </c>
      <c r="AH202">
        <v>0</v>
      </c>
    </row>
    <row r="203" spans="1:34" x14ac:dyDescent="0.3">
      <c r="A203" t="s">
        <v>58</v>
      </c>
      <c r="B203">
        <v>0</v>
      </c>
      <c r="C203" t="s">
        <v>50</v>
      </c>
      <c r="D203">
        <v>1002</v>
      </c>
      <c r="E203" t="s">
        <v>40</v>
      </c>
      <c r="F203">
        <v>18</v>
      </c>
      <c r="G203" t="str">
        <f>IF(Table2[[#This Row],[DistanceFromHome]]&lt;=5, "short", IF(Table2[[#This Row],[DistanceFromHome]]&lt;=15, "medium", "long"))</f>
        <v>long</v>
      </c>
      <c r="H203">
        <v>4</v>
      </c>
      <c r="I203" t="s">
        <v>34</v>
      </c>
      <c r="J203">
        <v>275</v>
      </c>
      <c r="K203">
        <v>4</v>
      </c>
      <c r="L203" t="s">
        <v>41</v>
      </c>
      <c r="M203">
        <v>92</v>
      </c>
      <c r="N203">
        <v>3</v>
      </c>
      <c r="O203">
        <v>2</v>
      </c>
      <c r="P203" t="s">
        <v>48</v>
      </c>
      <c r="Q203">
        <v>4</v>
      </c>
      <c r="R203" t="s">
        <v>47</v>
      </c>
      <c r="S203">
        <v>6804</v>
      </c>
      <c r="T203">
        <v>23793</v>
      </c>
      <c r="U203">
        <v>1</v>
      </c>
      <c r="V203" t="s">
        <v>31</v>
      </c>
      <c r="W203">
        <v>15</v>
      </c>
      <c r="X203">
        <v>3</v>
      </c>
      <c r="Y203">
        <v>1</v>
      </c>
      <c r="Z203">
        <v>2</v>
      </c>
      <c r="AA203">
        <v>7</v>
      </c>
      <c r="AB203" t="str">
        <f>IF(Table2[[#This Row],[TotalWorkingYears]]&lt;=5,"Early (0-5)",IF(Table2[[#This Row],[TotalWorkingYears]]&lt;=15,"Mid (6-15)","Senior (16+)"))</f>
        <v>Mid (6-15)</v>
      </c>
      <c r="AC203">
        <v>0</v>
      </c>
      <c r="AD203">
        <v>3</v>
      </c>
      <c r="AE203" t="s">
        <v>62</v>
      </c>
      <c r="AF203">
        <v>7</v>
      </c>
      <c r="AG203">
        <v>1</v>
      </c>
      <c r="AH203">
        <v>7</v>
      </c>
    </row>
    <row r="204" spans="1:34" x14ac:dyDescent="0.3">
      <c r="A204" t="s">
        <v>59</v>
      </c>
      <c r="B204">
        <v>0</v>
      </c>
      <c r="C204" t="s">
        <v>39</v>
      </c>
      <c r="D204">
        <v>878</v>
      </c>
      <c r="E204" t="s">
        <v>40</v>
      </c>
      <c r="F204">
        <v>10</v>
      </c>
      <c r="G204" t="str">
        <f>IF(Table2[[#This Row],[DistanceFromHome]]&lt;=5, "short", IF(Table2[[#This Row],[DistanceFromHome]]&lt;=15, "medium", "long"))</f>
        <v>medium</v>
      </c>
      <c r="H204">
        <v>4</v>
      </c>
      <c r="I204" t="s">
        <v>46</v>
      </c>
      <c r="J204">
        <v>277</v>
      </c>
      <c r="K204">
        <v>4</v>
      </c>
      <c r="L204" t="s">
        <v>41</v>
      </c>
      <c r="M204">
        <v>43</v>
      </c>
      <c r="N204">
        <v>3</v>
      </c>
      <c r="O204">
        <v>1</v>
      </c>
      <c r="P204" t="s">
        <v>42</v>
      </c>
      <c r="Q204">
        <v>3</v>
      </c>
      <c r="R204" t="s">
        <v>47</v>
      </c>
      <c r="S204">
        <v>3815</v>
      </c>
      <c r="T204">
        <v>5972</v>
      </c>
      <c r="U204">
        <v>1</v>
      </c>
      <c r="V204" t="s">
        <v>31</v>
      </c>
      <c r="W204">
        <v>17</v>
      </c>
      <c r="X204">
        <v>3</v>
      </c>
      <c r="Y204">
        <v>4</v>
      </c>
      <c r="Z204">
        <v>1</v>
      </c>
      <c r="AA204">
        <v>5</v>
      </c>
      <c r="AB204" t="str">
        <f>IF(Table2[[#This Row],[TotalWorkingYears]]&lt;=5,"Early (0-5)",IF(Table2[[#This Row],[TotalWorkingYears]]&lt;=15,"Mid (6-15)","Senior (16+)"))</f>
        <v>Early (0-5)</v>
      </c>
      <c r="AC204">
        <v>4</v>
      </c>
      <c r="AD204">
        <v>4</v>
      </c>
      <c r="AE204" t="s">
        <v>64</v>
      </c>
      <c r="AF204">
        <v>3</v>
      </c>
      <c r="AG204">
        <v>2</v>
      </c>
      <c r="AH204">
        <v>0</v>
      </c>
    </row>
    <row r="205" spans="1:34" x14ac:dyDescent="0.3">
      <c r="A205" t="s">
        <v>57</v>
      </c>
      <c r="B205">
        <v>0</v>
      </c>
      <c r="C205" t="s">
        <v>32</v>
      </c>
      <c r="D205">
        <v>905</v>
      </c>
      <c r="E205" t="s">
        <v>40</v>
      </c>
      <c r="F205">
        <v>19</v>
      </c>
      <c r="G205" t="str">
        <f>IF(Table2[[#This Row],[DistanceFromHome]]&lt;=5, "short", IF(Table2[[#This Row],[DistanceFromHome]]&lt;=15, "medium", "long"))</f>
        <v>long</v>
      </c>
      <c r="H205">
        <v>2</v>
      </c>
      <c r="I205" t="s">
        <v>46</v>
      </c>
      <c r="J205">
        <v>281</v>
      </c>
      <c r="K205">
        <v>3</v>
      </c>
      <c r="L205" t="s">
        <v>41</v>
      </c>
      <c r="M205">
        <v>99</v>
      </c>
      <c r="N205">
        <v>3</v>
      </c>
      <c r="O205">
        <v>2</v>
      </c>
      <c r="P205" t="s">
        <v>45</v>
      </c>
      <c r="Q205">
        <v>4</v>
      </c>
      <c r="R205" t="s">
        <v>43</v>
      </c>
      <c r="S205">
        <v>2741</v>
      </c>
      <c r="T205">
        <v>16523</v>
      </c>
      <c r="U205">
        <v>8</v>
      </c>
      <c r="V205" t="s">
        <v>31</v>
      </c>
      <c r="W205">
        <v>15</v>
      </c>
      <c r="X205">
        <v>3</v>
      </c>
      <c r="Y205">
        <v>3</v>
      </c>
      <c r="Z205">
        <v>1</v>
      </c>
      <c r="AA205">
        <v>15</v>
      </c>
      <c r="AB205" t="str">
        <f>IF(Table2[[#This Row],[TotalWorkingYears]]&lt;=5,"Early (0-5)",IF(Table2[[#This Row],[TotalWorkingYears]]&lt;=15,"Mid (6-15)","Senior (16+)"))</f>
        <v>Mid (6-15)</v>
      </c>
      <c r="AC205">
        <v>2</v>
      </c>
      <c r="AD205">
        <v>4</v>
      </c>
      <c r="AE205" t="s">
        <v>62</v>
      </c>
      <c r="AF205">
        <v>2</v>
      </c>
      <c r="AG205">
        <v>3</v>
      </c>
      <c r="AH205">
        <v>7</v>
      </c>
    </row>
    <row r="206" spans="1:34" x14ac:dyDescent="0.3">
      <c r="A206" t="s">
        <v>57</v>
      </c>
      <c r="B206">
        <v>1</v>
      </c>
      <c r="C206" t="s">
        <v>32</v>
      </c>
      <c r="D206">
        <v>1180</v>
      </c>
      <c r="E206" t="s">
        <v>40</v>
      </c>
      <c r="F206">
        <v>29</v>
      </c>
      <c r="G206" t="str">
        <f>IF(Table2[[#This Row],[DistanceFromHome]]&lt;=5, "short", IF(Table2[[#This Row],[DistanceFromHome]]&lt;=15, "medium", "long"))</f>
        <v>long</v>
      </c>
      <c r="H206">
        <v>1</v>
      </c>
      <c r="I206" t="s">
        <v>46</v>
      </c>
      <c r="J206">
        <v>282</v>
      </c>
      <c r="K206">
        <v>2</v>
      </c>
      <c r="L206" t="s">
        <v>41</v>
      </c>
      <c r="M206">
        <v>70</v>
      </c>
      <c r="N206">
        <v>3</v>
      </c>
      <c r="O206">
        <v>2</v>
      </c>
      <c r="P206" t="s">
        <v>49</v>
      </c>
      <c r="Q206">
        <v>1</v>
      </c>
      <c r="R206" t="s">
        <v>43</v>
      </c>
      <c r="S206">
        <v>6673</v>
      </c>
      <c r="T206">
        <v>11354</v>
      </c>
      <c r="U206">
        <v>7</v>
      </c>
      <c r="V206" t="s">
        <v>31</v>
      </c>
      <c r="W206">
        <v>19</v>
      </c>
      <c r="X206">
        <v>3</v>
      </c>
      <c r="Y206">
        <v>2</v>
      </c>
      <c r="Z206">
        <v>0</v>
      </c>
      <c r="AA206">
        <v>17</v>
      </c>
      <c r="AB206" t="str">
        <f>IF(Table2[[#This Row],[TotalWorkingYears]]&lt;=5,"Early (0-5)",IF(Table2[[#This Row],[TotalWorkingYears]]&lt;=15,"Mid (6-15)","Senior (16+)"))</f>
        <v>Senior (16+)</v>
      </c>
      <c r="AC206">
        <v>2</v>
      </c>
      <c r="AD206">
        <v>3</v>
      </c>
      <c r="AE206" t="s">
        <v>63</v>
      </c>
      <c r="AF206">
        <v>0</v>
      </c>
      <c r="AG206">
        <v>0</v>
      </c>
      <c r="AH206">
        <v>0</v>
      </c>
    </row>
    <row r="207" spans="1:34" x14ac:dyDescent="0.3">
      <c r="A207" t="s">
        <v>59</v>
      </c>
      <c r="B207">
        <v>1</v>
      </c>
      <c r="C207" t="s">
        <v>32</v>
      </c>
      <c r="D207">
        <v>121</v>
      </c>
      <c r="E207" t="s">
        <v>33</v>
      </c>
      <c r="F207">
        <v>27</v>
      </c>
      <c r="G207" t="str">
        <f>IF(Table2[[#This Row],[DistanceFromHome]]&lt;=5, "short", IF(Table2[[#This Row],[DistanceFromHome]]&lt;=15, "medium", "long"))</f>
        <v>long</v>
      </c>
      <c r="H207">
        <v>3</v>
      </c>
      <c r="I207" t="s">
        <v>54</v>
      </c>
      <c r="J207">
        <v>283</v>
      </c>
      <c r="K207">
        <v>2</v>
      </c>
      <c r="L207" t="s">
        <v>35</v>
      </c>
      <c r="M207">
        <v>35</v>
      </c>
      <c r="N207">
        <v>3</v>
      </c>
      <c r="O207">
        <v>3</v>
      </c>
      <c r="P207" t="s">
        <v>36</v>
      </c>
      <c r="Q207">
        <v>4</v>
      </c>
      <c r="R207" t="s">
        <v>43</v>
      </c>
      <c r="S207">
        <v>7639</v>
      </c>
      <c r="T207">
        <v>24525</v>
      </c>
      <c r="U207">
        <v>1</v>
      </c>
      <c r="V207" t="s">
        <v>38</v>
      </c>
      <c r="W207">
        <v>22</v>
      </c>
      <c r="X207">
        <v>4</v>
      </c>
      <c r="Y207">
        <v>4</v>
      </c>
      <c r="Z207">
        <v>3</v>
      </c>
      <c r="AA207">
        <v>10</v>
      </c>
      <c r="AB207" t="str">
        <f>IF(Table2[[#This Row],[TotalWorkingYears]]&lt;=5,"Early (0-5)",IF(Table2[[#This Row],[TotalWorkingYears]]&lt;=15,"Mid (6-15)","Senior (16+)"))</f>
        <v>Mid (6-15)</v>
      </c>
      <c r="AC207">
        <v>3</v>
      </c>
      <c r="AD207">
        <v>2</v>
      </c>
      <c r="AE207" t="s">
        <v>62</v>
      </c>
      <c r="AF207">
        <v>4</v>
      </c>
      <c r="AG207">
        <v>1</v>
      </c>
      <c r="AH207">
        <v>9</v>
      </c>
    </row>
    <row r="208" spans="1:34" x14ac:dyDescent="0.3">
      <c r="A208" t="s">
        <v>60</v>
      </c>
      <c r="B208">
        <v>0</v>
      </c>
      <c r="C208" t="s">
        <v>32</v>
      </c>
      <c r="D208">
        <v>1136</v>
      </c>
      <c r="E208" t="s">
        <v>40</v>
      </c>
      <c r="F208">
        <v>5</v>
      </c>
      <c r="G208" t="str">
        <f>IF(Table2[[#This Row],[DistanceFromHome]]&lt;=5, "short", IF(Table2[[#This Row],[DistanceFromHome]]&lt;=15, "medium", "long"))</f>
        <v>short</v>
      </c>
      <c r="H208">
        <v>3</v>
      </c>
      <c r="I208" t="s">
        <v>34</v>
      </c>
      <c r="J208">
        <v>284</v>
      </c>
      <c r="K208">
        <v>4</v>
      </c>
      <c r="L208" t="s">
        <v>41</v>
      </c>
      <c r="M208">
        <v>60</v>
      </c>
      <c r="N208">
        <v>4</v>
      </c>
      <c r="O208">
        <v>1</v>
      </c>
      <c r="P208" t="s">
        <v>42</v>
      </c>
      <c r="Q208">
        <v>2</v>
      </c>
      <c r="R208" t="s">
        <v>47</v>
      </c>
      <c r="S208">
        <v>2328</v>
      </c>
      <c r="T208">
        <v>12392</v>
      </c>
      <c r="U208">
        <v>1</v>
      </c>
      <c r="V208" t="s">
        <v>31</v>
      </c>
      <c r="W208">
        <v>16</v>
      </c>
      <c r="X208">
        <v>3</v>
      </c>
      <c r="Y208">
        <v>1</v>
      </c>
      <c r="Z208">
        <v>1</v>
      </c>
      <c r="AA208">
        <v>4</v>
      </c>
      <c r="AB208" t="str">
        <f>IF(Table2[[#This Row],[TotalWorkingYears]]&lt;=5,"Early (0-5)",IF(Table2[[#This Row],[TotalWorkingYears]]&lt;=15,"Mid (6-15)","Senior (16+)"))</f>
        <v>Early (0-5)</v>
      </c>
      <c r="AC208">
        <v>2</v>
      </c>
      <c r="AD208">
        <v>2</v>
      </c>
      <c r="AE208" t="s">
        <v>64</v>
      </c>
      <c r="AF208">
        <v>2</v>
      </c>
      <c r="AG208">
        <v>2</v>
      </c>
      <c r="AH208">
        <v>2</v>
      </c>
    </row>
    <row r="209" spans="1:34" x14ac:dyDescent="0.3">
      <c r="A209" t="s">
        <v>57</v>
      </c>
      <c r="B209">
        <v>0</v>
      </c>
      <c r="C209" t="s">
        <v>39</v>
      </c>
      <c r="D209">
        <v>635</v>
      </c>
      <c r="E209" t="s">
        <v>40</v>
      </c>
      <c r="F209">
        <v>18</v>
      </c>
      <c r="G209" t="str">
        <f>IF(Table2[[#This Row],[DistanceFromHome]]&lt;=5, "short", IF(Table2[[#This Row],[DistanceFromHome]]&lt;=15, "medium", "long"))</f>
        <v>long</v>
      </c>
      <c r="H209">
        <v>1</v>
      </c>
      <c r="I209" t="s">
        <v>46</v>
      </c>
      <c r="J209">
        <v>286</v>
      </c>
      <c r="K209">
        <v>2</v>
      </c>
      <c r="L209" t="s">
        <v>35</v>
      </c>
      <c r="M209">
        <v>73</v>
      </c>
      <c r="N209">
        <v>3</v>
      </c>
      <c r="O209">
        <v>1</v>
      </c>
      <c r="P209" t="s">
        <v>45</v>
      </c>
      <c r="Q209">
        <v>4</v>
      </c>
      <c r="R209" t="s">
        <v>37</v>
      </c>
      <c r="S209">
        <v>2153</v>
      </c>
      <c r="T209">
        <v>7703</v>
      </c>
      <c r="U209">
        <v>1</v>
      </c>
      <c r="V209" t="s">
        <v>38</v>
      </c>
      <c r="W209">
        <v>13</v>
      </c>
      <c r="X209">
        <v>3</v>
      </c>
      <c r="Y209">
        <v>1</v>
      </c>
      <c r="Z209">
        <v>0</v>
      </c>
      <c r="AA209">
        <v>8</v>
      </c>
      <c r="AB209" t="str">
        <f>IF(Table2[[#This Row],[TotalWorkingYears]]&lt;=5,"Early (0-5)",IF(Table2[[#This Row],[TotalWorkingYears]]&lt;=15,"Mid (6-15)","Senior (16+)"))</f>
        <v>Mid (6-15)</v>
      </c>
      <c r="AC209">
        <v>2</v>
      </c>
      <c r="AD209">
        <v>3</v>
      </c>
      <c r="AE209" t="s">
        <v>62</v>
      </c>
      <c r="AF209">
        <v>1</v>
      </c>
      <c r="AG209">
        <v>1</v>
      </c>
      <c r="AH209">
        <v>7</v>
      </c>
    </row>
    <row r="210" spans="1:34" x14ac:dyDescent="0.3">
      <c r="A210" t="s">
        <v>57</v>
      </c>
      <c r="B210">
        <v>0</v>
      </c>
      <c r="C210" t="s">
        <v>50</v>
      </c>
      <c r="D210">
        <v>1151</v>
      </c>
      <c r="E210" t="s">
        <v>40</v>
      </c>
      <c r="F210">
        <v>9</v>
      </c>
      <c r="G210" t="str">
        <f>IF(Table2[[#This Row],[DistanceFromHome]]&lt;=5, "short", IF(Table2[[#This Row],[DistanceFromHome]]&lt;=15, "medium", "long"))</f>
        <v>medium</v>
      </c>
      <c r="H210">
        <v>5</v>
      </c>
      <c r="I210" t="s">
        <v>34</v>
      </c>
      <c r="J210">
        <v>287</v>
      </c>
      <c r="K210">
        <v>4</v>
      </c>
      <c r="L210" t="s">
        <v>41</v>
      </c>
      <c r="M210">
        <v>63</v>
      </c>
      <c r="N210">
        <v>2</v>
      </c>
      <c r="O210">
        <v>2</v>
      </c>
      <c r="P210" t="s">
        <v>49</v>
      </c>
      <c r="Q210">
        <v>4</v>
      </c>
      <c r="R210" t="s">
        <v>43</v>
      </c>
      <c r="S210">
        <v>4876</v>
      </c>
      <c r="T210">
        <v>14242</v>
      </c>
      <c r="U210">
        <v>9</v>
      </c>
      <c r="V210" t="s">
        <v>38</v>
      </c>
      <c r="W210">
        <v>14</v>
      </c>
      <c r="X210">
        <v>3</v>
      </c>
      <c r="Y210">
        <v>4</v>
      </c>
      <c r="Z210">
        <v>1</v>
      </c>
      <c r="AA210">
        <v>5</v>
      </c>
      <c r="AB210" t="str">
        <f>IF(Table2[[#This Row],[TotalWorkingYears]]&lt;=5,"Early (0-5)",IF(Table2[[#This Row],[TotalWorkingYears]]&lt;=15,"Mid (6-15)","Senior (16+)"))</f>
        <v>Early (0-5)</v>
      </c>
      <c r="AC210">
        <v>5</v>
      </c>
      <c r="AD210">
        <v>1</v>
      </c>
      <c r="AE210" t="s">
        <v>64</v>
      </c>
      <c r="AF210">
        <v>2</v>
      </c>
      <c r="AG210">
        <v>0</v>
      </c>
      <c r="AH210">
        <v>2</v>
      </c>
    </row>
    <row r="211" spans="1:34" x14ac:dyDescent="0.3">
      <c r="A211" t="s">
        <v>58</v>
      </c>
      <c r="B211">
        <v>0</v>
      </c>
      <c r="C211" t="s">
        <v>32</v>
      </c>
      <c r="D211">
        <v>644</v>
      </c>
      <c r="E211" t="s">
        <v>40</v>
      </c>
      <c r="F211">
        <v>1</v>
      </c>
      <c r="G211" t="str">
        <f>IF(Table2[[#This Row],[DistanceFromHome]]&lt;=5, "short", IF(Table2[[#This Row],[DistanceFromHome]]&lt;=15, "medium", "long"))</f>
        <v>short</v>
      </c>
      <c r="H211">
        <v>4</v>
      </c>
      <c r="I211" t="s">
        <v>46</v>
      </c>
      <c r="J211">
        <v>288</v>
      </c>
      <c r="K211">
        <v>4</v>
      </c>
      <c r="L211" t="s">
        <v>41</v>
      </c>
      <c r="M211">
        <v>97</v>
      </c>
      <c r="N211">
        <v>3</v>
      </c>
      <c r="O211">
        <v>3</v>
      </c>
      <c r="P211" t="s">
        <v>49</v>
      </c>
      <c r="Q211">
        <v>1</v>
      </c>
      <c r="R211" t="s">
        <v>47</v>
      </c>
      <c r="S211">
        <v>9396</v>
      </c>
      <c r="T211">
        <v>12368</v>
      </c>
      <c r="U211">
        <v>7</v>
      </c>
      <c r="V211" t="s">
        <v>38</v>
      </c>
      <c r="W211">
        <v>16</v>
      </c>
      <c r="X211">
        <v>3</v>
      </c>
      <c r="Y211">
        <v>3</v>
      </c>
      <c r="Z211">
        <v>1</v>
      </c>
      <c r="AA211">
        <v>17</v>
      </c>
      <c r="AB211" t="str">
        <f>IF(Table2[[#This Row],[TotalWorkingYears]]&lt;=5,"Early (0-5)",IF(Table2[[#This Row],[TotalWorkingYears]]&lt;=15,"Mid (6-15)","Senior (16+)"))</f>
        <v>Senior (16+)</v>
      </c>
      <c r="AC211">
        <v>3</v>
      </c>
      <c r="AD211">
        <v>3</v>
      </c>
      <c r="AE211" t="s">
        <v>64</v>
      </c>
      <c r="AF211">
        <v>2</v>
      </c>
      <c r="AG211">
        <v>0</v>
      </c>
      <c r="AH211">
        <v>3</v>
      </c>
    </row>
    <row r="212" spans="1:34" x14ac:dyDescent="0.3">
      <c r="A212" t="s">
        <v>59</v>
      </c>
      <c r="B212">
        <v>1</v>
      </c>
      <c r="C212" t="s">
        <v>32</v>
      </c>
      <c r="D212">
        <v>1045</v>
      </c>
      <c r="E212" t="s">
        <v>33</v>
      </c>
      <c r="F212">
        <v>4</v>
      </c>
      <c r="G212" t="str">
        <f>IF(Table2[[#This Row],[DistanceFromHome]]&lt;=5, "short", IF(Table2[[#This Row],[DistanceFromHome]]&lt;=15, "medium", "long"))</f>
        <v>short</v>
      </c>
      <c r="H212">
        <v>4</v>
      </c>
      <c r="I212" t="s">
        <v>46</v>
      </c>
      <c r="J212">
        <v>291</v>
      </c>
      <c r="K212">
        <v>4</v>
      </c>
      <c r="L212" t="s">
        <v>41</v>
      </c>
      <c r="M212">
        <v>32</v>
      </c>
      <c r="N212">
        <v>1</v>
      </c>
      <c r="O212">
        <v>3</v>
      </c>
      <c r="P212" t="s">
        <v>36</v>
      </c>
      <c r="Q212">
        <v>4</v>
      </c>
      <c r="R212" t="s">
        <v>43</v>
      </c>
      <c r="S212">
        <v>10400</v>
      </c>
      <c r="T212">
        <v>25812</v>
      </c>
      <c r="U212">
        <v>1</v>
      </c>
      <c r="V212" t="s">
        <v>38</v>
      </c>
      <c r="W212">
        <v>11</v>
      </c>
      <c r="X212">
        <v>3</v>
      </c>
      <c r="Y212">
        <v>3</v>
      </c>
      <c r="Z212">
        <v>0</v>
      </c>
      <c r="AA212">
        <v>14</v>
      </c>
      <c r="AB212" t="str">
        <f>IF(Table2[[#This Row],[TotalWorkingYears]]&lt;=5,"Early (0-5)",IF(Table2[[#This Row],[TotalWorkingYears]]&lt;=15,"Mid (6-15)","Senior (16+)"))</f>
        <v>Mid (6-15)</v>
      </c>
      <c r="AC212">
        <v>2</v>
      </c>
      <c r="AD212">
        <v>2</v>
      </c>
      <c r="AE212" t="s">
        <v>65</v>
      </c>
      <c r="AF212">
        <v>8</v>
      </c>
      <c r="AG212">
        <v>9</v>
      </c>
      <c r="AH212">
        <v>8</v>
      </c>
    </row>
    <row r="213" spans="1:34" x14ac:dyDescent="0.3">
      <c r="A213" t="s">
        <v>59</v>
      </c>
      <c r="B213">
        <v>0</v>
      </c>
      <c r="C213" t="s">
        <v>50</v>
      </c>
      <c r="D213">
        <v>829</v>
      </c>
      <c r="E213" t="s">
        <v>40</v>
      </c>
      <c r="F213">
        <v>1</v>
      </c>
      <c r="G213" t="str">
        <f>IF(Table2[[#This Row],[DistanceFromHome]]&lt;=5, "short", IF(Table2[[#This Row],[DistanceFromHome]]&lt;=15, "medium", "long"))</f>
        <v>short</v>
      </c>
      <c r="H213">
        <v>1</v>
      </c>
      <c r="I213" t="s">
        <v>34</v>
      </c>
      <c r="J213">
        <v>292</v>
      </c>
      <c r="K213">
        <v>3</v>
      </c>
      <c r="L213" t="s">
        <v>41</v>
      </c>
      <c r="M213">
        <v>88</v>
      </c>
      <c r="N213">
        <v>2</v>
      </c>
      <c r="O213">
        <v>3</v>
      </c>
      <c r="P213" t="s">
        <v>48</v>
      </c>
      <c r="Q213">
        <v>3</v>
      </c>
      <c r="R213" t="s">
        <v>37</v>
      </c>
      <c r="S213">
        <v>8474</v>
      </c>
      <c r="T213">
        <v>20925</v>
      </c>
      <c r="U213">
        <v>1</v>
      </c>
      <c r="V213" t="s">
        <v>38</v>
      </c>
      <c r="W213">
        <v>22</v>
      </c>
      <c r="X213">
        <v>4</v>
      </c>
      <c r="Y213">
        <v>3</v>
      </c>
      <c r="Z213">
        <v>0</v>
      </c>
      <c r="AA213">
        <v>12</v>
      </c>
      <c r="AB213" t="str">
        <f>IF(Table2[[#This Row],[TotalWorkingYears]]&lt;=5,"Early (0-5)",IF(Table2[[#This Row],[TotalWorkingYears]]&lt;=15,"Mid (6-15)","Senior (16+)"))</f>
        <v>Mid (6-15)</v>
      </c>
      <c r="AC213">
        <v>2</v>
      </c>
      <c r="AD213">
        <v>3</v>
      </c>
      <c r="AE213" t="s">
        <v>65</v>
      </c>
      <c r="AF213">
        <v>8</v>
      </c>
      <c r="AG213">
        <v>5</v>
      </c>
      <c r="AH213">
        <v>8</v>
      </c>
    </row>
    <row r="214" spans="1:34" x14ac:dyDescent="0.3">
      <c r="A214" t="s">
        <v>59</v>
      </c>
      <c r="B214">
        <v>0</v>
      </c>
      <c r="C214" t="s">
        <v>39</v>
      </c>
      <c r="D214">
        <v>1242</v>
      </c>
      <c r="E214" t="s">
        <v>33</v>
      </c>
      <c r="F214">
        <v>20</v>
      </c>
      <c r="G214" t="str">
        <f>IF(Table2[[#This Row],[DistanceFromHome]]&lt;=5, "short", IF(Table2[[#This Row],[DistanceFromHome]]&lt;=15, "medium", "long"))</f>
        <v>long</v>
      </c>
      <c r="H214">
        <v>3</v>
      </c>
      <c r="I214" t="s">
        <v>34</v>
      </c>
      <c r="J214">
        <v>293</v>
      </c>
      <c r="K214">
        <v>4</v>
      </c>
      <c r="L214" t="s">
        <v>35</v>
      </c>
      <c r="M214">
        <v>90</v>
      </c>
      <c r="N214">
        <v>3</v>
      </c>
      <c r="O214">
        <v>2</v>
      </c>
      <c r="P214" t="s">
        <v>36</v>
      </c>
      <c r="Q214">
        <v>3</v>
      </c>
      <c r="R214" t="s">
        <v>37</v>
      </c>
      <c r="S214">
        <v>9981</v>
      </c>
      <c r="T214">
        <v>12916</v>
      </c>
      <c r="U214">
        <v>1</v>
      </c>
      <c r="V214" t="s">
        <v>38</v>
      </c>
      <c r="W214">
        <v>14</v>
      </c>
      <c r="X214">
        <v>3</v>
      </c>
      <c r="Y214">
        <v>4</v>
      </c>
      <c r="Z214">
        <v>0</v>
      </c>
      <c r="AA214">
        <v>7</v>
      </c>
      <c r="AB214" t="str">
        <f>IF(Table2[[#This Row],[TotalWorkingYears]]&lt;=5,"Early (0-5)",IF(Table2[[#This Row],[TotalWorkingYears]]&lt;=15,"Mid (6-15)","Senior (16+)"))</f>
        <v>Mid (6-15)</v>
      </c>
      <c r="AC214">
        <v>2</v>
      </c>
      <c r="AD214">
        <v>3</v>
      </c>
      <c r="AE214" t="s">
        <v>62</v>
      </c>
      <c r="AF214">
        <v>7</v>
      </c>
      <c r="AG214">
        <v>0</v>
      </c>
      <c r="AH214">
        <v>7</v>
      </c>
    </row>
    <row r="215" spans="1:34" x14ac:dyDescent="0.3">
      <c r="A215" t="s">
        <v>58</v>
      </c>
      <c r="B215">
        <v>0</v>
      </c>
      <c r="C215" t="s">
        <v>32</v>
      </c>
      <c r="D215">
        <v>1469</v>
      </c>
      <c r="E215" t="s">
        <v>40</v>
      </c>
      <c r="F215">
        <v>8</v>
      </c>
      <c r="G215" t="str">
        <f>IF(Table2[[#This Row],[DistanceFromHome]]&lt;=5, "short", IF(Table2[[#This Row],[DistanceFromHome]]&lt;=15, "medium", "long"))</f>
        <v>medium</v>
      </c>
      <c r="H215">
        <v>4</v>
      </c>
      <c r="I215" t="s">
        <v>34</v>
      </c>
      <c r="J215">
        <v>296</v>
      </c>
      <c r="K215">
        <v>2</v>
      </c>
      <c r="L215" t="s">
        <v>41</v>
      </c>
      <c r="M215">
        <v>81</v>
      </c>
      <c r="N215">
        <v>2</v>
      </c>
      <c r="O215">
        <v>3</v>
      </c>
      <c r="P215" t="s">
        <v>53</v>
      </c>
      <c r="Q215">
        <v>2</v>
      </c>
      <c r="R215" t="s">
        <v>43</v>
      </c>
      <c r="S215">
        <v>12490</v>
      </c>
      <c r="T215">
        <v>15736</v>
      </c>
      <c r="U215">
        <v>5</v>
      </c>
      <c r="V215" t="s">
        <v>38</v>
      </c>
      <c r="W215">
        <v>16</v>
      </c>
      <c r="X215">
        <v>3</v>
      </c>
      <c r="Y215">
        <v>4</v>
      </c>
      <c r="Z215">
        <v>2</v>
      </c>
      <c r="AA215">
        <v>16</v>
      </c>
      <c r="AB215" t="str">
        <f>IF(Table2[[#This Row],[TotalWorkingYears]]&lt;=5,"Early (0-5)",IF(Table2[[#This Row],[TotalWorkingYears]]&lt;=15,"Mid (6-15)","Senior (16+)"))</f>
        <v>Senior (16+)</v>
      </c>
      <c r="AC215">
        <v>5</v>
      </c>
      <c r="AD215">
        <v>1</v>
      </c>
      <c r="AE215" t="s">
        <v>62</v>
      </c>
      <c r="AF215">
        <v>9</v>
      </c>
      <c r="AG215">
        <v>4</v>
      </c>
      <c r="AH215">
        <v>7</v>
      </c>
    </row>
    <row r="216" spans="1:34" x14ac:dyDescent="0.3">
      <c r="A216" t="s">
        <v>59</v>
      </c>
      <c r="B216">
        <v>1</v>
      </c>
      <c r="C216" t="s">
        <v>32</v>
      </c>
      <c r="D216">
        <v>1005</v>
      </c>
      <c r="E216" t="s">
        <v>40</v>
      </c>
      <c r="F216">
        <v>3</v>
      </c>
      <c r="G216" t="str">
        <f>IF(Table2[[#This Row],[DistanceFromHome]]&lt;=5, "short", IF(Table2[[#This Row],[DistanceFromHome]]&lt;=15, "medium", "long"))</f>
        <v>short</v>
      </c>
      <c r="H216">
        <v>3</v>
      </c>
      <c r="I216" t="s">
        <v>55</v>
      </c>
      <c r="J216">
        <v>297</v>
      </c>
      <c r="K216">
        <v>4</v>
      </c>
      <c r="L216" t="s">
        <v>35</v>
      </c>
      <c r="M216">
        <v>88</v>
      </c>
      <c r="N216">
        <v>3</v>
      </c>
      <c r="O216">
        <v>1</v>
      </c>
      <c r="P216" t="s">
        <v>42</v>
      </c>
      <c r="Q216">
        <v>1</v>
      </c>
      <c r="R216" t="s">
        <v>37</v>
      </c>
      <c r="S216">
        <v>2657</v>
      </c>
      <c r="T216">
        <v>8556</v>
      </c>
      <c r="U216">
        <v>5</v>
      </c>
      <c r="V216" t="s">
        <v>31</v>
      </c>
      <c r="W216">
        <v>11</v>
      </c>
      <c r="X216">
        <v>3</v>
      </c>
      <c r="Y216">
        <v>3</v>
      </c>
      <c r="Z216">
        <v>0</v>
      </c>
      <c r="AA216">
        <v>8</v>
      </c>
      <c r="AB216" t="str">
        <f>IF(Table2[[#This Row],[TotalWorkingYears]]&lt;=5,"Early (0-5)",IF(Table2[[#This Row],[TotalWorkingYears]]&lt;=15,"Mid (6-15)","Senior (16+)"))</f>
        <v>Mid (6-15)</v>
      </c>
      <c r="AC216">
        <v>5</v>
      </c>
      <c r="AD216">
        <v>3</v>
      </c>
      <c r="AE216" t="s">
        <v>64</v>
      </c>
      <c r="AF216">
        <v>2</v>
      </c>
      <c r="AG216">
        <v>0</v>
      </c>
      <c r="AH216">
        <v>4</v>
      </c>
    </row>
    <row r="217" spans="1:34" x14ac:dyDescent="0.3">
      <c r="A217" t="s">
        <v>57</v>
      </c>
      <c r="B217">
        <v>0</v>
      </c>
      <c r="C217" t="s">
        <v>32</v>
      </c>
      <c r="D217">
        <v>896</v>
      </c>
      <c r="E217" t="s">
        <v>33</v>
      </c>
      <c r="F217">
        <v>6</v>
      </c>
      <c r="G217" t="str">
        <f>IF(Table2[[#This Row],[DistanceFromHome]]&lt;=5, "short", IF(Table2[[#This Row],[DistanceFromHome]]&lt;=15, "medium", "long"))</f>
        <v>medium</v>
      </c>
      <c r="H217">
        <v>3</v>
      </c>
      <c r="I217" t="s">
        <v>34</v>
      </c>
      <c r="J217">
        <v>298</v>
      </c>
      <c r="K217">
        <v>4</v>
      </c>
      <c r="L217" t="s">
        <v>35</v>
      </c>
      <c r="M217">
        <v>75</v>
      </c>
      <c r="N217">
        <v>3</v>
      </c>
      <c r="O217">
        <v>3</v>
      </c>
      <c r="P217" t="s">
        <v>51</v>
      </c>
      <c r="Q217">
        <v>4</v>
      </c>
      <c r="R217" t="s">
        <v>37</v>
      </c>
      <c r="S217">
        <v>13591</v>
      </c>
      <c r="T217">
        <v>14674</v>
      </c>
      <c r="U217">
        <v>3</v>
      </c>
      <c r="V217" t="s">
        <v>31</v>
      </c>
      <c r="W217">
        <v>18</v>
      </c>
      <c r="X217">
        <v>3</v>
      </c>
      <c r="Y217">
        <v>3</v>
      </c>
      <c r="Z217">
        <v>0</v>
      </c>
      <c r="AA217">
        <v>16</v>
      </c>
      <c r="AB217" t="str">
        <f>IF(Table2[[#This Row],[TotalWorkingYears]]&lt;=5,"Early (0-5)",IF(Table2[[#This Row],[TotalWorkingYears]]&lt;=15,"Mid (6-15)","Senior (16+)"))</f>
        <v>Senior (16+)</v>
      </c>
      <c r="AC217">
        <v>3</v>
      </c>
      <c r="AD217">
        <v>3</v>
      </c>
      <c r="AE217" t="s">
        <v>63</v>
      </c>
      <c r="AF217">
        <v>0</v>
      </c>
      <c r="AG217">
        <v>0</v>
      </c>
      <c r="AH217">
        <v>0</v>
      </c>
    </row>
    <row r="218" spans="1:34" x14ac:dyDescent="0.3">
      <c r="A218" t="s">
        <v>59</v>
      </c>
      <c r="B218">
        <v>1</v>
      </c>
      <c r="C218" t="s">
        <v>39</v>
      </c>
      <c r="D218">
        <v>334</v>
      </c>
      <c r="E218" t="s">
        <v>33</v>
      </c>
      <c r="F218">
        <v>26</v>
      </c>
      <c r="G218" t="str">
        <f>IF(Table2[[#This Row],[DistanceFromHome]]&lt;=5, "short", IF(Table2[[#This Row],[DistanceFromHome]]&lt;=15, "medium", "long"))</f>
        <v>long</v>
      </c>
      <c r="H218">
        <v>4</v>
      </c>
      <c r="I218" t="s">
        <v>54</v>
      </c>
      <c r="J218">
        <v>299</v>
      </c>
      <c r="K218">
        <v>3</v>
      </c>
      <c r="L218" t="s">
        <v>35</v>
      </c>
      <c r="M218">
        <v>52</v>
      </c>
      <c r="N218">
        <v>2</v>
      </c>
      <c r="O218">
        <v>2</v>
      </c>
      <c r="P218" t="s">
        <v>36</v>
      </c>
      <c r="Q218">
        <v>1</v>
      </c>
      <c r="R218" t="s">
        <v>37</v>
      </c>
      <c r="S218">
        <v>6696</v>
      </c>
      <c r="T218">
        <v>22967</v>
      </c>
      <c r="U218">
        <v>5</v>
      </c>
      <c r="V218" t="s">
        <v>38</v>
      </c>
      <c r="W218">
        <v>15</v>
      </c>
      <c r="X218">
        <v>3</v>
      </c>
      <c r="Y218">
        <v>3</v>
      </c>
      <c r="Z218">
        <v>0</v>
      </c>
      <c r="AA218">
        <v>9</v>
      </c>
      <c r="AB218" t="str">
        <f>IF(Table2[[#This Row],[TotalWorkingYears]]&lt;=5,"Early (0-5)",IF(Table2[[#This Row],[TotalWorkingYears]]&lt;=15,"Mid (6-15)","Senior (16+)"))</f>
        <v>Mid (6-15)</v>
      </c>
      <c r="AC218">
        <v>5</v>
      </c>
      <c r="AD218">
        <v>2</v>
      </c>
      <c r="AE218" t="s">
        <v>62</v>
      </c>
      <c r="AF218">
        <v>3</v>
      </c>
      <c r="AG218">
        <v>0</v>
      </c>
      <c r="AH218">
        <v>1</v>
      </c>
    </row>
    <row r="219" spans="1:34" x14ac:dyDescent="0.3">
      <c r="A219" t="s">
        <v>59</v>
      </c>
      <c r="B219">
        <v>1</v>
      </c>
      <c r="C219" t="s">
        <v>32</v>
      </c>
      <c r="D219">
        <v>992</v>
      </c>
      <c r="E219" t="s">
        <v>40</v>
      </c>
      <c r="F219">
        <v>1</v>
      </c>
      <c r="G219" t="str">
        <f>IF(Table2[[#This Row],[DistanceFromHome]]&lt;=5, "short", IF(Table2[[#This Row],[DistanceFromHome]]&lt;=15, "medium", "long"))</f>
        <v>short</v>
      </c>
      <c r="H219">
        <v>3</v>
      </c>
      <c r="I219" t="s">
        <v>55</v>
      </c>
      <c r="J219">
        <v>300</v>
      </c>
      <c r="K219">
        <v>3</v>
      </c>
      <c r="L219" t="s">
        <v>41</v>
      </c>
      <c r="M219">
        <v>85</v>
      </c>
      <c r="N219">
        <v>3</v>
      </c>
      <c r="O219">
        <v>1</v>
      </c>
      <c r="P219" t="s">
        <v>42</v>
      </c>
      <c r="Q219">
        <v>3</v>
      </c>
      <c r="R219" t="s">
        <v>37</v>
      </c>
      <c r="S219">
        <v>2058</v>
      </c>
      <c r="T219">
        <v>19757</v>
      </c>
      <c r="U219">
        <v>0</v>
      </c>
      <c r="V219" t="s">
        <v>38</v>
      </c>
      <c r="W219">
        <v>14</v>
      </c>
      <c r="X219">
        <v>3</v>
      </c>
      <c r="Y219">
        <v>4</v>
      </c>
      <c r="Z219">
        <v>0</v>
      </c>
      <c r="AA219">
        <v>7</v>
      </c>
      <c r="AB219" t="str">
        <f>IF(Table2[[#This Row],[TotalWorkingYears]]&lt;=5,"Early (0-5)",IF(Table2[[#This Row],[TotalWorkingYears]]&lt;=15,"Mid (6-15)","Senior (16+)"))</f>
        <v>Mid (6-15)</v>
      </c>
      <c r="AC219">
        <v>1</v>
      </c>
      <c r="AD219">
        <v>2</v>
      </c>
      <c r="AE219" t="s">
        <v>62</v>
      </c>
      <c r="AF219">
        <v>2</v>
      </c>
      <c r="AG219">
        <v>1</v>
      </c>
      <c r="AH219">
        <v>5</v>
      </c>
    </row>
    <row r="220" spans="1:34" x14ac:dyDescent="0.3">
      <c r="A220" t="s">
        <v>57</v>
      </c>
      <c r="B220">
        <v>0</v>
      </c>
      <c r="C220" t="s">
        <v>50</v>
      </c>
      <c r="D220">
        <v>1052</v>
      </c>
      <c r="E220" t="s">
        <v>33</v>
      </c>
      <c r="F220">
        <v>6</v>
      </c>
      <c r="G220" t="str">
        <f>IF(Table2[[#This Row],[DistanceFromHome]]&lt;=5, "short", IF(Table2[[#This Row],[DistanceFromHome]]&lt;=15, "medium", "long"))</f>
        <v>medium</v>
      </c>
      <c r="H220">
        <v>3</v>
      </c>
      <c r="I220" t="s">
        <v>46</v>
      </c>
      <c r="J220">
        <v>302</v>
      </c>
      <c r="K220">
        <v>4</v>
      </c>
      <c r="L220" t="s">
        <v>35</v>
      </c>
      <c r="M220">
        <v>57</v>
      </c>
      <c r="N220">
        <v>2</v>
      </c>
      <c r="O220">
        <v>3</v>
      </c>
      <c r="P220" t="s">
        <v>36</v>
      </c>
      <c r="Q220">
        <v>4</v>
      </c>
      <c r="R220" t="s">
        <v>37</v>
      </c>
      <c r="S220">
        <v>8865</v>
      </c>
      <c r="T220">
        <v>16840</v>
      </c>
      <c r="U220">
        <v>6</v>
      </c>
      <c r="V220" t="s">
        <v>38</v>
      </c>
      <c r="W220">
        <v>12</v>
      </c>
      <c r="X220">
        <v>3</v>
      </c>
      <c r="Y220">
        <v>4</v>
      </c>
      <c r="Z220">
        <v>0</v>
      </c>
      <c r="AA220">
        <v>23</v>
      </c>
      <c r="AB220" t="str">
        <f>IF(Table2[[#This Row],[TotalWorkingYears]]&lt;=5,"Early (0-5)",IF(Table2[[#This Row],[TotalWorkingYears]]&lt;=15,"Mid (6-15)","Senior (16+)"))</f>
        <v>Senior (16+)</v>
      </c>
      <c r="AC220">
        <v>2</v>
      </c>
      <c r="AD220">
        <v>3</v>
      </c>
      <c r="AE220" t="s">
        <v>65</v>
      </c>
      <c r="AF220">
        <v>7</v>
      </c>
      <c r="AG220">
        <v>12</v>
      </c>
      <c r="AH220">
        <v>8</v>
      </c>
    </row>
    <row r="221" spans="1:34" x14ac:dyDescent="0.3">
      <c r="A221" t="s">
        <v>58</v>
      </c>
      <c r="B221">
        <v>0</v>
      </c>
      <c r="C221" t="s">
        <v>32</v>
      </c>
      <c r="D221">
        <v>1147</v>
      </c>
      <c r="E221" t="s">
        <v>33</v>
      </c>
      <c r="F221">
        <v>3</v>
      </c>
      <c r="G221" t="str">
        <f>IF(Table2[[#This Row],[DistanceFromHome]]&lt;=5, "short", IF(Table2[[#This Row],[DistanceFromHome]]&lt;=15, "medium", "long"))</f>
        <v>short</v>
      </c>
      <c r="H221">
        <v>3</v>
      </c>
      <c r="I221" t="s">
        <v>54</v>
      </c>
      <c r="J221">
        <v>303</v>
      </c>
      <c r="K221">
        <v>4</v>
      </c>
      <c r="L221" t="s">
        <v>35</v>
      </c>
      <c r="M221">
        <v>52</v>
      </c>
      <c r="N221">
        <v>3</v>
      </c>
      <c r="O221">
        <v>2</v>
      </c>
      <c r="P221" t="s">
        <v>36</v>
      </c>
      <c r="Q221">
        <v>1</v>
      </c>
      <c r="R221" t="s">
        <v>43</v>
      </c>
      <c r="S221">
        <v>5940</v>
      </c>
      <c r="T221">
        <v>17011</v>
      </c>
      <c r="U221">
        <v>2</v>
      </c>
      <c r="V221" t="s">
        <v>38</v>
      </c>
      <c r="W221">
        <v>14</v>
      </c>
      <c r="X221">
        <v>3</v>
      </c>
      <c r="Y221">
        <v>4</v>
      </c>
      <c r="Z221">
        <v>1</v>
      </c>
      <c r="AA221">
        <v>16</v>
      </c>
      <c r="AB221" t="str">
        <f>IF(Table2[[#This Row],[TotalWorkingYears]]&lt;=5,"Early (0-5)",IF(Table2[[#This Row],[TotalWorkingYears]]&lt;=15,"Mid (6-15)","Senior (16+)"))</f>
        <v>Senior (16+)</v>
      </c>
      <c r="AC221">
        <v>4</v>
      </c>
      <c r="AD221">
        <v>3</v>
      </c>
      <c r="AE221" t="s">
        <v>62</v>
      </c>
      <c r="AF221">
        <v>2</v>
      </c>
      <c r="AG221">
        <v>0</v>
      </c>
      <c r="AH221">
        <v>5</v>
      </c>
    </row>
    <row r="222" spans="1:34" x14ac:dyDescent="0.3">
      <c r="A222" t="s">
        <v>57</v>
      </c>
      <c r="B222">
        <v>0</v>
      </c>
      <c r="C222" t="s">
        <v>32</v>
      </c>
      <c r="D222">
        <v>1396</v>
      </c>
      <c r="E222" t="s">
        <v>40</v>
      </c>
      <c r="F222">
        <v>5</v>
      </c>
      <c r="G222" t="str">
        <f>IF(Table2[[#This Row],[DistanceFromHome]]&lt;=5, "short", IF(Table2[[#This Row],[DistanceFromHome]]&lt;=15, "medium", "long"))</f>
        <v>short</v>
      </c>
      <c r="H222">
        <v>2</v>
      </c>
      <c r="I222" t="s">
        <v>34</v>
      </c>
      <c r="J222">
        <v>304</v>
      </c>
      <c r="K222">
        <v>4</v>
      </c>
      <c r="L222" t="s">
        <v>41</v>
      </c>
      <c r="M222">
        <v>62</v>
      </c>
      <c r="N222">
        <v>3</v>
      </c>
      <c r="O222">
        <v>2</v>
      </c>
      <c r="P222" t="s">
        <v>45</v>
      </c>
      <c r="Q222">
        <v>2</v>
      </c>
      <c r="R222" t="s">
        <v>37</v>
      </c>
      <c r="S222">
        <v>5914</v>
      </c>
      <c r="T222">
        <v>9945</v>
      </c>
      <c r="U222">
        <v>8</v>
      </c>
      <c r="V222" t="s">
        <v>38</v>
      </c>
      <c r="W222">
        <v>16</v>
      </c>
      <c r="X222">
        <v>3</v>
      </c>
      <c r="Y222">
        <v>4</v>
      </c>
      <c r="Z222">
        <v>0</v>
      </c>
      <c r="AA222">
        <v>16</v>
      </c>
      <c r="AB222" t="str">
        <f>IF(Table2[[#This Row],[TotalWorkingYears]]&lt;=5,"Early (0-5)",IF(Table2[[#This Row],[TotalWorkingYears]]&lt;=15,"Mid (6-15)","Senior (16+)"))</f>
        <v>Senior (16+)</v>
      </c>
      <c r="AC222">
        <v>3</v>
      </c>
      <c r="AD222">
        <v>4</v>
      </c>
      <c r="AE222" t="s">
        <v>65</v>
      </c>
      <c r="AF222">
        <v>11</v>
      </c>
      <c r="AG222">
        <v>3</v>
      </c>
      <c r="AH222">
        <v>7</v>
      </c>
    </row>
    <row r="223" spans="1:34" x14ac:dyDescent="0.3">
      <c r="A223" t="s">
        <v>59</v>
      </c>
      <c r="B223">
        <v>0</v>
      </c>
      <c r="C223" t="s">
        <v>32</v>
      </c>
      <c r="D223">
        <v>147</v>
      </c>
      <c r="E223" t="s">
        <v>40</v>
      </c>
      <c r="F223">
        <v>4</v>
      </c>
      <c r="G223" t="str">
        <f>IF(Table2[[#This Row],[DistanceFromHome]]&lt;=5, "short", IF(Table2[[#This Row],[DistanceFromHome]]&lt;=15, "medium", "long"))</f>
        <v>short</v>
      </c>
      <c r="H223">
        <v>4</v>
      </c>
      <c r="I223" t="s">
        <v>46</v>
      </c>
      <c r="J223">
        <v>305</v>
      </c>
      <c r="K223">
        <v>3</v>
      </c>
      <c r="L223" t="s">
        <v>35</v>
      </c>
      <c r="M223">
        <v>47</v>
      </c>
      <c r="N223">
        <v>2</v>
      </c>
      <c r="O223">
        <v>1</v>
      </c>
      <c r="P223" t="s">
        <v>42</v>
      </c>
      <c r="Q223">
        <v>2</v>
      </c>
      <c r="R223" t="s">
        <v>43</v>
      </c>
      <c r="S223">
        <v>2622</v>
      </c>
      <c r="T223">
        <v>13248</v>
      </c>
      <c r="U223">
        <v>6</v>
      </c>
      <c r="V223" t="s">
        <v>38</v>
      </c>
      <c r="W223">
        <v>21</v>
      </c>
      <c r="X223">
        <v>4</v>
      </c>
      <c r="Y223">
        <v>4</v>
      </c>
      <c r="Z223">
        <v>0</v>
      </c>
      <c r="AA223">
        <v>7</v>
      </c>
      <c r="AB223" t="str">
        <f>IF(Table2[[#This Row],[TotalWorkingYears]]&lt;=5,"Early (0-5)",IF(Table2[[#This Row],[TotalWorkingYears]]&lt;=15,"Mid (6-15)","Senior (16+)"))</f>
        <v>Mid (6-15)</v>
      </c>
      <c r="AC223">
        <v>3</v>
      </c>
      <c r="AD223">
        <v>3</v>
      </c>
      <c r="AE223" t="s">
        <v>64</v>
      </c>
      <c r="AF223">
        <v>2</v>
      </c>
      <c r="AG223">
        <v>1</v>
      </c>
      <c r="AH223">
        <v>1</v>
      </c>
    </row>
    <row r="224" spans="1:34" x14ac:dyDescent="0.3">
      <c r="A224" t="s">
        <v>57</v>
      </c>
      <c r="B224">
        <v>0</v>
      </c>
      <c r="C224" t="s">
        <v>39</v>
      </c>
      <c r="D224">
        <v>663</v>
      </c>
      <c r="E224" t="s">
        <v>40</v>
      </c>
      <c r="F224">
        <v>11</v>
      </c>
      <c r="G224" t="str">
        <f>IF(Table2[[#This Row],[DistanceFromHome]]&lt;=5, "short", IF(Table2[[#This Row],[DistanceFromHome]]&lt;=15, "medium", "long"))</f>
        <v>medium</v>
      </c>
      <c r="H224">
        <v>3</v>
      </c>
      <c r="I224" t="s">
        <v>44</v>
      </c>
      <c r="J224">
        <v>306</v>
      </c>
      <c r="K224">
        <v>2</v>
      </c>
      <c r="L224" t="s">
        <v>41</v>
      </c>
      <c r="M224">
        <v>47</v>
      </c>
      <c r="N224">
        <v>3</v>
      </c>
      <c r="O224">
        <v>3</v>
      </c>
      <c r="P224" t="s">
        <v>53</v>
      </c>
      <c r="Q224">
        <v>4</v>
      </c>
      <c r="R224" t="s">
        <v>47</v>
      </c>
      <c r="S224">
        <v>12185</v>
      </c>
      <c r="T224">
        <v>10056</v>
      </c>
      <c r="U224">
        <v>1</v>
      </c>
      <c r="V224" t="s">
        <v>31</v>
      </c>
      <c r="W224">
        <v>14</v>
      </c>
      <c r="X224">
        <v>3</v>
      </c>
      <c r="Y224">
        <v>3</v>
      </c>
      <c r="Z224">
        <v>3</v>
      </c>
      <c r="AA224">
        <v>10</v>
      </c>
      <c r="AB224" t="str">
        <f>IF(Table2[[#This Row],[TotalWorkingYears]]&lt;=5,"Early (0-5)",IF(Table2[[#This Row],[TotalWorkingYears]]&lt;=15,"Mid (6-15)","Senior (16+)"))</f>
        <v>Mid (6-15)</v>
      </c>
      <c r="AC224">
        <v>1</v>
      </c>
      <c r="AD224">
        <v>3</v>
      </c>
      <c r="AE224" t="s">
        <v>62</v>
      </c>
      <c r="AF224">
        <v>8</v>
      </c>
      <c r="AG224">
        <v>0</v>
      </c>
      <c r="AH224">
        <v>7</v>
      </c>
    </row>
    <row r="225" spans="1:34" x14ac:dyDescent="0.3">
      <c r="A225" t="s">
        <v>57</v>
      </c>
      <c r="B225">
        <v>0</v>
      </c>
      <c r="C225" t="s">
        <v>32</v>
      </c>
      <c r="D225">
        <v>119</v>
      </c>
      <c r="E225" t="s">
        <v>33</v>
      </c>
      <c r="F225">
        <v>3</v>
      </c>
      <c r="G225" t="str">
        <f>IF(Table2[[#This Row],[DistanceFromHome]]&lt;=5, "short", IF(Table2[[#This Row],[DistanceFromHome]]&lt;=15, "medium", "long"))</f>
        <v>short</v>
      </c>
      <c r="H225">
        <v>3</v>
      </c>
      <c r="I225" t="s">
        <v>34</v>
      </c>
      <c r="J225">
        <v>307</v>
      </c>
      <c r="K225">
        <v>1</v>
      </c>
      <c r="L225" t="s">
        <v>41</v>
      </c>
      <c r="M225">
        <v>76</v>
      </c>
      <c r="N225">
        <v>3</v>
      </c>
      <c r="O225">
        <v>3</v>
      </c>
      <c r="P225" t="s">
        <v>36</v>
      </c>
      <c r="Q225">
        <v>3</v>
      </c>
      <c r="R225" t="s">
        <v>47</v>
      </c>
      <c r="S225">
        <v>10609</v>
      </c>
      <c r="T225">
        <v>9647</v>
      </c>
      <c r="U225">
        <v>0</v>
      </c>
      <c r="V225" t="s">
        <v>38</v>
      </c>
      <c r="W225">
        <v>12</v>
      </c>
      <c r="X225">
        <v>3</v>
      </c>
      <c r="Y225">
        <v>3</v>
      </c>
      <c r="Z225">
        <v>2</v>
      </c>
      <c r="AA225">
        <v>17</v>
      </c>
      <c r="AB225" t="str">
        <f>IF(Table2[[#This Row],[TotalWorkingYears]]&lt;=5,"Early (0-5)",IF(Table2[[#This Row],[TotalWorkingYears]]&lt;=15,"Mid (6-15)","Senior (16+)"))</f>
        <v>Senior (16+)</v>
      </c>
      <c r="AC225">
        <v>6</v>
      </c>
      <c r="AD225">
        <v>2</v>
      </c>
      <c r="AE225" t="s">
        <v>65</v>
      </c>
      <c r="AF225">
        <v>10</v>
      </c>
      <c r="AG225">
        <v>5</v>
      </c>
      <c r="AH225">
        <v>13</v>
      </c>
    </row>
    <row r="226" spans="1:34" x14ac:dyDescent="0.3">
      <c r="A226" t="s">
        <v>59</v>
      </c>
      <c r="B226">
        <v>0</v>
      </c>
      <c r="C226" t="s">
        <v>50</v>
      </c>
      <c r="D226">
        <v>979</v>
      </c>
      <c r="E226" t="s">
        <v>40</v>
      </c>
      <c r="F226">
        <v>1</v>
      </c>
      <c r="G226" t="str">
        <f>IF(Table2[[#This Row],[DistanceFromHome]]&lt;=5, "short", IF(Table2[[#This Row],[DistanceFromHome]]&lt;=15, "medium", "long"))</f>
        <v>short</v>
      </c>
      <c r="H226">
        <v>4</v>
      </c>
      <c r="I226" t="s">
        <v>46</v>
      </c>
      <c r="J226">
        <v>308</v>
      </c>
      <c r="K226">
        <v>3</v>
      </c>
      <c r="L226" t="s">
        <v>41</v>
      </c>
      <c r="M226">
        <v>90</v>
      </c>
      <c r="N226">
        <v>1</v>
      </c>
      <c r="O226">
        <v>2</v>
      </c>
      <c r="P226" t="s">
        <v>48</v>
      </c>
      <c r="Q226">
        <v>3</v>
      </c>
      <c r="R226" t="s">
        <v>43</v>
      </c>
      <c r="S226">
        <v>4345</v>
      </c>
      <c r="T226">
        <v>4381</v>
      </c>
      <c r="U226">
        <v>0</v>
      </c>
      <c r="V226" t="s">
        <v>38</v>
      </c>
      <c r="W226">
        <v>12</v>
      </c>
      <c r="X226">
        <v>3</v>
      </c>
      <c r="Y226">
        <v>4</v>
      </c>
      <c r="Z226">
        <v>1</v>
      </c>
      <c r="AA226">
        <v>6</v>
      </c>
      <c r="AB226" t="str">
        <f>IF(Table2[[#This Row],[TotalWorkingYears]]&lt;=5,"Early (0-5)",IF(Table2[[#This Row],[TotalWorkingYears]]&lt;=15,"Mid (6-15)","Senior (16+)"))</f>
        <v>Mid (6-15)</v>
      </c>
      <c r="AC226">
        <v>2</v>
      </c>
      <c r="AD226">
        <v>3</v>
      </c>
      <c r="AE226" t="s">
        <v>64</v>
      </c>
      <c r="AF226">
        <v>4</v>
      </c>
      <c r="AG226">
        <v>1</v>
      </c>
      <c r="AH226">
        <v>4</v>
      </c>
    </row>
    <row r="227" spans="1:34" x14ac:dyDescent="0.3">
      <c r="A227" t="s">
        <v>58</v>
      </c>
      <c r="B227">
        <v>0</v>
      </c>
      <c r="C227" t="s">
        <v>32</v>
      </c>
      <c r="D227">
        <v>142</v>
      </c>
      <c r="E227" t="s">
        <v>40</v>
      </c>
      <c r="F227">
        <v>3</v>
      </c>
      <c r="G227" t="str">
        <f>IF(Table2[[#This Row],[DistanceFromHome]]&lt;=5, "short", IF(Table2[[#This Row],[DistanceFromHome]]&lt;=15, "medium", "long"))</f>
        <v>short</v>
      </c>
      <c r="H227">
        <v>3</v>
      </c>
      <c r="I227" t="s">
        <v>34</v>
      </c>
      <c r="J227">
        <v>309</v>
      </c>
      <c r="K227">
        <v>3</v>
      </c>
      <c r="L227" t="s">
        <v>41</v>
      </c>
      <c r="M227">
        <v>70</v>
      </c>
      <c r="N227">
        <v>2</v>
      </c>
      <c r="O227">
        <v>1</v>
      </c>
      <c r="P227" t="s">
        <v>42</v>
      </c>
      <c r="Q227">
        <v>4</v>
      </c>
      <c r="R227" t="s">
        <v>43</v>
      </c>
      <c r="S227">
        <v>2177</v>
      </c>
      <c r="T227">
        <v>8456</v>
      </c>
      <c r="U227">
        <v>3</v>
      </c>
      <c r="V227" t="s">
        <v>38</v>
      </c>
      <c r="W227">
        <v>17</v>
      </c>
      <c r="X227">
        <v>3</v>
      </c>
      <c r="Y227">
        <v>1</v>
      </c>
      <c r="Z227">
        <v>1</v>
      </c>
      <c r="AA227">
        <v>7</v>
      </c>
      <c r="AB227" t="str">
        <f>IF(Table2[[#This Row],[TotalWorkingYears]]&lt;=5,"Early (0-5)",IF(Table2[[#This Row],[TotalWorkingYears]]&lt;=15,"Mid (6-15)","Senior (16+)"))</f>
        <v>Mid (6-15)</v>
      </c>
      <c r="AC227">
        <v>6</v>
      </c>
      <c r="AD227">
        <v>3</v>
      </c>
      <c r="AE227" t="s">
        <v>63</v>
      </c>
      <c r="AF227">
        <v>0</v>
      </c>
      <c r="AG227">
        <v>0</v>
      </c>
      <c r="AH227">
        <v>0</v>
      </c>
    </row>
    <row r="228" spans="1:34" x14ac:dyDescent="0.3">
      <c r="A228" t="s">
        <v>57</v>
      </c>
      <c r="B228">
        <v>0</v>
      </c>
      <c r="C228" t="s">
        <v>39</v>
      </c>
      <c r="D228">
        <v>319</v>
      </c>
      <c r="E228" t="s">
        <v>33</v>
      </c>
      <c r="F228">
        <v>4</v>
      </c>
      <c r="G228" t="str">
        <f>IF(Table2[[#This Row],[DistanceFromHome]]&lt;=5, "short", IF(Table2[[#This Row],[DistanceFromHome]]&lt;=15, "medium", "long"))</f>
        <v>short</v>
      </c>
      <c r="H228">
        <v>4</v>
      </c>
      <c r="I228" t="s">
        <v>54</v>
      </c>
      <c r="J228">
        <v>311</v>
      </c>
      <c r="K228">
        <v>1</v>
      </c>
      <c r="L228" t="s">
        <v>41</v>
      </c>
      <c r="M228">
        <v>41</v>
      </c>
      <c r="N228">
        <v>3</v>
      </c>
      <c r="O228">
        <v>1</v>
      </c>
      <c r="P228" t="s">
        <v>52</v>
      </c>
      <c r="Q228">
        <v>4</v>
      </c>
      <c r="R228" t="s">
        <v>47</v>
      </c>
      <c r="S228">
        <v>2793</v>
      </c>
      <c r="T228">
        <v>2539</v>
      </c>
      <c r="U228">
        <v>4</v>
      </c>
      <c r="V228" t="s">
        <v>38</v>
      </c>
      <c r="W228">
        <v>17</v>
      </c>
      <c r="X228">
        <v>3</v>
      </c>
      <c r="Y228">
        <v>3</v>
      </c>
      <c r="Z228">
        <v>1</v>
      </c>
      <c r="AA228">
        <v>13</v>
      </c>
      <c r="AB228" t="str">
        <f>IF(Table2[[#This Row],[TotalWorkingYears]]&lt;=5,"Early (0-5)",IF(Table2[[#This Row],[TotalWorkingYears]]&lt;=15,"Mid (6-15)","Senior (16+)"))</f>
        <v>Mid (6-15)</v>
      </c>
      <c r="AC228">
        <v>2</v>
      </c>
      <c r="AD228">
        <v>3</v>
      </c>
      <c r="AE228" t="s">
        <v>62</v>
      </c>
      <c r="AF228">
        <v>8</v>
      </c>
      <c r="AG228">
        <v>5</v>
      </c>
      <c r="AH228">
        <v>8</v>
      </c>
    </row>
    <row r="229" spans="1:34" x14ac:dyDescent="0.3">
      <c r="A229" t="s">
        <v>59</v>
      </c>
      <c r="B229">
        <v>0</v>
      </c>
      <c r="C229" t="s">
        <v>39</v>
      </c>
      <c r="D229">
        <v>1413</v>
      </c>
      <c r="E229" t="s">
        <v>33</v>
      </c>
      <c r="F229">
        <v>1</v>
      </c>
      <c r="G229" t="str">
        <f>IF(Table2[[#This Row],[DistanceFromHome]]&lt;=5, "short", IF(Table2[[#This Row],[DistanceFromHome]]&lt;=15, "medium", "long"))</f>
        <v>short</v>
      </c>
      <c r="H229">
        <v>1</v>
      </c>
      <c r="I229" t="s">
        <v>46</v>
      </c>
      <c r="J229">
        <v>312</v>
      </c>
      <c r="K229">
        <v>2</v>
      </c>
      <c r="L229" t="s">
        <v>35</v>
      </c>
      <c r="M229">
        <v>42</v>
      </c>
      <c r="N229">
        <v>3</v>
      </c>
      <c r="O229">
        <v>3</v>
      </c>
      <c r="P229" t="s">
        <v>36</v>
      </c>
      <c r="Q229">
        <v>4</v>
      </c>
      <c r="R229" t="s">
        <v>43</v>
      </c>
      <c r="S229">
        <v>7918</v>
      </c>
      <c r="T229">
        <v>6599</v>
      </c>
      <c r="U229">
        <v>1</v>
      </c>
      <c r="V229" t="s">
        <v>38</v>
      </c>
      <c r="W229">
        <v>14</v>
      </c>
      <c r="X229">
        <v>3</v>
      </c>
      <c r="Y229">
        <v>4</v>
      </c>
      <c r="Z229">
        <v>1</v>
      </c>
      <c r="AA229">
        <v>11</v>
      </c>
      <c r="AB229" t="str">
        <f>IF(Table2[[#This Row],[TotalWorkingYears]]&lt;=5,"Early (0-5)",IF(Table2[[#This Row],[TotalWorkingYears]]&lt;=15,"Mid (6-15)","Senior (16+)"))</f>
        <v>Mid (6-15)</v>
      </c>
      <c r="AC229">
        <v>5</v>
      </c>
      <c r="AD229">
        <v>3</v>
      </c>
      <c r="AE229" t="s">
        <v>65</v>
      </c>
      <c r="AF229">
        <v>10</v>
      </c>
      <c r="AG229">
        <v>4</v>
      </c>
      <c r="AH229">
        <v>1</v>
      </c>
    </row>
    <row r="230" spans="1:34" x14ac:dyDescent="0.3">
      <c r="A230" t="s">
        <v>59</v>
      </c>
      <c r="B230">
        <v>0</v>
      </c>
      <c r="C230" t="s">
        <v>39</v>
      </c>
      <c r="D230">
        <v>944</v>
      </c>
      <c r="E230" t="s">
        <v>33</v>
      </c>
      <c r="F230">
        <v>1</v>
      </c>
      <c r="G230" t="str">
        <f>IF(Table2[[#This Row],[DistanceFromHome]]&lt;=5, "short", IF(Table2[[#This Row],[DistanceFromHome]]&lt;=15, "medium", "long"))</f>
        <v>short</v>
      </c>
      <c r="H230">
        <v>3</v>
      </c>
      <c r="I230" t="s">
        <v>54</v>
      </c>
      <c r="J230">
        <v>314</v>
      </c>
      <c r="K230">
        <v>3</v>
      </c>
      <c r="L230" t="s">
        <v>35</v>
      </c>
      <c r="M230">
        <v>92</v>
      </c>
      <c r="N230">
        <v>3</v>
      </c>
      <c r="O230">
        <v>3</v>
      </c>
      <c r="P230" t="s">
        <v>36</v>
      </c>
      <c r="Q230">
        <v>3</v>
      </c>
      <c r="R230" t="s">
        <v>37</v>
      </c>
      <c r="S230">
        <v>8789</v>
      </c>
      <c r="T230">
        <v>9096</v>
      </c>
      <c r="U230">
        <v>1</v>
      </c>
      <c r="V230" t="s">
        <v>38</v>
      </c>
      <c r="W230">
        <v>14</v>
      </c>
      <c r="X230">
        <v>3</v>
      </c>
      <c r="Y230">
        <v>1</v>
      </c>
      <c r="Z230">
        <v>0</v>
      </c>
      <c r="AA230">
        <v>10</v>
      </c>
      <c r="AB230" t="str">
        <f>IF(Table2[[#This Row],[TotalWorkingYears]]&lt;=5,"Early (0-5)",IF(Table2[[#This Row],[TotalWorkingYears]]&lt;=15,"Mid (6-15)","Senior (16+)"))</f>
        <v>Mid (6-15)</v>
      </c>
      <c r="AC230">
        <v>3</v>
      </c>
      <c r="AD230">
        <v>4</v>
      </c>
      <c r="AE230" t="s">
        <v>62</v>
      </c>
      <c r="AF230">
        <v>7</v>
      </c>
      <c r="AG230">
        <v>0</v>
      </c>
      <c r="AH230">
        <v>8</v>
      </c>
    </row>
    <row r="231" spans="1:34" x14ac:dyDescent="0.3">
      <c r="A231" t="s">
        <v>59</v>
      </c>
      <c r="B231">
        <v>1</v>
      </c>
      <c r="C231" t="s">
        <v>32</v>
      </c>
      <c r="D231">
        <v>896</v>
      </c>
      <c r="E231" t="s">
        <v>40</v>
      </c>
      <c r="F231">
        <v>18</v>
      </c>
      <c r="G231" t="str">
        <f>IF(Table2[[#This Row],[DistanceFromHome]]&lt;=5, "short", IF(Table2[[#This Row],[DistanceFromHome]]&lt;=15, "medium", "long"))</f>
        <v>long</v>
      </c>
      <c r="H231">
        <v>1</v>
      </c>
      <c r="I231" t="s">
        <v>46</v>
      </c>
      <c r="J231">
        <v>315</v>
      </c>
      <c r="K231">
        <v>3</v>
      </c>
      <c r="L231" t="s">
        <v>41</v>
      </c>
      <c r="M231">
        <v>86</v>
      </c>
      <c r="N231">
        <v>2</v>
      </c>
      <c r="O231">
        <v>1</v>
      </c>
      <c r="P231" t="s">
        <v>42</v>
      </c>
      <c r="Q231">
        <v>4</v>
      </c>
      <c r="R231" t="s">
        <v>37</v>
      </c>
      <c r="S231">
        <v>2389</v>
      </c>
      <c r="T231">
        <v>14961</v>
      </c>
      <c r="U231">
        <v>1</v>
      </c>
      <c r="V231" t="s">
        <v>31</v>
      </c>
      <c r="W231">
        <v>13</v>
      </c>
      <c r="X231">
        <v>3</v>
      </c>
      <c r="Y231">
        <v>3</v>
      </c>
      <c r="Z231">
        <v>0</v>
      </c>
      <c r="AA231">
        <v>4</v>
      </c>
      <c r="AB231" t="str">
        <f>IF(Table2[[#This Row],[TotalWorkingYears]]&lt;=5,"Early (0-5)",IF(Table2[[#This Row],[TotalWorkingYears]]&lt;=15,"Mid (6-15)","Senior (16+)"))</f>
        <v>Early (0-5)</v>
      </c>
      <c r="AC231">
        <v>3</v>
      </c>
      <c r="AD231">
        <v>2</v>
      </c>
      <c r="AE231" t="s">
        <v>64</v>
      </c>
      <c r="AF231">
        <v>3</v>
      </c>
      <c r="AG231">
        <v>0</v>
      </c>
      <c r="AH231">
        <v>1</v>
      </c>
    </row>
    <row r="232" spans="1:34" x14ac:dyDescent="0.3">
      <c r="A232" t="s">
        <v>58</v>
      </c>
      <c r="B232">
        <v>0</v>
      </c>
      <c r="C232" t="s">
        <v>32</v>
      </c>
      <c r="D232">
        <v>1323</v>
      </c>
      <c r="E232" t="s">
        <v>40</v>
      </c>
      <c r="F232">
        <v>2</v>
      </c>
      <c r="G232" t="str">
        <f>IF(Table2[[#This Row],[DistanceFromHome]]&lt;=5, "short", IF(Table2[[#This Row],[DistanceFromHome]]&lt;=15, "medium", "long"))</f>
        <v>short</v>
      </c>
      <c r="H232">
        <v>3</v>
      </c>
      <c r="I232" t="s">
        <v>34</v>
      </c>
      <c r="J232">
        <v>316</v>
      </c>
      <c r="K232">
        <v>3</v>
      </c>
      <c r="L232" t="s">
        <v>35</v>
      </c>
      <c r="M232">
        <v>89</v>
      </c>
      <c r="N232">
        <v>2</v>
      </c>
      <c r="O232">
        <v>1</v>
      </c>
      <c r="P232" t="s">
        <v>45</v>
      </c>
      <c r="Q232">
        <v>4</v>
      </c>
      <c r="R232" t="s">
        <v>37</v>
      </c>
      <c r="S232">
        <v>3212</v>
      </c>
      <c r="T232">
        <v>3300</v>
      </c>
      <c r="U232">
        <v>7</v>
      </c>
      <c r="V232" t="s">
        <v>38</v>
      </c>
      <c r="W232">
        <v>15</v>
      </c>
      <c r="X232">
        <v>3</v>
      </c>
      <c r="Y232">
        <v>2</v>
      </c>
      <c r="Z232">
        <v>0</v>
      </c>
      <c r="AA232">
        <v>6</v>
      </c>
      <c r="AB232" t="str">
        <f>IF(Table2[[#This Row],[TotalWorkingYears]]&lt;=5,"Early (0-5)",IF(Table2[[#This Row],[TotalWorkingYears]]&lt;=15,"Mid (6-15)","Senior (16+)"))</f>
        <v>Mid (6-15)</v>
      </c>
      <c r="AC232">
        <v>3</v>
      </c>
      <c r="AD232">
        <v>2</v>
      </c>
      <c r="AE232" t="s">
        <v>63</v>
      </c>
      <c r="AF232">
        <v>2</v>
      </c>
      <c r="AG232">
        <v>2</v>
      </c>
      <c r="AH232">
        <v>2</v>
      </c>
    </row>
    <row r="233" spans="1:34" x14ac:dyDescent="0.3">
      <c r="A233" t="s">
        <v>57</v>
      </c>
      <c r="B233">
        <v>0</v>
      </c>
      <c r="C233" t="s">
        <v>32</v>
      </c>
      <c r="D233">
        <v>532</v>
      </c>
      <c r="E233" t="s">
        <v>40</v>
      </c>
      <c r="F233">
        <v>4</v>
      </c>
      <c r="G233" t="str">
        <f>IF(Table2[[#This Row],[DistanceFromHome]]&lt;=5, "short", IF(Table2[[#This Row],[DistanceFromHome]]&lt;=15, "medium", "long"))</f>
        <v>short</v>
      </c>
      <c r="H233">
        <v>2</v>
      </c>
      <c r="I233" t="s">
        <v>55</v>
      </c>
      <c r="J233">
        <v>319</v>
      </c>
      <c r="K233">
        <v>3</v>
      </c>
      <c r="L233" t="s">
        <v>41</v>
      </c>
      <c r="M233">
        <v>58</v>
      </c>
      <c r="N233">
        <v>3</v>
      </c>
      <c r="O233">
        <v>5</v>
      </c>
      <c r="P233" t="s">
        <v>51</v>
      </c>
      <c r="Q233">
        <v>4</v>
      </c>
      <c r="R233" t="s">
        <v>43</v>
      </c>
      <c r="S233">
        <v>19232</v>
      </c>
      <c r="T233">
        <v>4933</v>
      </c>
      <c r="U233">
        <v>1</v>
      </c>
      <c r="V233" t="s">
        <v>38</v>
      </c>
      <c r="W233">
        <v>11</v>
      </c>
      <c r="X233">
        <v>3</v>
      </c>
      <c r="Y233">
        <v>4</v>
      </c>
      <c r="Z233">
        <v>0</v>
      </c>
      <c r="AA233">
        <v>22</v>
      </c>
      <c r="AB233" t="str">
        <f>IF(Table2[[#This Row],[TotalWorkingYears]]&lt;=5,"Early (0-5)",IF(Table2[[#This Row],[TotalWorkingYears]]&lt;=15,"Mid (6-15)","Senior (16+)"))</f>
        <v>Senior (16+)</v>
      </c>
      <c r="AC233">
        <v>3</v>
      </c>
      <c r="AD233">
        <v>3</v>
      </c>
      <c r="AE233" t="s">
        <v>65</v>
      </c>
      <c r="AF233">
        <v>17</v>
      </c>
      <c r="AG233">
        <v>11</v>
      </c>
      <c r="AH233">
        <v>15</v>
      </c>
    </row>
    <row r="234" spans="1:34" x14ac:dyDescent="0.3">
      <c r="A234" t="s">
        <v>58</v>
      </c>
      <c r="B234">
        <v>0</v>
      </c>
      <c r="C234" t="s">
        <v>32</v>
      </c>
      <c r="D234">
        <v>818</v>
      </c>
      <c r="E234" t="s">
        <v>56</v>
      </c>
      <c r="F234">
        <v>6</v>
      </c>
      <c r="G234" t="str">
        <f>IF(Table2[[#This Row],[DistanceFromHome]]&lt;=5, "short", IF(Table2[[#This Row],[DistanceFromHome]]&lt;=15, "medium", "long"))</f>
        <v>medium</v>
      </c>
      <c r="H234">
        <v>2</v>
      </c>
      <c r="I234" t="s">
        <v>46</v>
      </c>
      <c r="J234">
        <v>321</v>
      </c>
      <c r="K234">
        <v>2</v>
      </c>
      <c r="L234" t="s">
        <v>41</v>
      </c>
      <c r="M234">
        <v>52</v>
      </c>
      <c r="N234">
        <v>3</v>
      </c>
      <c r="O234">
        <v>1</v>
      </c>
      <c r="P234" t="s">
        <v>56</v>
      </c>
      <c r="Q234">
        <v>3</v>
      </c>
      <c r="R234" t="s">
        <v>43</v>
      </c>
      <c r="S234">
        <v>2267</v>
      </c>
      <c r="T234">
        <v>25657</v>
      </c>
      <c r="U234">
        <v>8</v>
      </c>
      <c r="V234" t="s">
        <v>38</v>
      </c>
      <c r="W234">
        <v>17</v>
      </c>
      <c r="X234">
        <v>3</v>
      </c>
      <c r="Y234">
        <v>4</v>
      </c>
      <c r="Z234">
        <v>0</v>
      </c>
      <c r="AA234">
        <v>7</v>
      </c>
      <c r="AB234" t="str">
        <f>IF(Table2[[#This Row],[TotalWorkingYears]]&lt;=5,"Early (0-5)",IF(Table2[[#This Row],[TotalWorkingYears]]&lt;=15,"Mid (6-15)","Senior (16+)"))</f>
        <v>Mid (6-15)</v>
      </c>
      <c r="AC234">
        <v>2</v>
      </c>
      <c r="AD234">
        <v>2</v>
      </c>
      <c r="AE234" t="s">
        <v>63</v>
      </c>
      <c r="AF234">
        <v>2</v>
      </c>
      <c r="AG234">
        <v>2</v>
      </c>
      <c r="AH234">
        <v>2</v>
      </c>
    </row>
    <row r="235" spans="1:34" x14ac:dyDescent="0.3">
      <c r="A235" t="s">
        <v>58</v>
      </c>
      <c r="B235">
        <v>0</v>
      </c>
      <c r="C235" t="s">
        <v>32</v>
      </c>
      <c r="D235">
        <v>854</v>
      </c>
      <c r="E235" t="s">
        <v>33</v>
      </c>
      <c r="F235">
        <v>1</v>
      </c>
      <c r="G235" t="str">
        <f>IF(Table2[[#This Row],[DistanceFromHome]]&lt;=5, "short", IF(Table2[[#This Row],[DistanceFromHome]]&lt;=15, "medium", "long"))</f>
        <v>short</v>
      </c>
      <c r="H235">
        <v>4</v>
      </c>
      <c r="I235" t="s">
        <v>46</v>
      </c>
      <c r="J235">
        <v>323</v>
      </c>
      <c r="K235">
        <v>4</v>
      </c>
      <c r="L235" t="s">
        <v>35</v>
      </c>
      <c r="M235">
        <v>68</v>
      </c>
      <c r="N235">
        <v>3</v>
      </c>
      <c r="O235">
        <v>5</v>
      </c>
      <c r="P235" t="s">
        <v>51</v>
      </c>
      <c r="Q235">
        <v>4</v>
      </c>
      <c r="R235" t="s">
        <v>47</v>
      </c>
      <c r="S235">
        <v>19517</v>
      </c>
      <c r="T235">
        <v>24118</v>
      </c>
      <c r="U235">
        <v>3</v>
      </c>
      <c r="V235" t="s">
        <v>38</v>
      </c>
      <c r="W235">
        <v>11</v>
      </c>
      <c r="X235">
        <v>3</v>
      </c>
      <c r="Y235">
        <v>3</v>
      </c>
      <c r="Z235">
        <v>1</v>
      </c>
      <c r="AA235">
        <v>32</v>
      </c>
      <c r="AB235" t="str">
        <f>IF(Table2[[#This Row],[TotalWorkingYears]]&lt;=5,"Early (0-5)",IF(Table2[[#This Row],[TotalWorkingYears]]&lt;=15,"Mid (6-15)","Senior (16+)"))</f>
        <v>Senior (16+)</v>
      </c>
      <c r="AC235">
        <v>3</v>
      </c>
      <c r="AD235">
        <v>2</v>
      </c>
      <c r="AE235" t="s">
        <v>62</v>
      </c>
      <c r="AF235">
        <v>0</v>
      </c>
      <c r="AG235">
        <v>0</v>
      </c>
      <c r="AH235">
        <v>6</v>
      </c>
    </row>
    <row r="236" spans="1:34" x14ac:dyDescent="0.3">
      <c r="A236" t="s">
        <v>59</v>
      </c>
      <c r="B236">
        <v>1</v>
      </c>
      <c r="C236" t="s">
        <v>32</v>
      </c>
      <c r="D236">
        <v>813</v>
      </c>
      <c r="E236" t="s">
        <v>40</v>
      </c>
      <c r="F236">
        <v>14</v>
      </c>
      <c r="G236" t="str">
        <f>IF(Table2[[#This Row],[DistanceFromHome]]&lt;=5, "short", IF(Table2[[#This Row],[DistanceFromHome]]&lt;=15, "medium", "long"))</f>
        <v>medium</v>
      </c>
      <c r="H236">
        <v>3</v>
      </c>
      <c r="I236" t="s">
        <v>46</v>
      </c>
      <c r="J236">
        <v>325</v>
      </c>
      <c r="K236">
        <v>3</v>
      </c>
      <c r="L236" t="s">
        <v>41</v>
      </c>
      <c r="M236">
        <v>58</v>
      </c>
      <c r="N236">
        <v>3</v>
      </c>
      <c r="O236">
        <v>1</v>
      </c>
      <c r="P236" t="s">
        <v>45</v>
      </c>
      <c r="Q236">
        <v>4</v>
      </c>
      <c r="R236" t="s">
        <v>43</v>
      </c>
      <c r="S236">
        <v>2436</v>
      </c>
      <c r="T236">
        <v>22149</v>
      </c>
      <c r="U236">
        <v>5</v>
      </c>
      <c r="V236" t="s">
        <v>31</v>
      </c>
      <c r="W236">
        <v>13</v>
      </c>
      <c r="X236">
        <v>3</v>
      </c>
      <c r="Y236">
        <v>3</v>
      </c>
      <c r="Z236">
        <v>1</v>
      </c>
      <c r="AA236">
        <v>8</v>
      </c>
      <c r="AB236" t="str">
        <f>IF(Table2[[#This Row],[TotalWorkingYears]]&lt;=5,"Early (0-5)",IF(Table2[[#This Row],[TotalWorkingYears]]&lt;=15,"Mid (6-15)","Senior (16+)"))</f>
        <v>Mid (6-15)</v>
      </c>
      <c r="AC236">
        <v>2</v>
      </c>
      <c r="AD236">
        <v>1</v>
      </c>
      <c r="AE236" t="s">
        <v>64</v>
      </c>
      <c r="AF236">
        <v>4</v>
      </c>
      <c r="AG236">
        <v>0</v>
      </c>
      <c r="AH236">
        <v>4</v>
      </c>
    </row>
    <row r="237" spans="1:34" x14ac:dyDescent="0.3">
      <c r="A237" t="s">
        <v>57</v>
      </c>
      <c r="B237">
        <v>0</v>
      </c>
      <c r="C237" t="s">
        <v>32</v>
      </c>
      <c r="D237">
        <v>1034</v>
      </c>
      <c r="E237" t="s">
        <v>33</v>
      </c>
      <c r="F237">
        <v>16</v>
      </c>
      <c r="G237" t="str">
        <f>IF(Table2[[#This Row],[DistanceFromHome]]&lt;=5, "short", IF(Table2[[#This Row],[DistanceFromHome]]&lt;=15, "medium", "long"))</f>
        <v>long</v>
      </c>
      <c r="H237">
        <v>3</v>
      </c>
      <c r="I237" t="s">
        <v>54</v>
      </c>
      <c r="J237">
        <v>327</v>
      </c>
      <c r="K237">
        <v>4</v>
      </c>
      <c r="L237" t="s">
        <v>35</v>
      </c>
      <c r="M237">
        <v>80</v>
      </c>
      <c r="N237">
        <v>3</v>
      </c>
      <c r="O237">
        <v>4</v>
      </c>
      <c r="P237" t="s">
        <v>51</v>
      </c>
      <c r="Q237">
        <v>4</v>
      </c>
      <c r="R237" t="s">
        <v>43</v>
      </c>
      <c r="S237">
        <v>16064</v>
      </c>
      <c r="T237">
        <v>7744</v>
      </c>
      <c r="U237">
        <v>5</v>
      </c>
      <c r="V237" t="s">
        <v>31</v>
      </c>
      <c r="W237">
        <v>22</v>
      </c>
      <c r="X237">
        <v>4</v>
      </c>
      <c r="Y237">
        <v>3</v>
      </c>
      <c r="Z237">
        <v>1</v>
      </c>
      <c r="AA237">
        <v>22</v>
      </c>
      <c r="AB237" t="str">
        <f>IF(Table2[[#This Row],[TotalWorkingYears]]&lt;=5,"Early (0-5)",IF(Table2[[#This Row],[TotalWorkingYears]]&lt;=15,"Mid (6-15)","Senior (16+)"))</f>
        <v>Senior (16+)</v>
      </c>
      <c r="AC237">
        <v>3</v>
      </c>
      <c r="AD237">
        <v>3</v>
      </c>
      <c r="AE237" t="s">
        <v>65</v>
      </c>
      <c r="AF237">
        <v>13</v>
      </c>
      <c r="AG237">
        <v>1</v>
      </c>
      <c r="AH237">
        <v>9</v>
      </c>
    </row>
    <row r="238" spans="1:34" x14ac:dyDescent="0.3">
      <c r="A238" t="s">
        <v>59</v>
      </c>
      <c r="B238">
        <v>1</v>
      </c>
      <c r="C238" t="s">
        <v>32</v>
      </c>
      <c r="D238">
        <v>465</v>
      </c>
      <c r="E238" t="s">
        <v>40</v>
      </c>
      <c r="F238">
        <v>2</v>
      </c>
      <c r="G238" t="str">
        <f>IF(Table2[[#This Row],[DistanceFromHome]]&lt;=5, "short", IF(Table2[[#This Row],[DistanceFromHome]]&lt;=15, "medium", "long"))</f>
        <v>short</v>
      </c>
      <c r="H238">
        <v>2</v>
      </c>
      <c r="I238" t="s">
        <v>34</v>
      </c>
      <c r="J238">
        <v>328</v>
      </c>
      <c r="K238">
        <v>1</v>
      </c>
      <c r="L238" t="s">
        <v>35</v>
      </c>
      <c r="M238">
        <v>39</v>
      </c>
      <c r="N238">
        <v>3</v>
      </c>
      <c r="O238">
        <v>1</v>
      </c>
      <c r="P238" t="s">
        <v>45</v>
      </c>
      <c r="Q238">
        <v>1</v>
      </c>
      <c r="R238" t="s">
        <v>43</v>
      </c>
      <c r="S238">
        <v>2707</v>
      </c>
      <c r="T238">
        <v>21509</v>
      </c>
      <c r="U238">
        <v>7</v>
      </c>
      <c r="V238" t="s">
        <v>38</v>
      </c>
      <c r="W238">
        <v>20</v>
      </c>
      <c r="X238">
        <v>4</v>
      </c>
      <c r="Y238">
        <v>1</v>
      </c>
      <c r="Z238">
        <v>0</v>
      </c>
      <c r="AA238">
        <v>13</v>
      </c>
      <c r="AB238" t="str">
        <f>IF(Table2[[#This Row],[TotalWorkingYears]]&lt;=5,"Early (0-5)",IF(Table2[[#This Row],[TotalWorkingYears]]&lt;=15,"Mid (6-15)","Senior (16+)"))</f>
        <v>Mid (6-15)</v>
      </c>
      <c r="AC238">
        <v>3</v>
      </c>
      <c r="AD238">
        <v>4</v>
      </c>
      <c r="AE238" t="s">
        <v>62</v>
      </c>
      <c r="AF238">
        <v>7</v>
      </c>
      <c r="AG238">
        <v>1</v>
      </c>
      <c r="AH238">
        <v>7</v>
      </c>
    </row>
    <row r="239" spans="1:34" x14ac:dyDescent="0.3">
      <c r="A239" t="s">
        <v>58</v>
      </c>
      <c r="B239">
        <v>0</v>
      </c>
      <c r="C239" t="s">
        <v>50</v>
      </c>
      <c r="D239">
        <v>771</v>
      </c>
      <c r="E239" t="s">
        <v>33</v>
      </c>
      <c r="F239">
        <v>2</v>
      </c>
      <c r="G239" t="str">
        <f>IF(Table2[[#This Row],[DistanceFromHome]]&lt;=5, "short", IF(Table2[[#This Row],[DistanceFromHome]]&lt;=15, "medium", "long"))</f>
        <v>short</v>
      </c>
      <c r="H239">
        <v>4</v>
      </c>
      <c r="I239" t="s">
        <v>34</v>
      </c>
      <c r="J239">
        <v>329</v>
      </c>
      <c r="K239">
        <v>1</v>
      </c>
      <c r="L239" t="s">
        <v>41</v>
      </c>
      <c r="M239">
        <v>79</v>
      </c>
      <c r="N239">
        <v>2</v>
      </c>
      <c r="O239">
        <v>5</v>
      </c>
      <c r="P239" t="s">
        <v>51</v>
      </c>
      <c r="Q239">
        <v>3</v>
      </c>
      <c r="R239" t="s">
        <v>37</v>
      </c>
      <c r="S239">
        <v>19068</v>
      </c>
      <c r="T239">
        <v>21030</v>
      </c>
      <c r="U239">
        <v>1</v>
      </c>
      <c r="V239" t="s">
        <v>31</v>
      </c>
      <c r="W239">
        <v>18</v>
      </c>
      <c r="X239">
        <v>3</v>
      </c>
      <c r="Y239">
        <v>4</v>
      </c>
      <c r="Z239">
        <v>0</v>
      </c>
      <c r="AA239">
        <v>33</v>
      </c>
      <c r="AB239" t="str">
        <f>IF(Table2[[#This Row],[TotalWorkingYears]]&lt;=5,"Early (0-5)",IF(Table2[[#This Row],[TotalWorkingYears]]&lt;=15,"Mid (6-15)","Senior (16+)"))</f>
        <v>Senior (16+)</v>
      </c>
      <c r="AC239">
        <v>2</v>
      </c>
      <c r="AD239">
        <v>4</v>
      </c>
      <c r="AE239" t="s">
        <v>65</v>
      </c>
      <c r="AF239">
        <v>7</v>
      </c>
      <c r="AG239">
        <v>15</v>
      </c>
      <c r="AH239">
        <v>12</v>
      </c>
    </row>
    <row r="240" spans="1:34" x14ac:dyDescent="0.3">
      <c r="A240" t="s">
        <v>59</v>
      </c>
      <c r="B240">
        <v>0</v>
      </c>
      <c r="C240" t="s">
        <v>32</v>
      </c>
      <c r="D240">
        <v>1401</v>
      </c>
      <c r="E240" t="s">
        <v>33</v>
      </c>
      <c r="F240">
        <v>4</v>
      </c>
      <c r="G240" t="str">
        <f>IF(Table2[[#This Row],[DistanceFromHome]]&lt;=5, "short", IF(Table2[[#This Row],[DistanceFromHome]]&lt;=15, "medium", "long"))</f>
        <v>short</v>
      </c>
      <c r="H240">
        <v>2</v>
      </c>
      <c r="I240" t="s">
        <v>34</v>
      </c>
      <c r="J240">
        <v>330</v>
      </c>
      <c r="K240">
        <v>3</v>
      </c>
      <c r="L240" t="s">
        <v>35</v>
      </c>
      <c r="M240">
        <v>56</v>
      </c>
      <c r="N240">
        <v>3</v>
      </c>
      <c r="O240">
        <v>1</v>
      </c>
      <c r="P240" t="s">
        <v>52</v>
      </c>
      <c r="Q240">
        <v>2</v>
      </c>
      <c r="R240" t="s">
        <v>43</v>
      </c>
      <c r="S240">
        <v>3931</v>
      </c>
      <c r="T240">
        <v>20990</v>
      </c>
      <c r="U240">
        <v>2</v>
      </c>
      <c r="V240" t="s">
        <v>38</v>
      </c>
      <c r="W240">
        <v>11</v>
      </c>
      <c r="X240">
        <v>3</v>
      </c>
      <c r="Y240">
        <v>1</v>
      </c>
      <c r="Z240">
        <v>1</v>
      </c>
      <c r="AA240">
        <v>6</v>
      </c>
      <c r="AB240" t="str">
        <f>IF(Table2[[#This Row],[TotalWorkingYears]]&lt;=5,"Early (0-5)",IF(Table2[[#This Row],[TotalWorkingYears]]&lt;=15,"Mid (6-15)","Senior (16+)"))</f>
        <v>Mid (6-15)</v>
      </c>
      <c r="AC240">
        <v>5</v>
      </c>
      <c r="AD240">
        <v>3</v>
      </c>
      <c r="AE240" t="s">
        <v>64</v>
      </c>
      <c r="AF240">
        <v>3</v>
      </c>
      <c r="AG240">
        <v>1</v>
      </c>
      <c r="AH240">
        <v>2</v>
      </c>
    </row>
    <row r="241" spans="1:34" x14ac:dyDescent="0.3">
      <c r="A241" t="s">
        <v>59</v>
      </c>
      <c r="B241">
        <v>1</v>
      </c>
      <c r="C241" t="s">
        <v>32</v>
      </c>
      <c r="D241">
        <v>515</v>
      </c>
      <c r="E241" t="s">
        <v>40</v>
      </c>
      <c r="F241">
        <v>1</v>
      </c>
      <c r="G241" t="str">
        <f>IF(Table2[[#This Row],[DistanceFromHome]]&lt;=5, "short", IF(Table2[[#This Row],[DistanceFromHome]]&lt;=15, "medium", "long"))</f>
        <v>short</v>
      </c>
      <c r="H241">
        <v>3</v>
      </c>
      <c r="I241" t="s">
        <v>34</v>
      </c>
      <c r="J241">
        <v>331</v>
      </c>
      <c r="K241">
        <v>4</v>
      </c>
      <c r="L241" t="s">
        <v>41</v>
      </c>
      <c r="M241">
        <v>62</v>
      </c>
      <c r="N241">
        <v>2</v>
      </c>
      <c r="O241">
        <v>1</v>
      </c>
      <c r="P241" t="s">
        <v>45</v>
      </c>
      <c r="Q241">
        <v>3</v>
      </c>
      <c r="R241" t="s">
        <v>37</v>
      </c>
      <c r="S241">
        <v>3730</v>
      </c>
      <c r="T241">
        <v>9571</v>
      </c>
      <c r="U241">
        <v>0</v>
      </c>
      <c r="V241" t="s">
        <v>31</v>
      </c>
      <c r="W241">
        <v>14</v>
      </c>
      <c r="X241">
        <v>3</v>
      </c>
      <c r="Y241">
        <v>4</v>
      </c>
      <c r="Z241">
        <v>0</v>
      </c>
      <c r="AA241">
        <v>4</v>
      </c>
      <c r="AB241" t="str">
        <f>IF(Table2[[#This Row],[TotalWorkingYears]]&lt;=5,"Early (0-5)",IF(Table2[[#This Row],[TotalWorkingYears]]&lt;=15,"Mid (6-15)","Senior (16+)"))</f>
        <v>Early (0-5)</v>
      </c>
      <c r="AC241">
        <v>2</v>
      </c>
      <c r="AD241">
        <v>1</v>
      </c>
      <c r="AE241" t="s">
        <v>64</v>
      </c>
      <c r="AF241">
        <v>2</v>
      </c>
      <c r="AG241">
        <v>1</v>
      </c>
      <c r="AH241">
        <v>2</v>
      </c>
    </row>
    <row r="242" spans="1:34" x14ac:dyDescent="0.3">
      <c r="A242" t="s">
        <v>57</v>
      </c>
      <c r="B242">
        <v>0</v>
      </c>
      <c r="C242" t="s">
        <v>32</v>
      </c>
      <c r="D242">
        <v>1431</v>
      </c>
      <c r="E242" t="s">
        <v>40</v>
      </c>
      <c r="F242">
        <v>1</v>
      </c>
      <c r="G242" t="str">
        <f>IF(Table2[[#This Row],[DistanceFromHome]]&lt;=5, "short", IF(Table2[[#This Row],[DistanceFromHome]]&lt;=15, "medium", "long"))</f>
        <v>short</v>
      </c>
      <c r="H242">
        <v>4</v>
      </c>
      <c r="I242" t="s">
        <v>46</v>
      </c>
      <c r="J242">
        <v>332</v>
      </c>
      <c r="K242">
        <v>3</v>
      </c>
      <c r="L242" t="s">
        <v>35</v>
      </c>
      <c r="M242">
        <v>96</v>
      </c>
      <c r="N242">
        <v>3</v>
      </c>
      <c r="O242">
        <v>1</v>
      </c>
      <c r="P242" t="s">
        <v>45</v>
      </c>
      <c r="Q242">
        <v>3</v>
      </c>
      <c r="R242" t="s">
        <v>47</v>
      </c>
      <c r="S242">
        <v>2232</v>
      </c>
      <c r="T242">
        <v>15417</v>
      </c>
      <c r="U242">
        <v>7</v>
      </c>
      <c r="V242" t="s">
        <v>38</v>
      </c>
      <c r="W242">
        <v>14</v>
      </c>
      <c r="X242">
        <v>3</v>
      </c>
      <c r="Y242">
        <v>3</v>
      </c>
      <c r="Z242">
        <v>3</v>
      </c>
      <c r="AA242">
        <v>7</v>
      </c>
      <c r="AB242" t="str">
        <f>IF(Table2[[#This Row],[TotalWorkingYears]]&lt;=5,"Early (0-5)",IF(Table2[[#This Row],[TotalWorkingYears]]&lt;=15,"Mid (6-15)","Senior (16+)"))</f>
        <v>Mid (6-15)</v>
      </c>
      <c r="AC242">
        <v>1</v>
      </c>
      <c r="AD242">
        <v>3</v>
      </c>
      <c r="AE242" t="s">
        <v>64</v>
      </c>
      <c r="AF242">
        <v>2</v>
      </c>
      <c r="AG242">
        <v>1</v>
      </c>
      <c r="AH242">
        <v>2</v>
      </c>
    </row>
    <row r="243" spans="1:34" x14ac:dyDescent="0.3">
      <c r="A243" t="s">
        <v>59</v>
      </c>
      <c r="B243">
        <v>0</v>
      </c>
      <c r="C243" t="s">
        <v>50</v>
      </c>
      <c r="D243">
        <v>976</v>
      </c>
      <c r="E243" t="s">
        <v>33</v>
      </c>
      <c r="F243">
        <v>26</v>
      </c>
      <c r="G243" t="str">
        <f>IF(Table2[[#This Row],[DistanceFromHome]]&lt;=5, "short", IF(Table2[[#This Row],[DistanceFromHome]]&lt;=15, "medium", "long"))</f>
        <v>long</v>
      </c>
      <c r="H243">
        <v>4</v>
      </c>
      <c r="I243" t="s">
        <v>54</v>
      </c>
      <c r="J243">
        <v>333</v>
      </c>
      <c r="K243">
        <v>3</v>
      </c>
      <c r="L243" t="s">
        <v>41</v>
      </c>
      <c r="M243">
        <v>100</v>
      </c>
      <c r="N243">
        <v>3</v>
      </c>
      <c r="O243">
        <v>2</v>
      </c>
      <c r="P243" t="s">
        <v>36</v>
      </c>
      <c r="Q243">
        <v>4</v>
      </c>
      <c r="R243" t="s">
        <v>43</v>
      </c>
      <c r="S243">
        <v>4465</v>
      </c>
      <c r="T243">
        <v>12069</v>
      </c>
      <c r="U243">
        <v>0</v>
      </c>
      <c r="V243" t="s">
        <v>38</v>
      </c>
      <c r="W243">
        <v>18</v>
      </c>
      <c r="X243">
        <v>3</v>
      </c>
      <c r="Y243">
        <v>1</v>
      </c>
      <c r="Z243">
        <v>0</v>
      </c>
      <c r="AA243">
        <v>4</v>
      </c>
      <c r="AB243" t="str">
        <f>IF(Table2[[#This Row],[TotalWorkingYears]]&lt;=5,"Early (0-5)",IF(Table2[[#This Row],[TotalWorkingYears]]&lt;=15,"Mid (6-15)","Senior (16+)"))</f>
        <v>Early (0-5)</v>
      </c>
      <c r="AC243">
        <v>2</v>
      </c>
      <c r="AD243">
        <v>3</v>
      </c>
      <c r="AE243" t="s">
        <v>64</v>
      </c>
      <c r="AF243">
        <v>2</v>
      </c>
      <c r="AG243">
        <v>2</v>
      </c>
      <c r="AH243">
        <v>2</v>
      </c>
    </row>
    <row r="244" spans="1:34" x14ac:dyDescent="0.3">
      <c r="A244" t="s">
        <v>57</v>
      </c>
      <c r="B244">
        <v>0</v>
      </c>
      <c r="C244" t="s">
        <v>32</v>
      </c>
      <c r="D244">
        <v>1411</v>
      </c>
      <c r="E244" t="s">
        <v>40</v>
      </c>
      <c r="F244">
        <v>19</v>
      </c>
      <c r="G244" t="str">
        <f>IF(Table2[[#This Row],[DistanceFromHome]]&lt;=5, "short", IF(Table2[[#This Row],[DistanceFromHome]]&lt;=15, "medium", "long"))</f>
        <v>long</v>
      </c>
      <c r="H244">
        <v>2</v>
      </c>
      <c r="I244" t="s">
        <v>34</v>
      </c>
      <c r="J244">
        <v>334</v>
      </c>
      <c r="K244">
        <v>3</v>
      </c>
      <c r="L244" t="s">
        <v>41</v>
      </c>
      <c r="M244">
        <v>36</v>
      </c>
      <c r="N244">
        <v>3</v>
      </c>
      <c r="O244">
        <v>2</v>
      </c>
      <c r="P244" t="s">
        <v>42</v>
      </c>
      <c r="Q244">
        <v>1</v>
      </c>
      <c r="R244" t="s">
        <v>47</v>
      </c>
      <c r="S244">
        <v>3072</v>
      </c>
      <c r="T244">
        <v>19877</v>
      </c>
      <c r="U244">
        <v>2</v>
      </c>
      <c r="V244" t="s">
        <v>38</v>
      </c>
      <c r="W244">
        <v>16</v>
      </c>
      <c r="X244">
        <v>3</v>
      </c>
      <c r="Y244">
        <v>1</v>
      </c>
      <c r="Z244">
        <v>2</v>
      </c>
      <c r="AA244">
        <v>17</v>
      </c>
      <c r="AB244" t="str">
        <f>IF(Table2[[#This Row],[TotalWorkingYears]]&lt;=5,"Early (0-5)",IF(Table2[[#This Row],[TotalWorkingYears]]&lt;=15,"Mid (6-15)","Senior (16+)"))</f>
        <v>Senior (16+)</v>
      </c>
      <c r="AC244">
        <v>2</v>
      </c>
      <c r="AD244">
        <v>2</v>
      </c>
      <c r="AE244" t="s">
        <v>63</v>
      </c>
      <c r="AF244">
        <v>0</v>
      </c>
      <c r="AG244">
        <v>0</v>
      </c>
      <c r="AH244">
        <v>0</v>
      </c>
    </row>
    <row r="245" spans="1:34" x14ac:dyDescent="0.3">
      <c r="A245" t="s">
        <v>57</v>
      </c>
      <c r="B245">
        <v>0</v>
      </c>
      <c r="C245" t="s">
        <v>32</v>
      </c>
      <c r="D245">
        <v>1300</v>
      </c>
      <c r="E245" t="s">
        <v>40</v>
      </c>
      <c r="F245">
        <v>24</v>
      </c>
      <c r="G245" t="str">
        <f>IF(Table2[[#This Row],[DistanceFromHome]]&lt;=5, "short", IF(Table2[[#This Row],[DistanceFromHome]]&lt;=15, "medium", "long"))</f>
        <v>long</v>
      </c>
      <c r="H245">
        <v>2</v>
      </c>
      <c r="I245" t="s">
        <v>55</v>
      </c>
      <c r="J245">
        <v>335</v>
      </c>
      <c r="K245">
        <v>1</v>
      </c>
      <c r="L245" t="s">
        <v>41</v>
      </c>
      <c r="M245">
        <v>62</v>
      </c>
      <c r="N245">
        <v>3</v>
      </c>
      <c r="O245">
        <v>2</v>
      </c>
      <c r="P245" t="s">
        <v>42</v>
      </c>
      <c r="Q245">
        <v>4</v>
      </c>
      <c r="R245" t="s">
        <v>47</v>
      </c>
      <c r="S245">
        <v>3319</v>
      </c>
      <c r="T245">
        <v>24447</v>
      </c>
      <c r="U245">
        <v>1</v>
      </c>
      <c r="V245" t="s">
        <v>38</v>
      </c>
      <c r="W245">
        <v>17</v>
      </c>
      <c r="X245">
        <v>3</v>
      </c>
      <c r="Y245">
        <v>1</v>
      </c>
      <c r="Z245">
        <v>2</v>
      </c>
      <c r="AA245">
        <v>9</v>
      </c>
      <c r="AB245" t="str">
        <f>IF(Table2[[#This Row],[TotalWorkingYears]]&lt;=5,"Early (0-5)",IF(Table2[[#This Row],[TotalWorkingYears]]&lt;=15,"Mid (6-15)","Senior (16+)"))</f>
        <v>Mid (6-15)</v>
      </c>
      <c r="AC245">
        <v>3</v>
      </c>
      <c r="AD245">
        <v>3</v>
      </c>
      <c r="AE245" t="s">
        <v>62</v>
      </c>
      <c r="AF245">
        <v>8</v>
      </c>
      <c r="AG245">
        <v>4</v>
      </c>
      <c r="AH245">
        <v>7</v>
      </c>
    </row>
    <row r="246" spans="1:34" x14ac:dyDescent="0.3">
      <c r="A246" t="s">
        <v>57</v>
      </c>
      <c r="B246">
        <v>0</v>
      </c>
      <c r="C246" t="s">
        <v>32</v>
      </c>
      <c r="D246">
        <v>252</v>
      </c>
      <c r="E246" t="s">
        <v>40</v>
      </c>
      <c r="F246">
        <v>1</v>
      </c>
      <c r="G246" t="str">
        <f>IF(Table2[[#This Row],[DistanceFromHome]]&lt;=5, "short", IF(Table2[[#This Row],[DistanceFromHome]]&lt;=15, "medium", "long"))</f>
        <v>short</v>
      </c>
      <c r="H246">
        <v>3</v>
      </c>
      <c r="I246" t="s">
        <v>44</v>
      </c>
      <c r="J246">
        <v>336</v>
      </c>
      <c r="K246">
        <v>3</v>
      </c>
      <c r="L246" t="s">
        <v>41</v>
      </c>
      <c r="M246">
        <v>70</v>
      </c>
      <c r="N246">
        <v>4</v>
      </c>
      <c r="O246">
        <v>5</v>
      </c>
      <c r="P246" t="s">
        <v>51</v>
      </c>
      <c r="Q246">
        <v>4</v>
      </c>
      <c r="R246" t="s">
        <v>43</v>
      </c>
      <c r="S246">
        <v>19202</v>
      </c>
      <c r="T246">
        <v>15970</v>
      </c>
      <c r="U246">
        <v>0</v>
      </c>
      <c r="V246" t="s">
        <v>38</v>
      </c>
      <c r="W246">
        <v>11</v>
      </c>
      <c r="X246">
        <v>3</v>
      </c>
      <c r="Y246">
        <v>3</v>
      </c>
      <c r="Z246">
        <v>1</v>
      </c>
      <c r="AA246">
        <v>25</v>
      </c>
      <c r="AB246" t="str">
        <f>IF(Table2[[#This Row],[TotalWorkingYears]]&lt;=5,"Early (0-5)",IF(Table2[[#This Row],[TotalWorkingYears]]&lt;=15,"Mid (6-15)","Senior (16+)"))</f>
        <v>Senior (16+)</v>
      </c>
      <c r="AC246">
        <v>2</v>
      </c>
      <c r="AD246">
        <v>3</v>
      </c>
      <c r="AE246" t="s">
        <v>65</v>
      </c>
      <c r="AF246">
        <v>0</v>
      </c>
      <c r="AG246">
        <v>1</v>
      </c>
      <c r="AH246">
        <v>7</v>
      </c>
    </row>
    <row r="247" spans="1:34" x14ac:dyDescent="0.3">
      <c r="A247" t="s">
        <v>59</v>
      </c>
      <c r="B247">
        <v>0</v>
      </c>
      <c r="C247" t="s">
        <v>39</v>
      </c>
      <c r="D247">
        <v>1327</v>
      </c>
      <c r="E247" t="s">
        <v>40</v>
      </c>
      <c r="F247">
        <v>3</v>
      </c>
      <c r="G247" t="str">
        <f>IF(Table2[[#This Row],[DistanceFromHome]]&lt;=5, "short", IF(Table2[[#This Row],[DistanceFromHome]]&lt;=15, "medium", "long"))</f>
        <v>short</v>
      </c>
      <c r="H247">
        <v>4</v>
      </c>
      <c r="I247" t="s">
        <v>46</v>
      </c>
      <c r="J247">
        <v>337</v>
      </c>
      <c r="K247">
        <v>2</v>
      </c>
      <c r="L247" t="s">
        <v>41</v>
      </c>
      <c r="M247">
        <v>73</v>
      </c>
      <c r="N247">
        <v>3</v>
      </c>
      <c r="O247">
        <v>3</v>
      </c>
      <c r="P247" t="s">
        <v>53</v>
      </c>
      <c r="Q247">
        <v>3</v>
      </c>
      <c r="R247" t="s">
        <v>47</v>
      </c>
      <c r="S247">
        <v>13675</v>
      </c>
      <c r="T247">
        <v>13523</v>
      </c>
      <c r="U247">
        <v>9</v>
      </c>
      <c r="V247" t="s">
        <v>38</v>
      </c>
      <c r="W247">
        <v>12</v>
      </c>
      <c r="X247">
        <v>3</v>
      </c>
      <c r="Y247">
        <v>1</v>
      </c>
      <c r="Z247">
        <v>1</v>
      </c>
      <c r="AA247">
        <v>9</v>
      </c>
      <c r="AB247" t="str">
        <f>IF(Table2[[#This Row],[TotalWorkingYears]]&lt;=5,"Early (0-5)",IF(Table2[[#This Row],[TotalWorkingYears]]&lt;=15,"Mid (6-15)","Senior (16+)"))</f>
        <v>Mid (6-15)</v>
      </c>
      <c r="AC247">
        <v>3</v>
      </c>
      <c r="AD247">
        <v>3</v>
      </c>
      <c r="AE247" t="s">
        <v>63</v>
      </c>
      <c r="AF247">
        <v>2</v>
      </c>
      <c r="AG247">
        <v>2</v>
      </c>
      <c r="AH247">
        <v>2</v>
      </c>
    </row>
    <row r="248" spans="1:34" x14ac:dyDescent="0.3">
      <c r="A248" t="s">
        <v>59</v>
      </c>
      <c r="B248">
        <v>0</v>
      </c>
      <c r="C248" t="s">
        <v>32</v>
      </c>
      <c r="D248">
        <v>832</v>
      </c>
      <c r="E248" t="s">
        <v>40</v>
      </c>
      <c r="F248">
        <v>5</v>
      </c>
      <c r="G248" t="str">
        <f>IF(Table2[[#This Row],[DistanceFromHome]]&lt;=5, "short", IF(Table2[[#This Row],[DistanceFromHome]]&lt;=15, "medium", "long"))</f>
        <v>short</v>
      </c>
      <c r="H248">
        <v>4</v>
      </c>
      <c r="I248" t="s">
        <v>34</v>
      </c>
      <c r="J248">
        <v>338</v>
      </c>
      <c r="K248">
        <v>3</v>
      </c>
      <c r="L248" t="s">
        <v>35</v>
      </c>
      <c r="M248">
        <v>63</v>
      </c>
      <c r="N248">
        <v>2</v>
      </c>
      <c r="O248">
        <v>1</v>
      </c>
      <c r="P248" t="s">
        <v>42</v>
      </c>
      <c r="Q248">
        <v>4</v>
      </c>
      <c r="R248" t="s">
        <v>43</v>
      </c>
      <c r="S248">
        <v>2911</v>
      </c>
      <c r="T248">
        <v>14776</v>
      </c>
      <c r="U248">
        <v>1</v>
      </c>
      <c r="V248" t="s">
        <v>38</v>
      </c>
      <c r="W248">
        <v>13</v>
      </c>
      <c r="X248">
        <v>3</v>
      </c>
      <c r="Y248">
        <v>3</v>
      </c>
      <c r="Z248">
        <v>1</v>
      </c>
      <c r="AA248">
        <v>2</v>
      </c>
      <c r="AB248" t="str">
        <f>IF(Table2[[#This Row],[TotalWorkingYears]]&lt;=5,"Early (0-5)",IF(Table2[[#This Row],[TotalWorkingYears]]&lt;=15,"Mid (6-15)","Senior (16+)"))</f>
        <v>Early (0-5)</v>
      </c>
      <c r="AC248">
        <v>2</v>
      </c>
      <c r="AD248">
        <v>2</v>
      </c>
      <c r="AE248" t="s">
        <v>63</v>
      </c>
      <c r="AF248">
        <v>2</v>
      </c>
      <c r="AG248">
        <v>0</v>
      </c>
      <c r="AH248">
        <v>2</v>
      </c>
    </row>
    <row r="249" spans="1:34" x14ac:dyDescent="0.3">
      <c r="A249" t="s">
        <v>59</v>
      </c>
      <c r="B249">
        <v>0</v>
      </c>
      <c r="C249" t="s">
        <v>32</v>
      </c>
      <c r="D249">
        <v>470</v>
      </c>
      <c r="E249" t="s">
        <v>40</v>
      </c>
      <c r="F249">
        <v>2</v>
      </c>
      <c r="G249" t="str">
        <f>IF(Table2[[#This Row],[DistanceFromHome]]&lt;=5, "short", IF(Table2[[#This Row],[DistanceFromHome]]&lt;=15, "medium", "long"))</f>
        <v>short</v>
      </c>
      <c r="H249">
        <v>4</v>
      </c>
      <c r="I249" t="s">
        <v>34</v>
      </c>
      <c r="J249">
        <v>339</v>
      </c>
      <c r="K249">
        <v>4</v>
      </c>
      <c r="L249" t="s">
        <v>41</v>
      </c>
      <c r="M249">
        <v>84</v>
      </c>
      <c r="N249">
        <v>2</v>
      </c>
      <c r="O249">
        <v>2</v>
      </c>
      <c r="P249" t="s">
        <v>48</v>
      </c>
      <c r="Q249">
        <v>1</v>
      </c>
      <c r="R249" t="s">
        <v>43</v>
      </c>
      <c r="S249">
        <v>5957</v>
      </c>
      <c r="T249">
        <v>23687</v>
      </c>
      <c r="U249">
        <v>6</v>
      </c>
      <c r="V249" t="s">
        <v>38</v>
      </c>
      <c r="W249">
        <v>13</v>
      </c>
      <c r="X249">
        <v>3</v>
      </c>
      <c r="Y249">
        <v>2</v>
      </c>
      <c r="Z249">
        <v>1</v>
      </c>
      <c r="AA249">
        <v>13</v>
      </c>
      <c r="AB249" t="str">
        <f>IF(Table2[[#This Row],[TotalWorkingYears]]&lt;=5,"Early (0-5)",IF(Table2[[#This Row],[TotalWorkingYears]]&lt;=15,"Mid (6-15)","Senior (16+)"))</f>
        <v>Mid (6-15)</v>
      </c>
      <c r="AC249">
        <v>3</v>
      </c>
      <c r="AD249">
        <v>3</v>
      </c>
      <c r="AE249" t="s">
        <v>65</v>
      </c>
      <c r="AF249">
        <v>9</v>
      </c>
      <c r="AG249">
        <v>5</v>
      </c>
      <c r="AH249">
        <v>9</v>
      </c>
    </row>
    <row r="250" spans="1:34" x14ac:dyDescent="0.3">
      <c r="A250" t="s">
        <v>57</v>
      </c>
      <c r="B250">
        <v>0</v>
      </c>
      <c r="C250" t="s">
        <v>32</v>
      </c>
      <c r="D250">
        <v>1017</v>
      </c>
      <c r="E250" t="s">
        <v>40</v>
      </c>
      <c r="F250">
        <v>1</v>
      </c>
      <c r="G250" t="str">
        <f>IF(Table2[[#This Row],[DistanceFromHome]]&lt;=5, "short", IF(Table2[[#This Row],[DistanceFromHome]]&lt;=15, "medium", "long"))</f>
        <v>short</v>
      </c>
      <c r="H250">
        <v>2</v>
      </c>
      <c r="I250" t="s">
        <v>46</v>
      </c>
      <c r="J250">
        <v>340</v>
      </c>
      <c r="K250">
        <v>3</v>
      </c>
      <c r="L250" t="s">
        <v>35</v>
      </c>
      <c r="M250">
        <v>83</v>
      </c>
      <c r="N250">
        <v>2</v>
      </c>
      <c r="O250">
        <v>1</v>
      </c>
      <c r="P250" t="s">
        <v>42</v>
      </c>
      <c r="Q250">
        <v>1</v>
      </c>
      <c r="R250" t="s">
        <v>43</v>
      </c>
      <c r="S250">
        <v>3920</v>
      </c>
      <c r="T250">
        <v>18697</v>
      </c>
      <c r="U250">
        <v>2</v>
      </c>
      <c r="V250" t="s">
        <v>38</v>
      </c>
      <c r="W250">
        <v>14</v>
      </c>
      <c r="X250">
        <v>3</v>
      </c>
      <c r="Y250">
        <v>1</v>
      </c>
      <c r="Z250">
        <v>1</v>
      </c>
      <c r="AA250">
        <v>17</v>
      </c>
      <c r="AB250" t="str">
        <f>IF(Table2[[#This Row],[TotalWorkingYears]]&lt;=5,"Early (0-5)",IF(Table2[[#This Row],[TotalWorkingYears]]&lt;=15,"Mid (6-15)","Senior (16+)"))</f>
        <v>Senior (16+)</v>
      </c>
      <c r="AC250">
        <v>2</v>
      </c>
      <c r="AD250">
        <v>2</v>
      </c>
      <c r="AE250" t="s">
        <v>64</v>
      </c>
      <c r="AF250">
        <v>1</v>
      </c>
      <c r="AG250">
        <v>0</v>
      </c>
      <c r="AH250">
        <v>2</v>
      </c>
    </row>
    <row r="251" spans="1:34" x14ac:dyDescent="0.3">
      <c r="A251" t="s">
        <v>57</v>
      </c>
      <c r="B251">
        <v>0</v>
      </c>
      <c r="C251" t="s">
        <v>39</v>
      </c>
      <c r="D251">
        <v>1199</v>
      </c>
      <c r="E251" t="s">
        <v>40</v>
      </c>
      <c r="F251">
        <v>7</v>
      </c>
      <c r="G251" t="str">
        <f>IF(Table2[[#This Row],[DistanceFromHome]]&lt;=5, "short", IF(Table2[[#This Row],[DistanceFromHome]]&lt;=15, "medium", "long"))</f>
        <v>medium</v>
      </c>
      <c r="H251">
        <v>4</v>
      </c>
      <c r="I251" t="s">
        <v>34</v>
      </c>
      <c r="J251">
        <v>341</v>
      </c>
      <c r="K251">
        <v>1</v>
      </c>
      <c r="L251" t="s">
        <v>41</v>
      </c>
      <c r="M251">
        <v>77</v>
      </c>
      <c r="N251">
        <v>4</v>
      </c>
      <c r="O251">
        <v>2</v>
      </c>
      <c r="P251" t="s">
        <v>48</v>
      </c>
      <c r="Q251">
        <v>3</v>
      </c>
      <c r="R251" t="s">
        <v>43</v>
      </c>
      <c r="S251">
        <v>6434</v>
      </c>
      <c r="T251">
        <v>5118</v>
      </c>
      <c r="U251">
        <v>4</v>
      </c>
      <c r="V251" t="s">
        <v>38</v>
      </c>
      <c r="W251">
        <v>17</v>
      </c>
      <c r="X251">
        <v>3</v>
      </c>
      <c r="Y251">
        <v>4</v>
      </c>
      <c r="Z251">
        <v>1</v>
      </c>
      <c r="AA251">
        <v>9</v>
      </c>
      <c r="AB251" t="str">
        <f>IF(Table2[[#This Row],[TotalWorkingYears]]&lt;=5,"Early (0-5)",IF(Table2[[#This Row],[TotalWorkingYears]]&lt;=15,"Mid (6-15)","Senior (16+)"))</f>
        <v>Mid (6-15)</v>
      </c>
      <c r="AC251">
        <v>1</v>
      </c>
      <c r="AD251">
        <v>3</v>
      </c>
      <c r="AE251" t="s">
        <v>64</v>
      </c>
      <c r="AF251">
        <v>2</v>
      </c>
      <c r="AG251">
        <v>0</v>
      </c>
      <c r="AH251">
        <v>2</v>
      </c>
    </row>
    <row r="252" spans="1:34" x14ac:dyDescent="0.3">
      <c r="A252" t="s">
        <v>57</v>
      </c>
      <c r="B252">
        <v>1</v>
      </c>
      <c r="C252" t="s">
        <v>39</v>
      </c>
      <c r="D252">
        <v>504</v>
      </c>
      <c r="E252" t="s">
        <v>40</v>
      </c>
      <c r="F252">
        <v>10</v>
      </c>
      <c r="G252" t="str">
        <f>IF(Table2[[#This Row],[DistanceFromHome]]&lt;=5, "short", IF(Table2[[#This Row],[DistanceFromHome]]&lt;=15, "medium", "long"))</f>
        <v>medium</v>
      </c>
      <c r="H252">
        <v>3</v>
      </c>
      <c r="I252" t="s">
        <v>46</v>
      </c>
      <c r="J252">
        <v>342</v>
      </c>
      <c r="K252">
        <v>1</v>
      </c>
      <c r="L252" t="s">
        <v>41</v>
      </c>
      <c r="M252">
        <v>61</v>
      </c>
      <c r="N252">
        <v>3</v>
      </c>
      <c r="O252">
        <v>3</v>
      </c>
      <c r="P252" t="s">
        <v>48</v>
      </c>
      <c r="Q252">
        <v>3</v>
      </c>
      <c r="R252" t="s">
        <v>47</v>
      </c>
      <c r="S252">
        <v>10048</v>
      </c>
      <c r="T252">
        <v>22573</v>
      </c>
      <c r="U252">
        <v>6</v>
      </c>
      <c r="V252" t="s">
        <v>38</v>
      </c>
      <c r="W252">
        <v>11</v>
      </c>
      <c r="X252">
        <v>3</v>
      </c>
      <c r="Y252">
        <v>2</v>
      </c>
      <c r="Z252">
        <v>2</v>
      </c>
      <c r="AA252">
        <v>17</v>
      </c>
      <c r="AB252" t="str">
        <f>IF(Table2[[#This Row],[TotalWorkingYears]]&lt;=5,"Early (0-5)",IF(Table2[[#This Row],[TotalWorkingYears]]&lt;=15,"Mid (6-15)","Senior (16+)"))</f>
        <v>Senior (16+)</v>
      </c>
      <c r="AC252">
        <v>5</v>
      </c>
      <c r="AD252">
        <v>3</v>
      </c>
      <c r="AE252" t="s">
        <v>63</v>
      </c>
      <c r="AF252">
        <v>0</v>
      </c>
      <c r="AG252">
        <v>0</v>
      </c>
      <c r="AH252">
        <v>0</v>
      </c>
    </row>
    <row r="253" spans="1:34" x14ac:dyDescent="0.3">
      <c r="A253" t="s">
        <v>57</v>
      </c>
      <c r="B253">
        <v>0</v>
      </c>
      <c r="C253" t="s">
        <v>39</v>
      </c>
      <c r="D253">
        <v>505</v>
      </c>
      <c r="E253" t="s">
        <v>40</v>
      </c>
      <c r="F253">
        <v>2</v>
      </c>
      <c r="G253" t="str">
        <f>IF(Table2[[#This Row],[DistanceFromHome]]&lt;=5, "short", IF(Table2[[#This Row],[DistanceFromHome]]&lt;=15, "medium", "long"))</f>
        <v>short</v>
      </c>
      <c r="H253">
        <v>4</v>
      </c>
      <c r="I253" t="s">
        <v>55</v>
      </c>
      <c r="J253">
        <v>343</v>
      </c>
      <c r="K253">
        <v>3</v>
      </c>
      <c r="L253" t="s">
        <v>35</v>
      </c>
      <c r="M253">
        <v>64</v>
      </c>
      <c r="N253">
        <v>3</v>
      </c>
      <c r="O253">
        <v>3</v>
      </c>
      <c r="P253" t="s">
        <v>49</v>
      </c>
      <c r="Q253">
        <v>3</v>
      </c>
      <c r="R253" t="s">
        <v>37</v>
      </c>
      <c r="S253">
        <v>10938</v>
      </c>
      <c r="T253">
        <v>6420</v>
      </c>
      <c r="U253">
        <v>0</v>
      </c>
      <c r="V253" t="s">
        <v>38</v>
      </c>
      <c r="W253">
        <v>25</v>
      </c>
      <c r="X253">
        <v>4</v>
      </c>
      <c r="Y253">
        <v>4</v>
      </c>
      <c r="Z253">
        <v>0</v>
      </c>
      <c r="AA253">
        <v>20</v>
      </c>
      <c r="AB253" t="str">
        <f>IF(Table2[[#This Row],[TotalWorkingYears]]&lt;=5,"Early (0-5)",IF(Table2[[#This Row],[TotalWorkingYears]]&lt;=15,"Mid (6-15)","Senior (16+)"))</f>
        <v>Senior (16+)</v>
      </c>
      <c r="AC253">
        <v>1</v>
      </c>
      <c r="AD253">
        <v>3</v>
      </c>
      <c r="AE253" t="s">
        <v>65</v>
      </c>
      <c r="AF253">
        <v>6</v>
      </c>
      <c r="AG253">
        <v>11</v>
      </c>
      <c r="AH253">
        <v>8</v>
      </c>
    </row>
    <row r="254" spans="1:34" x14ac:dyDescent="0.3">
      <c r="A254" t="s">
        <v>59</v>
      </c>
      <c r="B254">
        <v>0</v>
      </c>
      <c r="C254" t="s">
        <v>32</v>
      </c>
      <c r="D254">
        <v>665</v>
      </c>
      <c r="E254" t="s">
        <v>40</v>
      </c>
      <c r="F254">
        <v>15</v>
      </c>
      <c r="G254" t="str">
        <f>IF(Table2[[#This Row],[DistanceFromHome]]&lt;=5, "short", IF(Table2[[#This Row],[DistanceFromHome]]&lt;=15, "medium", "long"))</f>
        <v>medium</v>
      </c>
      <c r="H254">
        <v>3</v>
      </c>
      <c r="I254" t="s">
        <v>34</v>
      </c>
      <c r="J254">
        <v>346</v>
      </c>
      <c r="K254">
        <v>3</v>
      </c>
      <c r="L254" t="s">
        <v>41</v>
      </c>
      <c r="M254">
        <v>60</v>
      </c>
      <c r="N254">
        <v>3</v>
      </c>
      <c r="O254">
        <v>1</v>
      </c>
      <c r="P254" t="s">
        <v>42</v>
      </c>
      <c r="Q254">
        <v>4</v>
      </c>
      <c r="R254" t="s">
        <v>37</v>
      </c>
      <c r="S254">
        <v>2340</v>
      </c>
      <c r="T254">
        <v>22673</v>
      </c>
      <c r="U254">
        <v>1</v>
      </c>
      <c r="V254" t="s">
        <v>38</v>
      </c>
      <c r="W254">
        <v>19</v>
      </c>
      <c r="X254">
        <v>3</v>
      </c>
      <c r="Y254">
        <v>1</v>
      </c>
      <c r="Z254">
        <v>0</v>
      </c>
      <c r="AA254">
        <v>6</v>
      </c>
      <c r="AB254" t="str">
        <f>IF(Table2[[#This Row],[TotalWorkingYears]]&lt;=5,"Early (0-5)",IF(Table2[[#This Row],[TotalWorkingYears]]&lt;=15,"Mid (6-15)","Senior (16+)"))</f>
        <v>Mid (6-15)</v>
      </c>
      <c r="AC254">
        <v>1</v>
      </c>
      <c r="AD254">
        <v>3</v>
      </c>
      <c r="AE254" t="s">
        <v>62</v>
      </c>
      <c r="AF254">
        <v>5</v>
      </c>
      <c r="AG254">
        <v>1</v>
      </c>
      <c r="AH254">
        <v>5</v>
      </c>
    </row>
    <row r="255" spans="1:34" x14ac:dyDescent="0.3">
      <c r="A255" t="s">
        <v>57</v>
      </c>
      <c r="B255">
        <v>0</v>
      </c>
      <c r="C255" t="s">
        <v>32</v>
      </c>
      <c r="D255">
        <v>916</v>
      </c>
      <c r="E255" t="s">
        <v>40</v>
      </c>
      <c r="F255">
        <v>17</v>
      </c>
      <c r="G255" t="str">
        <f>IF(Table2[[#This Row],[DistanceFromHome]]&lt;=5, "short", IF(Table2[[#This Row],[DistanceFromHome]]&lt;=15, "medium", "long"))</f>
        <v>long</v>
      </c>
      <c r="H255">
        <v>2</v>
      </c>
      <c r="I255" t="s">
        <v>34</v>
      </c>
      <c r="J255">
        <v>347</v>
      </c>
      <c r="K255">
        <v>4</v>
      </c>
      <c r="L255" t="s">
        <v>35</v>
      </c>
      <c r="M255">
        <v>82</v>
      </c>
      <c r="N255">
        <v>4</v>
      </c>
      <c r="O255">
        <v>2</v>
      </c>
      <c r="P255" t="s">
        <v>42</v>
      </c>
      <c r="Q255">
        <v>1</v>
      </c>
      <c r="R255" t="s">
        <v>37</v>
      </c>
      <c r="S255">
        <v>6545</v>
      </c>
      <c r="T255">
        <v>23016</v>
      </c>
      <c r="U255">
        <v>3</v>
      </c>
      <c r="V255" t="s">
        <v>31</v>
      </c>
      <c r="W255">
        <v>13</v>
      </c>
      <c r="X255">
        <v>3</v>
      </c>
      <c r="Y255">
        <v>3</v>
      </c>
      <c r="Z255">
        <v>0</v>
      </c>
      <c r="AA255">
        <v>10</v>
      </c>
      <c r="AB255" t="str">
        <f>IF(Table2[[#This Row],[TotalWorkingYears]]&lt;=5,"Early (0-5)",IF(Table2[[#This Row],[TotalWorkingYears]]&lt;=15,"Mid (6-15)","Senior (16+)"))</f>
        <v>Mid (6-15)</v>
      </c>
      <c r="AC255">
        <v>1</v>
      </c>
      <c r="AD255">
        <v>3</v>
      </c>
      <c r="AE255" t="s">
        <v>64</v>
      </c>
      <c r="AF255">
        <v>2</v>
      </c>
      <c r="AG255">
        <v>0</v>
      </c>
      <c r="AH255">
        <v>2</v>
      </c>
    </row>
    <row r="256" spans="1:34" x14ac:dyDescent="0.3">
      <c r="A256" t="s">
        <v>59</v>
      </c>
      <c r="B256">
        <v>0</v>
      </c>
      <c r="C256" t="s">
        <v>32</v>
      </c>
      <c r="D256">
        <v>1247</v>
      </c>
      <c r="E256" t="s">
        <v>33</v>
      </c>
      <c r="F256">
        <v>20</v>
      </c>
      <c r="G256" t="str">
        <f>IF(Table2[[#This Row],[DistanceFromHome]]&lt;=5, "short", IF(Table2[[#This Row],[DistanceFromHome]]&lt;=15, "medium", "long"))</f>
        <v>long</v>
      </c>
      <c r="H256">
        <v>2</v>
      </c>
      <c r="I256" t="s">
        <v>54</v>
      </c>
      <c r="J256">
        <v>349</v>
      </c>
      <c r="K256">
        <v>4</v>
      </c>
      <c r="L256" t="s">
        <v>41</v>
      </c>
      <c r="M256">
        <v>45</v>
      </c>
      <c r="N256">
        <v>3</v>
      </c>
      <c r="O256">
        <v>2</v>
      </c>
      <c r="P256" t="s">
        <v>36</v>
      </c>
      <c r="Q256">
        <v>4</v>
      </c>
      <c r="R256" t="s">
        <v>47</v>
      </c>
      <c r="S256">
        <v>6931</v>
      </c>
      <c r="T256">
        <v>10732</v>
      </c>
      <c r="U256">
        <v>2</v>
      </c>
      <c r="V256" t="s">
        <v>38</v>
      </c>
      <c r="W256">
        <v>14</v>
      </c>
      <c r="X256">
        <v>3</v>
      </c>
      <c r="Y256">
        <v>4</v>
      </c>
      <c r="Z256">
        <v>1</v>
      </c>
      <c r="AA256">
        <v>10</v>
      </c>
      <c r="AB256" t="str">
        <f>IF(Table2[[#This Row],[TotalWorkingYears]]&lt;=5,"Early (0-5)",IF(Table2[[#This Row],[TotalWorkingYears]]&lt;=15,"Mid (6-15)","Senior (16+)"))</f>
        <v>Mid (6-15)</v>
      </c>
      <c r="AC256">
        <v>2</v>
      </c>
      <c r="AD256">
        <v>3</v>
      </c>
      <c r="AE256" t="s">
        <v>64</v>
      </c>
      <c r="AF256">
        <v>2</v>
      </c>
      <c r="AG256">
        <v>0</v>
      </c>
      <c r="AH256">
        <v>2</v>
      </c>
    </row>
    <row r="257" spans="1:34" x14ac:dyDescent="0.3">
      <c r="A257" t="s">
        <v>60</v>
      </c>
      <c r="B257">
        <v>0</v>
      </c>
      <c r="C257" t="s">
        <v>32</v>
      </c>
      <c r="D257">
        <v>685</v>
      </c>
      <c r="E257" t="s">
        <v>40</v>
      </c>
      <c r="F257">
        <v>1</v>
      </c>
      <c r="G257" t="str">
        <f>IF(Table2[[#This Row],[DistanceFromHome]]&lt;=5, "short", IF(Table2[[#This Row],[DistanceFromHome]]&lt;=15, "medium", "long"))</f>
        <v>short</v>
      </c>
      <c r="H257">
        <v>3</v>
      </c>
      <c r="I257" t="s">
        <v>34</v>
      </c>
      <c r="J257">
        <v>350</v>
      </c>
      <c r="K257">
        <v>1</v>
      </c>
      <c r="L257" t="s">
        <v>35</v>
      </c>
      <c r="M257">
        <v>62</v>
      </c>
      <c r="N257">
        <v>3</v>
      </c>
      <c r="O257">
        <v>2</v>
      </c>
      <c r="P257" t="s">
        <v>48</v>
      </c>
      <c r="Q257">
        <v>3</v>
      </c>
      <c r="R257" t="s">
        <v>43</v>
      </c>
      <c r="S257">
        <v>4898</v>
      </c>
      <c r="T257">
        <v>7505</v>
      </c>
      <c r="U257">
        <v>0</v>
      </c>
      <c r="V257" t="s">
        <v>38</v>
      </c>
      <c r="W257">
        <v>12</v>
      </c>
      <c r="X257">
        <v>3</v>
      </c>
      <c r="Y257">
        <v>4</v>
      </c>
      <c r="Z257">
        <v>2</v>
      </c>
      <c r="AA257">
        <v>5</v>
      </c>
      <c r="AB257" t="str">
        <f>IF(Table2[[#This Row],[TotalWorkingYears]]&lt;=5,"Early (0-5)",IF(Table2[[#This Row],[TotalWorkingYears]]&lt;=15,"Mid (6-15)","Senior (16+)"))</f>
        <v>Early (0-5)</v>
      </c>
      <c r="AC257">
        <v>3</v>
      </c>
      <c r="AD257">
        <v>3</v>
      </c>
      <c r="AE257" t="s">
        <v>64</v>
      </c>
      <c r="AF257">
        <v>2</v>
      </c>
      <c r="AG257">
        <v>1</v>
      </c>
      <c r="AH257">
        <v>2</v>
      </c>
    </row>
    <row r="258" spans="1:34" x14ac:dyDescent="0.3">
      <c r="A258" t="s">
        <v>57</v>
      </c>
      <c r="B258">
        <v>0</v>
      </c>
      <c r="C258" t="s">
        <v>32</v>
      </c>
      <c r="D258">
        <v>269</v>
      </c>
      <c r="E258" t="s">
        <v>40</v>
      </c>
      <c r="F258">
        <v>2</v>
      </c>
      <c r="G258" t="str">
        <f>IF(Table2[[#This Row],[DistanceFromHome]]&lt;=5, "short", IF(Table2[[#This Row],[DistanceFromHome]]&lt;=15, "medium", "long"))</f>
        <v>short</v>
      </c>
      <c r="H258">
        <v>3</v>
      </c>
      <c r="I258" t="s">
        <v>46</v>
      </c>
      <c r="J258">
        <v>351</v>
      </c>
      <c r="K258">
        <v>4</v>
      </c>
      <c r="L258" t="s">
        <v>35</v>
      </c>
      <c r="M258">
        <v>56</v>
      </c>
      <c r="N258">
        <v>2</v>
      </c>
      <c r="O258">
        <v>1</v>
      </c>
      <c r="P258" t="s">
        <v>45</v>
      </c>
      <c r="Q258">
        <v>1</v>
      </c>
      <c r="R258" t="s">
        <v>47</v>
      </c>
      <c r="S258">
        <v>2593</v>
      </c>
      <c r="T258">
        <v>8007</v>
      </c>
      <c r="U258">
        <v>0</v>
      </c>
      <c r="V258" t="s">
        <v>31</v>
      </c>
      <c r="W258">
        <v>11</v>
      </c>
      <c r="X258">
        <v>3</v>
      </c>
      <c r="Y258">
        <v>3</v>
      </c>
      <c r="Z258">
        <v>1</v>
      </c>
      <c r="AA258">
        <v>10</v>
      </c>
      <c r="AB258" t="str">
        <f>IF(Table2[[#This Row],[TotalWorkingYears]]&lt;=5,"Early (0-5)",IF(Table2[[#This Row],[TotalWorkingYears]]&lt;=15,"Mid (6-15)","Senior (16+)"))</f>
        <v>Mid (6-15)</v>
      </c>
      <c r="AC258">
        <v>4</v>
      </c>
      <c r="AD258">
        <v>3</v>
      </c>
      <c r="AE258" t="s">
        <v>62</v>
      </c>
      <c r="AF258">
        <v>6</v>
      </c>
      <c r="AG258">
        <v>7</v>
      </c>
      <c r="AH258">
        <v>8</v>
      </c>
    </row>
    <row r="259" spans="1:34" x14ac:dyDescent="0.3">
      <c r="A259" t="s">
        <v>57</v>
      </c>
      <c r="B259">
        <v>0</v>
      </c>
      <c r="C259" t="s">
        <v>32</v>
      </c>
      <c r="D259">
        <v>1416</v>
      </c>
      <c r="E259" t="s">
        <v>40</v>
      </c>
      <c r="F259">
        <v>2</v>
      </c>
      <c r="G259" t="str">
        <f>IF(Table2[[#This Row],[DistanceFromHome]]&lt;=5, "short", IF(Table2[[#This Row],[DistanceFromHome]]&lt;=15, "medium", "long"))</f>
        <v>short</v>
      </c>
      <c r="H259">
        <v>2</v>
      </c>
      <c r="I259" t="s">
        <v>46</v>
      </c>
      <c r="J259">
        <v>352</v>
      </c>
      <c r="K259">
        <v>1</v>
      </c>
      <c r="L259" t="s">
        <v>41</v>
      </c>
      <c r="M259">
        <v>49</v>
      </c>
      <c r="N259">
        <v>3</v>
      </c>
      <c r="O259">
        <v>5</v>
      </c>
      <c r="P259" t="s">
        <v>53</v>
      </c>
      <c r="Q259">
        <v>3</v>
      </c>
      <c r="R259" t="s">
        <v>47</v>
      </c>
      <c r="S259">
        <v>19436</v>
      </c>
      <c r="T259">
        <v>5949</v>
      </c>
      <c r="U259">
        <v>0</v>
      </c>
      <c r="V259" t="s">
        <v>38</v>
      </c>
      <c r="W259">
        <v>19</v>
      </c>
      <c r="X259">
        <v>3</v>
      </c>
      <c r="Y259">
        <v>4</v>
      </c>
      <c r="Z259">
        <v>1</v>
      </c>
      <c r="AA259">
        <v>22</v>
      </c>
      <c r="AB259" t="str">
        <f>IF(Table2[[#This Row],[TotalWorkingYears]]&lt;=5,"Early (0-5)",IF(Table2[[#This Row],[TotalWorkingYears]]&lt;=15,"Mid (6-15)","Senior (16+)"))</f>
        <v>Senior (16+)</v>
      </c>
      <c r="AC259">
        <v>5</v>
      </c>
      <c r="AD259">
        <v>3</v>
      </c>
      <c r="AE259" t="s">
        <v>65</v>
      </c>
      <c r="AF259">
        <v>7</v>
      </c>
      <c r="AG259">
        <v>3</v>
      </c>
      <c r="AH259">
        <v>9</v>
      </c>
    </row>
    <row r="260" spans="1:34" x14ac:dyDescent="0.3">
      <c r="A260" t="s">
        <v>58</v>
      </c>
      <c r="B260">
        <v>0</v>
      </c>
      <c r="C260" t="s">
        <v>32</v>
      </c>
      <c r="D260">
        <v>833</v>
      </c>
      <c r="E260" t="s">
        <v>40</v>
      </c>
      <c r="F260">
        <v>1</v>
      </c>
      <c r="G260" t="str">
        <f>IF(Table2[[#This Row],[DistanceFromHome]]&lt;=5, "short", IF(Table2[[#This Row],[DistanceFromHome]]&lt;=15, "medium", "long"))</f>
        <v>short</v>
      </c>
      <c r="H260">
        <v>3</v>
      </c>
      <c r="I260" t="s">
        <v>34</v>
      </c>
      <c r="J260">
        <v>353</v>
      </c>
      <c r="K260">
        <v>3</v>
      </c>
      <c r="L260" t="s">
        <v>41</v>
      </c>
      <c r="M260">
        <v>96</v>
      </c>
      <c r="N260">
        <v>3</v>
      </c>
      <c r="O260">
        <v>1</v>
      </c>
      <c r="P260" t="s">
        <v>42</v>
      </c>
      <c r="Q260">
        <v>4</v>
      </c>
      <c r="R260" t="s">
        <v>43</v>
      </c>
      <c r="S260">
        <v>2723</v>
      </c>
      <c r="T260">
        <v>23231</v>
      </c>
      <c r="U260">
        <v>1</v>
      </c>
      <c r="V260" t="s">
        <v>38</v>
      </c>
      <c r="W260">
        <v>11</v>
      </c>
      <c r="X260">
        <v>3</v>
      </c>
      <c r="Y260">
        <v>2</v>
      </c>
      <c r="Z260">
        <v>0</v>
      </c>
      <c r="AA260">
        <v>1</v>
      </c>
      <c r="AB260" t="str">
        <f>IF(Table2[[#This Row],[TotalWorkingYears]]&lt;=5,"Early (0-5)",IF(Table2[[#This Row],[TotalWorkingYears]]&lt;=15,"Mid (6-15)","Senior (16+)"))</f>
        <v>Early (0-5)</v>
      </c>
      <c r="AC260">
        <v>0</v>
      </c>
      <c r="AD260">
        <v>2</v>
      </c>
      <c r="AE260" t="s">
        <v>63</v>
      </c>
      <c r="AF260">
        <v>0</v>
      </c>
      <c r="AG260">
        <v>0</v>
      </c>
      <c r="AH260">
        <v>0</v>
      </c>
    </row>
    <row r="261" spans="1:34" x14ac:dyDescent="0.3">
      <c r="A261" t="s">
        <v>59</v>
      </c>
      <c r="B261">
        <v>1</v>
      </c>
      <c r="C261" t="s">
        <v>39</v>
      </c>
      <c r="D261">
        <v>307</v>
      </c>
      <c r="E261" t="s">
        <v>40</v>
      </c>
      <c r="F261">
        <v>29</v>
      </c>
      <c r="G261" t="str">
        <f>IF(Table2[[#This Row],[DistanceFromHome]]&lt;=5, "short", IF(Table2[[#This Row],[DistanceFromHome]]&lt;=15, "medium", "long"))</f>
        <v>long</v>
      </c>
      <c r="H261">
        <v>2</v>
      </c>
      <c r="I261" t="s">
        <v>46</v>
      </c>
      <c r="J261">
        <v>355</v>
      </c>
      <c r="K261">
        <v>3</v>
      </c>
      <c r="L261" t="s">
        <v>41</v>
      </c>
      <c r="M261">
        <v>71</v>
      </c>
      <c r="N261">
        <v>2</v>
      </c>
      <c r="O261">
        <v>1</v>
      </c>
      <c r="P261" t="s">
        <v>45</v>
      </c>
      <c r="Q261">
        <v>2</v>
      </c>
      <c r="R261" t="s">
        <v>37</v>
      </c>
      <c r="S261">
        <v>3479</v>
      </c>
      <c r="T261">
        <v>11652</v>
      </c>
      <c r="U261">
        <v>0</v>
      </c>
      <c r="V261" t="s">
        <v>38</v>
      </c>
      <c r="W261">
        <v>11</v>
      </c>
      <c r="X261">
        <v>3</v>
      </c>
      <c r="Y261">
        <v>2</v>
      </c>
      <c r="Z261">
        <v>0</v>
      </c>
      <c r="AA261">
        <v>6</v>
      </c>
      <c r="AB261" t="str">
        <f>IF(Table2[[#This Row],[TotalWorkingYears]]&lt;=5,"Early (0-5)",IF(Table2[[#This Row],[TotalWorkingYears]]&lt;=15,"Mid (6-15)","Senior (16+)"))</f>
        <v>Mid (6-15)</v>
      </c>
      <c r="AC261">
        <v>2</v>
      </c>
      <c r="AD261">
        <v>4</v>
      </c>
      <c r="AE261" t="s">
        <v>64</v>
      </c>
      <c r="AF261">
        <v>4</v>
      </c>
      <c r="AG261">
        <v>1</v>
      </c>
      <c r="AH261">
        <v>4</v>
      </c>
    </row>
    <row r="262" spans="1:34" x14ac:dyDescent="0.3">
      <c r="A262" t="s">
        <v>59</v>
      </c>
      <c r="B262">
        <v>0</v>
      </c>
      <c r="C262" t="s">
        <v>39</v>
      </c>
      <c r="D262">
        <v>1311</v>
      </c>
      <c r="E262" t="s">
        <v>40</v>
      </c>
      <c r="F262">
        <v>7</v>
      </c>
      <c r="G262" t="str">
        <f>IF(Table2[[#This Row],[DistanceFromHome]]&lt;=5, "short", IF(Table2[[#This Row],[DistanceFromHome]]&lt;=15, "medium", "long"))</f>
        <v>medium</v>
      </c>
      <c r="H262">
        <v>3</v>
      </c>
      <c r="I262" t="s">
        <v>34</v>
      </c>
      <c r="J262">
        <v>359</v>
      </c>
      <c r="K262">
        <v>2</v>
      </c>
      <c r="L262" t="s">
        <v>41</v>
      </c>
      <c r="M262">
        <v>100</v>
      </c>
      <c r="N262">
        <v>4</v>
      </c>
      <c r="O262">
        <v>1</v>
      </c>
      <c r="P262" t="s">
        <v>45</v>
      </c>
      <c r="Q262">
        <v>2</v>
      </c>
      <c r="R262" t="s">
        <v>43</v>
      </c>
      <c r="S262">
        <v>2794</v>
      </c>
      <c r="T262">
        <v>26062</v>
      </c>
      <c r="U262">
        <v>1</v>
      </c>
      <c r="V262" t="s">
        <v>38</v>
      </c>
      <c r="W262">
        <v>20</v>
      </c>
      <c r="X262">
        <v>4</v>
      </c>
      <c r="Y262">
        <v>3</v>
      </c>
      <c r="Z262">
        <v>0</v>
      </c>
      <c r="AA262">
        <v>5</v>
      </c>
      <c r="AB262" t="str">
        <f>IF(Table2[[#This Row],[TotalWorkingYears]]&lt;=5,"Early (0-5)",IF(Table2[[#This Row],[TotalWorkingYears]]&lt;=15,"Mid (6-15)","Senior (16+)"))</f>
        <v>Early (0-5)</v>
      </c>
      <c r="AC262">
        <v>3</v>
      </c>
      <c r="AD262">
        <v>1</v>
      </c>
      <c r="AE262" t="s">
        <v>64</v>
      </c>
      <c r="AF262">
        <v>1</v>
      </c>
      <c r="AG262">
        <v>0</v>
      </c>
      <c r="AH262">
        <v>3</v>
      </c>
    </row>
    <row r="263" spans="1:34" x14ac:dyDescent="0.3">
      <c r="A263" t="s">
        <v>57</v>
      </c>
      <c r="B263">
        <v>0</v>
      </c>
      <c r="C263" t="s">
        <v>50</v>
      </c>
      <c r="D263">
        <v>1327</v>
      </c>
      <c r="E263" t="s">
        <v>33</v>
      </c>
      <c r="F263">
        <v>2</v>
      </c>
      <c r="G263" t="str">
        <f>IF(Table2[[#This Row],[DistanceFromHome]]&lt;=5, "short", IF(Table2[[#This Row],[DistanceFromHome]]&lt;=15, "medium", "long"))</f>
        <v>short</v>
      </c>
      <c r="H263">
        <v>2</v>
      </c>
      <c r="I263" t="s">
        <v>34</v>
      </c>
      <c r="J263">
        <v>361</v>
      </c>
      <c r="K263">
        <v>4</v>
      </c>
      <c r="L263" t="s">
        <v>41</v>
      </c>
      <c r="M263">
        <v>39</v>
      </c>
      <c r="N263">
        <v>2</v>
      </c>
      <c r="O263">
        <v>2</v>
      </c>
      <c r="P263" t="s">
        <v>36</v>
      </c>
      <c r="Q263">
        <v>4</v>
      </c>
      <c r="R263" t="s">
        <v>43</v>
      </c>
      <c r="S263">
        <v>5249</v>
      </c>
      <c r="T263">
        <v>19682</v>
      </c>
      <c r="U263">
        <v>3</v>
      </c>
      <c r="V263" t="s">
        <v>38</v>
      </c>
      <c r="W263">
        <v>18</v>
      </c>
      <c r="X263">
        <v>3</v>
      </c>
      <c r="Y263">
        <v>4</v>
      </c>
      <c r="Z263">
        <v>1</v>
      </c>
      <c r="AA263">
        <v>13</v>
      </c>
      <c r="AB263" t="str">
        <f>IF(Table2[[#This Row],[TotalWorkingYears]]&lt;=5,"Early (0-5)",IF(Table2[[#This Row],[TotalWorkingYears]]&lt;=15,"Mid (6-15)","Senior (16+)"))</f>
        <v>Mid (6-15)</v>
      </c>
      <c r="AC263">
        <v>0</v>
      </c>
      <c r="AD263">
        <v>3</v>
      </c>
      <c r="AE263" t="s">
        <v>62</v>
      </c>
      <c r="AF263">
        <v>7</v>
      </c>
      <c r="AG263">
        <v>7</v>
      </c>
      <c r="AH263">
        <v>5</v>
      </c>
    </row>
    <row r="264" spans="1:34" x14ac:dyDescent="0.3">
      <c r="A264" t="s">
        <v>59</v>
      </c>
      <c r="B264">
        <v>0</v>
      </c>
      <c r="C264" t="s">
        <v>32</v>
      </c>
      <c r="D264">
        <v>128</v>
      </c>
      <c r="E264" t="s">
        <v>40</v>
      </c>
      <c r="F264">
        <v>2</v>
      </c>
      <c r="G264" t="str">
        <f>IF(Table2[[#This Row],[DistanceFromHome]]&lt;=5, "short", IF(Table2[[#This Row],[DistanceFromHome]]&lt;=15, "medium", "long"))</f>
        <v>short</v>
      </c>
      <c r="H264">
        <v>1</v>
      </c>
      <c r="I264" t="s">
        <v>55</v>
      </c>
      <c r="J264">
        <v>362</v>
      </c>
      <c r="K264">
        <v>4</v>
      </c>
      <c r="L264" t="s">
        <v>41</v>
      </c>
      <c r="M264">
        <v>84</v>
      </c>
      <c r="N264">
        <v>2</v>
      </c>
      <c r="O264">
        <v>2</v>
      </c>
      <c r="P264" t="s">
        <v>45</v>
      </c>
      <c r="Q264">
        <v>1</v>
      </c>
      <c r="R264" t="s">
        <v>37</v>
      </c>
      <c r="S264">
        <v>2176</v>
      </c>
      <c r="T264">
        <v>19737</v>
      </c>
      <c r="U264">
        <v>4</v>
      </c>
      <c r="V264" t="s">
        <v>38</v>
      </c>
      <c r="W264">
        <v>13</v>
      </c>
      <c r="X264">
        <v>3</v>
      </c>
      <c r="Y264">
        <v>4</v>
      </c>
      <c r="Z264">
        <v>0</v>
      </c>
      <c r="AA264">
        <v>9</v>
      </c>
      <c r="AB264" t="str">
        <f>IF(Table2[[#This Row],[TotalWorkingYears]]&lt;=5,"Early (0-5)",IF(Table2[[#This Row],[TotalWorkingYears]]&lt;=15,"Mid (6-15)","Senior (16+)"))</f>
        <v>Mid (6-15)</v>
      </c>
      <c r="AC264">
        <v>5</v>
      </c>
      <c r="AD264">
        <v>3</v>
      </c>
      <c r="AE264" t="s">
        <v>62</v>
      </c>
      <c r="AF264">
        <v>2</v>
      </c>
      <c r="AG264">
        <v>0</v>
      </c>
      <c r="AH264">
        <v>4</v>
      </c>
    </row>
    <row r="265" spans="1:34" x14ac:dyDescent="0.3">
      <c r="A265" t="s">
        <v>58</v>
      </c>
      <c r="B265">
        <v>0</v>
      </c>
      <c r="C265" t="s">
        <v>32</v>
      </c>
      <c r="D265">
        <v>488</v>
      </c>
      <c r="E265" t="s">
        <v>33</v>
      </c>
      <c r="F265">
        <v>2</v>
      </c>
      <c r="G265" t="str">
        <f>IF(Table2[[#This Row],[DistanceFromHome]]&lt;=5, "short", IF(Table2[[#This Row],[DistanceFromHome]]&lt;=15, "medium", "long"))</f>
        <v>short</v>
      </c>
      <c r="H265">
        <v>3</v>
      </c>
      <c r="I265" t="s">
        <v>55</v>
      </c>
      <c r="J265">
        <v>363</v>
      </c>
      <c r="K265">
        <v>3</v>
      </c>
      <c r="L265" t="s">
        <v>35</v>
      </c>
      <c r="M265">
        <v>75</v>
      </c>
      <c r="N265">
        <v>1</v>
      </c>
      <c r="O265">
        <v>4</v>
      </c>
      <c r="P265" t="s">
        <v>51</v>
      </c>
      <c r="Q265">
        <v>2</v>
      </c>
      <c r="R265" t="s">
        <v>43</v>
      </c>
      <c r="S265">
        <v>16872</v>
      </c>
      <c r="T265">
        <v>14977</v>
      </c>
      <c r="U265">
        <v>3</v>
      </c>
      <c r="V265" t="s">
        <v>31</v>
      </c>
      <c r="W265">
        <v>12</v>
      </c>
      <c r="X265">
        <v>3</v>
      </c>
      <c r="Y265">
        <v>2</v>
      </c>
      <c r="Z265">
        <v>1</v>
      </c>
      <c r="AA265">
        <v>28</v>
      </c>
      <c r="AB265" t="str">
        <f>IF(Table2[[#This Row],[TotalWorkingYears]]&lt;=5,"Early (0-5)",IF(Table2[[#This Row],[TotalWorkingYears]]&lt;=15,"Mid (6-15)","Senior (16+)"))</f>
        <v>Senior (16+)</v>
      </c>
      <c r="AC265">
        <v>2</v>
      </c>
      <c r="AD265">
        <v>2</v>
      </c>
      <c r="AE265" t="s">
        <v>62</v>
      </c>
      <c r="AF265">
        <v>7</v>
      </c>
      <c r="AG265">
        <v>7</v>
      </c>
      <c r="AH265">
        <v>7</v>
      </c>
    </row>
    <row r="266" spans="1:34" x14ac:dyDescent="0.3">
      <c r="A266" t="s">
        <v>59</v>
      </c>
      <c r="B266">
        <v>1</v>
      </c>
      <c r="C266" t="s">
        <v>32</v>
      </c>
      <c r="D266">
        <v>529</v>
      </c>
      <c r="E266" t="s">
        <v>40</v>
      </c>
      <c r="F266">
        <v>2</v>
      </c>
      <c r="G266" t="str">
        <f>IF(Table2[[#This Row],[DistanceFromHome]]&lt;=5, "short", IF(Table2[[#This Row],[DistanceFromHome]]&lt;=15, "medium", "long"))</f>
        <v>short</v>
      </c>
      <c r="H266">
        <v>4</v>
      </c>
      <c r="I266" t="s">
        <v>34</v>
      </c>
      <c r="J266">
        <v>364</v>
      </c>
      <c r="K266">
        <v>1</v>
      </c>
      <c r="L266" t="s">
        <v>41</v>
      </c>
      <c r="M266">
        <v>79</v>
      </c>
      <c r="N266">
        <v>3</v>
      </c>
      <c r="O266">
        <v>1</v>
      </c>
      <c r="P266" t="s">
        <v>45</v>
      </c>
      <c r="Q266">
        <v>3</v>
      </c>
      <c r="R266" t="s">
        <v>37</v>
      </c>
      <c r="S266">
        <v>3485</v>
      </c>
      <c r="T266">
        <v>14935</v>
      </c>
      <c r="U266">
        <v>2</v>
      </c>
      <c r="V266" t="s">
        <v>38</v>
      </c>
      <c r="W266">
        <v>11</v>
      </c>
      <c r="X266">
        <v>3</v>
      </c>
      <c r="Y266">
        <v>3</v>
      </c>
      <c r="Z266">
        <v>0</v>
      </c>
      <c r="AA266">
        <v>5</v>
      </c>
      <c r="AB266" t="str">
        <f>IF(Table2[[#This Row],[TotalWorkingYears]]&lt;=5,"Early (0-5)",IF(Table2[[#This Row],[TotalWorkingYears]]&lt;=15,"Mid (6-15)","Senior (16+)"))</f>
        <v>Early (0-5)</v>
      </c>
      <c r="AC266">
        <v>5</v>
      </c>
      <c r="AD266">
        <v>1</v>
      </c>
      <c r="AE266" t="s">
        <v>63</v>
      </c>
      <c r="AF266">
        <v>0</v>
      </c>
      <c r="AG266">
        <v>0</v>
      </c>
      <c r="AH266">
        <v>0</v>
      </c>
    </row>
    <row r="267" spans="1:34" x14ac:dyDescent="0.3">
      <c r="A267" t="s">
        <v>59</v>
      </c>
      <c r="B267">
        <v>0</v>
      </c>
      <c r="C267" t="s">
        <v>32</v>
      </c>
      <c r="D267">
        <v>1210</v>
      </c>
      <c r="E267" t="s">
        <v>33</v>
      </c>
      <c r="F267">
        <v>2</v>
      </c>
      <c r="G267" t="str">
        <f>IF(Table2[[#This Row],[DistanceFromHome]]&lt;=5, "short", IF(Table2[[#This Row],[DistanceFromHome]]&lt;=15, "medium", "long"))</f>
        <v>short</v>
      </c>
      <c r="H267">
        <v>3</v>
      </c>
      <c r="I267" t="s">
        <v>46</v>
      </c>
      <c r="J267">
        <v>366</v>
      </c>
      <c r="K267">
        <v>1</v>
      </c>
      <c r="L267" t="s">
        <v>41</v>
      </c>
      <c r="M267">
        <v>78</v>
      </c>
      <c r="N267">
        <v>2</v>
      </c>
      <c r="O267">
        <v>2</v>
      </c>
      <c r="P267" t="s">
        <v>36</v>
      </c>
      <c r="Q267">
        <v>2</v>
      </c>
      <c r="R267" t="s">
        <v>43</v>
      </c>
      <c r="S267">
        <v>6644</v>
      </c>
      <c r="T267">
        <v>3687</v>
      </c>
      <c r="U267">
        <v>2</v>
      </c>
      <c r="V267" t="s">
        <v>38</v>
      </c>
      <c r="W267">
        <v>19</v>
      </c>
      <c r="X267">
        <v>3</v>
      </c>
      <c r="Y267">
        <v>2</v>
      </c>
      <c r="Z267">
        <v>2</v>
      </c>
      <c r="AA267">
        <v>10</v>
      </c>
      <c r="AB267" t="str">
        <f>IF(Table2[[#This Row],[TotalWorkingYears]]&lt;=5,"Early (0-5)",IF(Table2[[#This Row],[TotalWorkingYears]]&lt;=15,"Mid (6-15)","Senior (16+)"))</f>
        <v>Mid (6-15)</v>
      </c>
      <c r="AC267">
        <v>2</v>
      </c>
      <c r="AD267">
        <v>3</v>
      </c>
      <c r="AE267" t="s">
        <v>63</v>
      </c>
      <c r="AF267">
        <v>0</v>
      </c>
      <c r="AG267">
        <v>0</v>
      </c>
      <c r="AH267">
        <v>0</v>
      </c>
    </row>
    <row r="268" spans="1:34" x14ac:dyDescent="0.3">
      <c r="A268" t="s">
        <v>59</v>
      </c>
      <c r="B268">
        <v>0</v>
      </c>
      <c r="C268" t="s">
        <v>32</v>
      </c>
      <c r="D268">
        <v>1463</v>
      </c>
      <c r="E268" t="s">
        <v>40</v>
      </c>
      <c r="F268">
        <v>23</v>
      </c>
      <c r="G268" t="str">
        <f>IF(Table2[[#This Row],[DistanceFromHome]]&lt;=5, "short", IF(Table2[[#This Row],[DistanceFromHome]]&lt;=15, "medium", "long"))</f>
        <v>long</v>
      </c>
      <c r="H268">
        <v>3</v>
      </c>
      <c r="I268" t="s">
        <v>46</v>
      </c>
      <c r="J268">
        <v>367</v>
      </c>
      <c r="K268">
        <v>2</v>
      </c>
      <c r="L268" t="s">
        <v>41</v>
      </c>
      <c r="M268">
        <v>64</v>
      </c>
      <c r="N268">
        <v>2</v>
      </c>
      <c r="O268">
        <v>2</v>
      </c>
      <c r="P268" t="s">
        <v>49</v>
      </c>
      <c r="Q268">
        <v>4</v>
      </c>
      <c r="R268" t="s">
        <v>43</v>
      </c>
      <c r="S268">
        <v>5582</v>
      </c>
      <c r="T268">
        <v>14408</v>
      </c>
      <c r="U268">
        <v>0</v>
      </c>
      <c r="V268" t="s">
        <v>38</v>
      </c>
      <c r="W268">
        <v>21</v>
      </c>
      <c r="X268">
        <v>4</v>
      </c>
      <c r="Y268">
        <v>2</v>
      </c>
      <c r="Z268">
        <v>1</v>
      </c>
      <c r="AA268">
        <v>10</v>
      </c>
      <c r="AB268" t="str">
        <f>IF(Table2[[#This Row],[TotalWorkingYears]]&lt;=5,"Early (0-5)",IF(Table2[[#This Row],[TotalWorkingYears]]&lt;=15,"Mid (6-15)","Senior (16+)"))</f>
        <v>Mid (6-15)</v>
      </c>
      <c r="AC268">
        <v>2</v>
      </c>
      <c r="AD268">
        <v>3</v>
      </c>
      <c r="AE268" t="s">
        <v>62</v>
      </c>
      <c r="AF268">
        <v>0</v>
      </c>
      <c r="AG268">
        <v>7</v>
      </c>
      <c r="AH268">
        <v>8</v>
      </c>
    </row>
    <row r="269" spans="1:34" x14ac:dyDescent="0.3">
      <c r="A269" t="s">
        <v>60</v>
      </c>
      <c r="B269">
        <v>0</v>
      </c>
      <c r="C269" t="s">
        <v>50</v>
      </c>
      <c r="D269">
        <v>675</v>
      </c>
      <c r="E269" t="s">
        <v>40</v>
      </c>
      <c r="F269">
        <v>5</v>
      </c>
      <c r="G269" t="str">
        <f>IF(Table2[[#This Row],[DistanceFromHome]]&lt;=5, "short", IF(Table2[[#This Row],[DistanceFromHome]]&lt;=15, "medium", "long"))</f>
        <v>short</v>
      </c>
      <c r="H269">
        <v>2</v>
      </c>
      <c r="I269" t="s">
        <v>34</v>
      </c>
      <c r="J269">
        <v>369</v>
      </c>
      <c r="K269">
        <v>2</v>
      </c>
      <c r="L269" t="s">
        <v>41</v>
      </c>
      <c r="M269">
        <v>85</v>
      </c>
      <c r="N269">
        <v>4</v>
      </c>
      <c r="O269">
        <v>2</v>
      </c>
      <c r="P269" t="s">
        <v>49</v>
      </c>
      <c r="Q269">
        <v>1</v>
      </c>
      <c r="R269" t="s">
        <v>47</v>
      </c>
      <c r="S269">
        <v>4000</v>
      </c>
      <c r="T269">
        <v>18384</v>
      </c>
      <c r="U269">
        <v>1</v>
      </c>
      <c r="V269" t="s">
        <v>38</v>
      </c>
      <c r="W269">
        <v>12</v>
      </c>
      <c r="X269">
        <v>3</v>
      </c>
      <c r="Y269">
        <v>4</v>
      </c>
      <c r="Z269">
        <v>2</v>
      </c>
      <c r="AA269">
        <v>6</v>
      </c>
      <c r="AB269" t="str">
        <f>IF(Table2[[#This Row],[TotalWorkingYears]]&lt;=5,"Early (0-5)",IF(Table2[[#This Row],[TotalWorkingYears]]&lt;=15,"Mid (6-15)","Senior (16+)"))</f>
        <v>Mid (6-15)</v>
      </c>
      <c r="AC269">
        <v>2</v>
      </c>
      <c r="AD269">
        <v>3</v>
      </c>
      <c r="AE269" t="s">
        <v>62</v>
      </c>
      <c r="AF269">
        <v>3</v>
      </c>
      <c r="AG269">
        <v>1</v>
      </c>
      <c r="AH269">
        <v>5</v>
      </c>
    </row>
    <row r="270" spans="1:34" x14ac:dyDescent="0.3">
      <c r="A270" t="s">
        <v>57</v>
      </c>
      <c r="B270">
        <v>0</v>
      </c>
      <c r="C270" t="s">
        <v>32</v>
      </c>
      <c r="D270">
        <v>1385</v>
      </c>
      <c r="E270" t="s">
        <v>40</v>
      </c>
      <c r="F270">
        <v>20</v>
      </c>
      <c r="G270" t="str">
        <f>IF(Table2[[#This Row],[DistanceFromHome]]&lt;=5, "short", IF(Table2[[#This Row],[DistanceFromHome]]&lt;=15, "medium", "long"))</f>
        <v>long</v>
      </c>
      <c r="H270">
        <v>2</v>
      </c>
      <c r="I270" t="s">
        <v>46</v>
      </c>
      <c r="J270">
        <v>372</v>
      </c>
      <c r="K270">
        <v>3</v>
      </c>
      <c r="L270" t="s">
        <v>41</v>
      </c>
      <c r="M270">
        <v>79</v>
      </c>
      <c r="N270">
        <v>3</v>
      </c>
      <c r="O270">
        <v>4</v>
      </c>
      <c r="P270" t="s">
        <v>49</v>
      </c>
      <c r="Q270">
        <v>4</v>
      </c>
      <c r="R270" t="s">
        <v>43</v>
      </c>
      <c r="S270">
        <v>13496</v>
      </c>
      <c r="T270">
        <v>7501</v>
      </c>
      <c r="U270">
        <v>0</v>
      </c>
      <c r="V270" t="s">
        <v>31</v>
      </c>
      <c r="W270">
        <v>14</v>
      </c>
      <c r="X270">
        <v>3</v>
      </c>
      <c r="Y270">
        <v>2</v>
      </c>
      <c r="Z270">
        <v>0</v>
      </c>
      <c r="AA270">
        <v>21</v>
      </c>
      <c r="AB270" t="str">
        <f>IF(Table2[[#This Row],[TotalWorkingYears]]&lt;=5,"Early (0-5)",IF(Table2[[#This Row],[TotalWorkingYears]]&lt;=15,"Mid (6-15)","Senior (16+)"))</f>
        <v>Senior (16+)</v>
      </c>
      <c r="AC270">
        <v>2</v>
      </c>
      <c r="AD270">
        <v>3</v>
      </c>
      <c r="AE270" t="s">
        <v>65</v>
      </c>
      <c r="AF270">
        <v>7</v>
      </c>
      <c r="AG270">
        <v>4</v>
      </c>
      <c r="AH270">
        <v>10</v>
      </c>
    </row>
    <row r="271" spans="1:34" x14ac:dyDescent="0.3">
      <c r="A271" t="s">
        <v>57</v>
      </c>
      <c r="B271">
        <v>0</v>
      </c>
      <c r="C271" t="s">
        <v>32</v>
      </c>
      <c r="D271">
        <v>1403</v>
      </c>
      <c r="E271" t="s">
        <v>40</v>
      </c>
      <c r="F271">
        <v>6</v>
      </c>
      <c r="G271" t="str">
        <f>IF(Table2[[#This Row],[DistanceFromHome]]&lt;=5, "short", IF(Table2[[#This Row],[DistanceFromHome]]&lt;=15, "medium", "long"))</f>
        <v>medium</v>
      </c>
      <c r="H271">
        <v>3</v>
      </c>
      <c r="I271" t="s">
        <v>34</v>
      </c>
      <c r="J271">
        <v>373</v>
      </c>
      <c r="K271">
        <v>4</v>
      </c>
      <c r="L271" t="s">
        <v>41</v>
      </c>
      <c r="M271">
        <v>47</v>
      </c>
      <c r="N271">
        <v>3</v>
      </c>
      <c r="O271">
        <v>1</v>
      </c>
      <c r="P271" t="s">
        <v>45</v>
      </c>
      <c r="Q271">
        <v>4</v>
      </c>
      <c r="R271" t="s">
        <v>43</v>
      </c>
      <c r="S271">
        <v>3210</v>
      </c>
      <c r="T271">
        <v>20251</v>
      </c>
      <c r="U271">
        <v>0</v>
      </c>
      <c r="V271" t="s">
        <v>38</v>
      </c>
      <c r="W271">
        <v>11</v>
      </c>
      <c r="X271">
        <v>3</v>
      </c>
      <c r="Y271">
        <v>3</v>
      </c>
      <c r="Z271">
        <v>1</v>
      </c>
      <c r="AA271">
        <v>16</v>
      </c>
      <c r="AB271" t="str">
        <f>IF(Table2[[#This Row],[TotalWorkingYears]]&lt;=5,"Early (0-5)",IF(Table2[[#This Row],[TotalWorkingYears]]&lt;=15,"Mid (6-15)","Senior (16+)"))</f>
        <v>Senior (16+)</v>
      </c>
      <c r="AC271">
        <v>4</v>
      </c>
      <c r="AD271">
        <v>3</v>
      </c>
      <c r="AE271" t="s">
        <v>65</v>
      </c>
      <c r="AF271">
        <v>13</v>
      </c>
      <c r="AG271">
        <v>10</v>
      </c>
      <c r="AH271">
        <v>11</v>
      </c>
    </row>
    <row r="272" spans="1:34" x14ac:dyDescent="0.3">
      <c r="A272" t="s">
        <v>58</v>
      </c>
      <c r="B272">
        <v>0</v>
      </c>
      <c r="C272" t="s">
        <v>32</v>
      </c>
      <c r="D272">
        <v>452</v>
      </c>
      <c r="E272" t="s">
        <v>40</v>
      </c>
      <c r="F272">
        <v>1</v>
      </c>
      <c r="G272" t="str">
        <f>IF(Table2[[#This Row],[DistanceFromHome]]&lt;=5, "short", IF(Table2[[#This Row],[DistanceFromHome]]&lt;=15, "medium", "long"))</f>
        <v>short</v>
      </c>
      <c r="H272">
        <v>3</v>
      </c>
      <c r="I272" t="s">
        <v>46</v>
      </c>
      <c r="J272">
        <v>374</v>
      </c>
      <c r="K272">
        <v>4</v>
      </c>
      <c r="L272" t="s">
        <v>41</v>
      </c>
      <c r="M272">
        <v>81</v>
      </c>
      <c r="N272">
        <v>3</v>
      </c>
      <c r="O272">
        <v>5</v>
      </c>
      <c r="P272" t="s">
        <v>51</v>
      </c>
      <c r="Q272">
        <v>1</v>
      </c>
      <c r="R272" t="s">
        <v>37</v>
      </c>
      <c r="S272">
        <v>19045</v>
      </c>
      <c r="T272">
        <v>18938</v>
      </c>
      <c r="U272">
        <v>0</v>
      </c>
      <c r="V272" t="s">
        <v>31</v>
      </c>
      <c r="W272">
        <v>14</v>
      </c>
      <c r="X272">
        <v>3</v>
      </c>
      <c r="Y272">
        <v>3</v>
      </c>
      <c r="Z272">
        <v>0</v>
      </c>
      <c r="AA272">
        <v>37</v>
      </c>
      <c r="AB272" t="str">
        <f>IF(Table2[[#This Row],[TotalWorkingYears]]&lt;=5,"Early (0-5)",IF(Table2[[#This Row],[TotalWorkingYears]]&lt;=15,"Mid (6-15)","Senior (16+)"))</f>
        <v>Senior (16+)</v>
      </c>
      <c r="AC272">
        <v>2</v>
      </c>
      <c r="AD272">
        <v>3</v>
      </c>
      <c r="AE272" t="s">
        <v>65</v>
      </c>
      <c r="AF272">
        <v>10</v>
      </c>
      <c r="AG272">
        <v>4</v>
      </c>
      <c r="AH272">
        <v>13</v>
      </c>
    </row>
    <row r="273" spans="1:34" x14ac:dyDescent="0.3">
      <c r="A273" t="s">
        <v>58</v>
      </c>
      <c r="B273">
        <v>1</v>
      </c>
      <c r="C273" t="s">
        <v>50</v>
      </c>
      <c r="D273">
        <v>666</v>
      </c>
      <c r="E273" t="s">
        <v>40</v>
      </c>
      <c r="F273">
        <v>29</v>
      </c>
      <c r="G273" t="str">
        <f>IF(Table2[[#This Row],[DistanceFromHome]]&lt;=5, "short", IF(Table2[[#This Row],[DistanceFromHome]]&lt;=15, "medium", "long"))</f>
        <v>long</v>
      </c>
      <c r="H273">
        <v>4</v>
      </c>
      <c r="I273" t="s">
        <v>34</v>
      </c>
      <c r="J273">
        <v>376</v>
      </c>
      <c r="K273">
        <v>1</v>
      </c>
      <c r="L273" t="s">
        <v>41</v>
      </c>
      <c r="M273">
        <v>88</v>
      </c>
      <c r="N273">
        <v>3</v>
      </c>
      <c r="O273">
        <v>3</v>
      </c>
      <c r="P273" t="s">
        <v>51</v>
      </c>
      <c r="Q273">
        <v>2</v>
      </c>
      <c r="R273" t="s">
        <v>43</v>
      </c>
      <c r="S273">
        <v>11849</v>
      </c>
      <c r="T273">
        <v>10268</v>
      </c>
      <c r="U273">
        <v>1</v>
      </c>
      <c r="V273" t="s">
        <v>31</v>
      </c>
      <c r="W273">
        <v>12</v>
      </c>
      <c r="X273">
        <v>3</v>
      </c>
      <c r="Y273">
        <v>4</v>
      </c>
      <c r="Z273">
        <v>1</v>
      </c>
      <c r="AA273">
        <v>10</v>
      </c>
      <c r="AB273" t="str">
        <f>IF(Table2[[#This Row],[TotalWorkingYears]]&lt;=5,"Early (0-5)",IF(Table2[[#This Row],[TotalWorkingYears]]&lt;=15,"Mid (6-15)","Senior (16+)"))</f>
        <v>Mid (6-15)</v>
      </c>
      <c r="AC273">
        <v>2</v>
      </c>
      <c r="AD273">
        <v>2</v>
      </c>
      <c r="AE273" t="s">
        <v>62</v>
      </c>
      <c r="AF273">
        <v>7</v>
      </c>
      <c r="AG273">
        <v>9</v>
      </c>
      <c r="AH273">
        <v>9</v>
      </c>
    </row>
    <row r="274" spans="1:34" x14ac:dyDescent="0.3">
      <c r="A274" t="s">
        <v>59</v>
      </c>
      <c r="B274">
        <v>0</v>
      </c>
      <c r="C274" t="s">
        <v>32</v>
      </c>
      <c r="D274">
        <v>1158</v>
      </c>
      <c r="E274" t="s">
        <v>40</v>
      </c>
      <c r="F274">
        <v>9</v>
      </c>
      <c r="G274" t="str">
        <f>IF(Table2[[#This Row],[DistanceFromHome]]&lt;=5, "short", IF(Table2[[#This Row],[DistanceFromHome]]&lt;=15, "medium", "long"))</f>
        <v>medium</v>
      </c>
      <c r="H274">
        <v>3</v>
      </c>
      <c r="I274" t="s">
        <v>46</v>
      </c>
      <c r="J274">
        <v>377</v>
      </c>
      <c r="K274">
        <v>4</v>
      </c>
      <c r="L274" t="s">
        <v>41</v>
      </c>
      <c r="M274">
        <v>94</v>
      </c>
      <c r="N274">
        <v>3</v>
      </c>
      <c r="O274">
        <v>1</v>
      </c>
      <c r="P274" t="s">
        <v>42</v>
      </c>
      <c r="Q274">
        <v>4</v>
      </c>
      <c r="R274" t="s">
        <v>43</v>
      </c>
      <c r="S274">
        <v>2070</v>
      </c>
      <c r="T274">
        <v>2613</v>
      </c>
      <c r="U274">
        <v>1</v>
      </c>
      <c r="V274" t="s">
        <v>38</v>
      </c>
      <c r="W274">
        <v>23</v>
      </c>
      <c r="X274">
        <v>4</v>
      </c>
      <c r="Y274">
        <v>4</v>
      </c>
      <c r="Z274">
        <v>1</v>
      </c>
      <c r="AA274">
        <v>5</v>
      </c>
      <c r="AB274" t="str">
        <f>IF(Table2[[#This Row],[TotalWorkingYears]]&lt;=5,"Early (0-5)",IF(Table2[[#This Row],[TotalWorkingYears]]&lt;=15,"Mid (6-15)","Senior (16+)"))</f>
        <v>Early (0-5)</v>
      </c>
      <c r="AC274">
        <v>3</v>
      </c>
      <c r="AD274">
        <v>2</v>
      </c>
      <c r="AE274" t="s">
        <v>64</v>
      </c>
      <c r="AF274">
        <v>2</v>
      </c>
      <c r="AG274">
        <v>0</v>
      </c>
      <c r="AH274">
        <v>4</v>
      </c>
    </row>
    <row r="275" spans="1:34" x14ac:dyDescent="0.3">
      <c r="A275" t="s">
        <v>57</v>
      </c>
      <c r="B275">
        <v>0</v>
      </c>
      <c r="C275" t="s">
        <v>32</v>
      </c>
      <c r="D275">
        <v>228</v>
      </c>
      <c r="E275" t="s">
        <v>33</v>
      </c>
      <c r="F275">
        <v>6</v>
      </c>
      <c r="G275" t="str">
        <f>IF(Table2[[#This Row],[DistanceFromHome]]&lt;=5, "short", IF(Table2[[#This Row],[DistanceFromHome]]&lt;=15, "medium", "long"))</f>
        <v>medium</v>
      </c>
      <c r="H275">
        <v>4</v>
      </c>
      <c r="I275" t="s">
        <v>46</v>
      </c>
      <c r="J275">
        <v>378</v>
      </c>
      <c r="K275">
        <v>3</v>
      </c>
      <c r="L275" t="s">
        <v>41</v>
      </c>
      <c r="M275">
        <v>98</v>
      </c>
      <c r="N275">
        <v>3</v>
      </c>
      <c r="O275">
        <v>2</v>
      </c>
      <c r="P275" t="s">
        <v>36</v>
      </c>
      <c r="Q275">
        <v>4</v>
      </c>
      <c r="R275" t="s">
        <v>43</v>
      </c>
      <c r="S275">
        <v>6502</v>
      </c>
      <c r="T275">
        <v>22825</v>
      </c>
      <c r="U275">
        <v>4</v>
      </c>
      <c r="V275" t="s">
        <v>38</v>
      </c>
      <c r="W275">
        <v>14</v>
      </c>
      <c r="X275">
        <v>3</v>
      </c>
      <c r="Y275">
        <v>2</v>
      </c>
      <c r="Z275">
        <v>1</v>
      </c>
      <c r="AA275">
        <v>7</v>
      </c>
      <c r="AB275" t="str">
        <f>IF(Table2[[#This Row],[TotalWorkingYears]]&lt;=5,"Early (0-5)",IF(Table2[[#This Row],[TotalWorkingYears]]&lt;=15,"Mid (6-15)","Senior (16+)"))</f>
        <v>Mid (6-15)</v>
      </c>
      <c r="AC275">
        <v>5</v>
      </c>
      <c r="AD275">
        <v>4</v>
      </c>
      <c r="AE275" t="s">
        <v>64</v>
      </c>
      <c r="AF275">
        <v>4</v>
      </c>
      <c r="AG275">
        <v>0</v>
      </c>
      <c r="AH275">
        <v>1</v>
      </c>
    </row>
    <row r="276" spans="1:34" x14ac:dyDescent="0.3">
      <c r="A276" t="s">
        <v>60</v>
      </c>
      <c r="B276">
        <v>0</v>
      </c>
      <c r="C276" t="s">
        <v>32</v>
      </c>
      <c r="D276">
        <v>996</v>
      </c>
      <c r="E276" t="s">
        <v>40</v>
      </c>
      <c r="F276">
        <v>3</v>
      </c>
      <c r="G276" t="str">
        <f>IF(Table2[[#This Row],[DistanceFromHome]]&lt;=5, "short", IF(Table2[[#This Row],[DistanceFromHome]]&lt;=15, "medium", "long"))</f>
        <v>short</v>
      </c>
      <c r="H276">
        <v>2</v>
      </c>
      <c r="I276" t="s">
        <v>46</v>
      </c>
      <c r="J276">
        <v>379</v>
      </c>
      <c r="K276">
        <v>4</v>
      </c>
      <c r="L276" t="s">
        <v>41</v>
      </c>
      <c r="M276">
        <v>100</v>
      </c>
      <c r="N276">
        <v>2</v>
      </c>
      <c r="O276">
        <v>1</v>
      </c>
      <c r="P276" t="s">
        <v>42</v>
      </c>
      <c r="Q276">
        <v>3</v>
      </c>
      <c r="R276" t="s">
        <v>37</v>
      </c>
      <c r="S276">
        <v>3230</v>
      </c>
      <c r="T276">
        <v>10531</v>
      </c>
      <c r="U276">
        <v>1</v>
      </c>
      <c r="V276" t="s">
        <v>38</v>
      </c>
      <c r="W276">
        <v>17</v>
      </c>
      <c r="X276">
        <v>3</v>
      </c>
      <c r="Y276">
        <v>1</v>
      </c>
      <c r="Z276">
        <v>0</v>
      </c>
      <c r="AA276">
        <v>3</v>
      </c>
      <c r="AB276" t="str">
        <f>IF(Table2[[#This Row],[TotalWorkingYears]]&lt;=5,"Early (0-5)",IF(Table2[[#This Row],[TotalWorkingYears]]&lt;=15,"Mid (6-15)","Senior (16+)"))</f>
        <v>Early (0-5)</v>
      </c>
      <c r="AC276">
        <v>4</v>
      </c>
      <c r="AD276">
        <v>4</v>
      </c>
      <c r="AE276" t="s">
        <v>64</v>
      </c>
      <c r="AF276">
        <v>2</v>
      </c>
      <c r="AG276">
        <v>1</v>
      </c>
      <c r="AH276">
        <v>0</v>
      </c>
    </row>
    <row r="277" spans="1:34" x14ac:dyDescent="0.3">
      <c r="A277" t="s">
        <v>57</v>
      </c>
      <c r="B277">
        <v>0</v>
      </c>
      <c r="C277" t="s">
        <v>50</v>
      </c>
      <c r="D277">
        <v>728</v>
      </c>
      <c r="E277" t="s">
        <v>40</v>
      </c>
      <c r="F277">
        <v>1</v>
      </c>
      <c r="G277" t="str">
        <f>IF(Table2[[#This Row],[DistanceFromHome]]&lt;=5, "short", IF(Table2[[#This Row],[DistanceFromHome]]&lt;=15, "medium", "long"))</f>
        <v>short</v>
      </c>
      <c r="H277">
        <v>4</v>
      </c>
      <c r="I277" t="s">
        <v>46</v>
      </c>
      <c r="J277">
        <v>380</v>
      </c>
      <c r="K277">
        <v>1</v>
      </c>
      <c r="L277" t="s">
        <v>35</v>
      </c>
      <c r="M277">
        <v>80</v>
      </c>
      <c r="N277">
        <v>3</v>
      </c>
      <c r="O277">
        <v>3</v>
      </c>
      <c r="P277" t="s">
        <v>53</v>
      </c>
      <c r="Q277">
        <v>4</v>
      </c>
      <c r="R277" t="s">
        <v>47</v>
      </c>
      <c r="S277">
        <v>13603</v>
      </c>
      <c r="T277">
        <v>11677</v>
      </c>
      <c r="U277">
        <v>2</v>
      </c>
      <c r="V277" t="s">
        <v>31</v>
      </c>
      <c r="W277">
        <v>18</v>
      </c>
      <c r="X277">
        <v>3</v>
      </c>
      <c r="Y277">
        <v>1</v>
      </c>
      <c r="Z277">
        <v>2</v>
      </c>
      <c r="AA277">
        <v>15</v>
      </c>
      <c r="AB277" t="str">
        <f>IF(Table2[[#This Row],[TotalWorkingYears]]&lt;=5,"Early (0-5)",IF(Table2[[#This Row],[TotalWorkingYears]]&lt;=15,"Mid (6-15)","Senior (16+)"))</f>
        <v>Mid (6-15)</v>
      </c>
      <c r="AC277">
        <v>2</v>
      </c>
      <c r="AD277">
        <v>3</v>
      </c>
      <c r="AE277" t="s">
        <v>64</v>
      </c>
      <c r="AF277">
        <v>2</v>
      </c>
      <c r="AG277">
        <v>0</v>
      </c>
      <c r="AH277">
        <v>2</v>
      </c>
    </row>
    <row r="278" spans="1:34" x14ac:dyDescent="0.3">
      <c r="A278" t="s">
        <v>59</v>
      </c>
      <c r="B278">
        <v>0</v>
      </c>
      <c r="C278" t="s">
        <v>32</v>
      </c>
      <c r="D278">
        <v>1315</v>
      </c>
      <c r="E278" t="s">
        <v>40</v>
      </c>
      <c r="F278">
        <v>22</v>
      </c>
      <c r="G278" t="str">
        <f>IF(Table2[[#This Row],[DistanceFromHome]]&lt;=5, "short", IF(Table2[[#This Row],[DistanceFromHome]]&lt;=15, "medium", "long"))</f>
        <v>long</v>
      </c>
      <c r="H278">
        <v>3</v>
      </c>
      <c r="I278" t="s">
        <v>34</v>
      </c>
      <c r="J278">
        <v>381</v>
      </c>
      <c r="K278">
        <v>2</v>
      </c>
      <c r="L278" t="s">
        <v>35</v>
      </c>
      <c r="M278">
        <v>71</v>
      </c>
      <c r="N278">
        <v>4</v>
      </c>
      <c r="O278">
        <v>3</v>
      </c>
      <c r="P278" t="s">
        <v>51</v>
      </c>
      <c r="Q278">
        <v>2</v>
      </c>
      <c r="R278" t="s">
        <v>47</v>
      </c>
      <c r="S278">
        <v>11996</v>
      </c>
      <c r="T278">
        <v>19100</v>
      </c>
      <c r="U278">
        <v>7</v>
      </c>
      <c r="V278" t="s">
        <v>38</v>
      </c>
      <c r="W278">
        <v>18</v>
      </c>
      <c r="X278">
        <v>3</v>
      </c>
      <c r="Y278">
        <v>2</v>
      </c>
      <c r="Z278">
        <v>1</v>
      </c>
      <c r="AA278">
        <v>10</v>
      </c>
      <c r="AB278" t="str">
        <f>IF(Table2[[#This Row],[TotalWorkingYears]]&lt;=5,"Early (0-5)",IF(Table2[[#This Row],[TotalWorkingYears]]&lt;=15,"Mid (6-15)","Senior (16+)"))</f>
        <v>Mid (6-15)</v>
      </c>
      <c r="AC278">
        <v>6</v>
      </c>
      <c r="AD278">
        <v>2</v>
      </c>
      <c r="AE278" t="s">
        <v>62</v>
      </c>
      <c r="AF278">
        <v>7</v>
      </c>
      <c r="AG278">
        <v>6</v>
      </c>
      <c r="AH278">
        <v>2</v>
      </c>
    </row>
    <row r="279" spans="1:34" x14ac:dyDescent="0.3">
      <c r="A279" t="s">
        <v>57</v>
      </c>
      <c r="B279">
        <v>0</v>
      </c>
      <c r="C279" t="s">
        <v>32</v>
      </c>
      <c r="D279">
        <v>322</v>
      </c>
      <c r="E279" t="s">
        <v>33</v>
      </c>
      <c r="F279">
        <v>7</v>
      </c>
      <c r="G279" t="str">
        <f>IF(Table2[[#This Row],[DistanceFromHome]]&lt;=5, "short", IF(Table2[[#This Row],[DistanceFromHome]]&lt;=15, "medium", "long"))</f>
        <v>medium</v>
      </c>
      <c r="H279">
        <v>2</v>
      </c>
      <c r="I279" t="s">
        <v>46</v>
      </c>
      <c r="J279">
        <v>382</v>
      </c>
      <c r="K279">
        <v>1</v>
      </c>
      <c r="L279" t="s">
        <v>35</v>
      </c>
      <c r="M279">
        <v>44</v>
      </c>
      <c r="N279">
        <v>4</v>
      </c>
      <c r="O279">
        <v>2</v>
      </c>
      <c r="P279" t="s">
        <v>36</v>
      </c>
      <c r="Q279">
        <v>1</v>
      </c>
      <c r="R279" t="s">
        <v>47</v>
      </c>
      <c r="S279">
        <v>5605</v>
      </c>
      <c r="T279">
        <v>19191</v>
      </c>
      <c r="U279">
        <v>1</v>
      </c>
      <c r="V279" t="s">
        <v>31</v>
      </c>
      <c r="W279">
        <v>24</v>
      </c>
      <c r="X279">
        <v>4</v>
      </c>
      <c r="Y279">
        <v>3</v>
      </c>
      <c r="Z279">
        <v>1</v>
      </c>
      <c r="AA279">
        <v>8</v>
      </c>
      <c r="AB279" t="str">
        <f>IF(Table2[[#This Row],[TotalWorkingYears]]&lt;=5,"Early (0-5)",IF(Table2[[#This Row],[TotalWorkingYears]]&lt;=15,"Mid (6-15)","Senior (16+)"))</f>
        <v>Mid (6-15)</v>
      </c>
      <c r="AC279">
        <v>3</v>
      </c>
      <c r="AD279">
        <v>3</v>
      </c>
      <c r="AE279" t="s">
        <v>62</v>
      </c>
      <c r="AF279">
        <v>0</v>
      </c>
      <c r="AG279">
        <v>7</v>
      </c>
      <c r="AH279">
        <v>7</v>
      </c>
    </row>
    <row r="280" spans="1:34" x14ac:dyDescent="0.3">
      <c r="A280" t="s">
        <v>59</v>
      </c>
      <c r="B280">
        <v>0</v>
      </c>
      <c r="C280" t="s">
        <v>39</v>
      </c>
      <c r="D280">
        <v>1479</v>
      </c>
      <c r="E280" t="s">
        <v>40</v>
      </c>
      <c r="F280">
        <v>1</v>
      </c>
      <c r="G280" t="str">
        <f>IF(Table2[[#This Row],[DistanceFromHome]]&lt;=5, "short", IF(Table2[[#This Row],[DistanceFromHome]]&lt;=15, "medium", "long"))</f>
        <v>short</v>
      </c>
      <c r="H280">
        <v>3</v>
      </c>
      <c r="I280" t="s">
        <v>34</v>
      </c>
      <c r="J280">
        <v>384</v>
      </c>
      <c r="K280">
        <v>3</v>
      </c>
      <c r="L280" t="s">
        <v>35</v>
      </c>
      <c r="M280">
        <v>84</v>
      </c>
      <c r="N280">
        <v>3</v>
      </c>
      <c r="O280">
        <v>2</v>
      </c>
      <c r="P280" t="s">
        <v>48</v>
      </c>
      <c r="Q280">
        <v>2</v>
      </c>
      <c r="R280" t="s">
        <v>47</v>
      </c>
      <c r="S280">
        <v>6397</v>
      </c>
      <c r="T280">
        <v>26767</v>
      </c>
      <c r="U280">
        <v>1</v>
      </c>
      <c r="V280" t="s">
        <v>38</v>
      </c>
      <c r="W280">
        <v>20</v>
      </c>
      <c r="X280">
        <v>4</v>
      </c>
      <c r="Y280">
        <v>1</v>
      </c>
      <c r="Z280">
        <v>1</v>
      </c>
      <c r="AA280">
        <v>6</v>
      </c>
      <c r="AB280" t="str">
        <f>IF(Table2[[#This Row],[TotalWorkingYears]]&lt;=5,"Early (0-5)",IF(Table2[[#This Row],[TotalWorkingYears]]&lt;=15,"Mid (6-15)","Senior (16+)"))</f>
        <v>Mid (6-15)</v>
      </c>
      <c r="AC280">
        <v>6</v>
      </c>
      <c r="AD280">
        <v>1</v>
      </c>
      <c r="AE280" t="s">
        <v>62</v>
      </c>
      <c r="AF280">
        <v>5</v>
      </c>
      <c r="AG280">
        <v>1</v>
      </c>
      <c r="AH280">
        <v>4</v>
      </c>
    </row>
    <row r="281" spans="1:34" x14ac:dyDescent="0.3">
      <c r="A281" t="s">
        <v>58</v>
      </c>
      <c r="B281">
        <v>0</v>
      </c>
      <c r="C281" t="s">
        <v>32</v>
      </c>
      <c r="D281">
        <v>797</v>
      </c>
      <c r="E281" t="s">
        <v>40</v>
      </c>
      <c r="F281">
        <v>4</v>
      </c>
      <c r="G281" t="str">
        <f>IF(Table2[[#This Row],[DistanceFromHome]]&lt;=5, "short", IF(Table2[[#This Row],[DistanceFromHome]]&lt;=15, "medium", "long"))</f>
        <v>short</v>
      </c>
      <c r="H281">
        <v>1</v>
      </c>
      <c r="I281" t="s">
        <v>34</v>
      </c>
      <c r="J281">
        <v>385</v>
      </c>
      <c r="K281">
        <v>1</v>
      </c>
      <c r="L281" t="s">
        <v>41</v>
      </c>
      <c r="M281">
        <v>96</v>
      </c>
      <c r="N281">
        <v>3</v>
      </c>
      <c r="O281">
        <v>5</v>
      </c>
      <c r="P281" t="s">
        <v>53</v>
      </c>
      <c r="Q281">
        <v>2</v>
      </c>
      <c r="R281" t="s">
        <v>47</v>
      </c>
      <c r="S281">
        <v>19144</v>
      </c>
      <c r="T281">
        <v>15815</v>
      </c>
      <c r="U281">
        <v>3</v>
      </c>
      <c r="V281" t="s">
        <v>38</v>
      </c>
      <c r="W281">
        <v>14</v>
      </c>
      <c r="X281">
        <v>3</v>
      </c>
      <c r="Y281">
        <v>1</v>
      </c>
      <c r="Z281">
        <v>2</v>
      </c>
      <c r="AA281">
        <v>28</v>
      </c>
      <c r="AB281" t="str">
        <f>IF(Table2[[#This Row],[TotalWorkingYears]]&lt;=5,"Early (0-5)",IF(Table2[[#This Row],[TotalWorkingYears]]&lt;=15,"Mid (6-15)","Senior (16+)"))</f>
        <v>Senior (16+)</v>
      </c>
      <c r="AC281">
        <v>4</v>
      </c>
      <c r="AD281">
        <v>2</v>
      </c>
      <c r="AE281" t="s">
        <v>62</v>
      </c>
      <c r="AF281">
        <v>4</v>
      </c>
      <c r="AG281">
        <v>1</v>
      </c>
      <c r="AH281">
        <v>6</v>
      </c>
    </row>
    <row r="282" spans="1:34" x14ac:dyDescent="0.3">
      <c r="A282" t="s">
        <v>58</v>
      </c>
      <c r="B282">
        <v>0</v>
      </c>
      <c r="C282" t="s">
        <v>32</v>
      </c>
      <c r="D282">
        <v>1070</v>
      </c>
      <c r="E282" t="s">
        <v>40</v>
      </c>
      <c r="F282">
        <v>3</v>
      </c>
      <c r="G282" t="str">
        <f>IF(Table2[[#This Row],[DistanceFromHome]]&lt;=5, "short", IF(Table2[[#This Row],[DistanceFromHome]]&lt;=15, "medium", "long"))</f>
        <v>short</v>
      </c>
      <c r="H282">
        <v>4</v>
      </c>
      <c r="I282" t="s">
        <v>46</v>
      </c>
      <c r="J282">
        <v>386</v>
      </c>
      <c r="K282">
        <v>3</v>
      </c>
      <c r="L282" t="s">
        <v>41</v>
      </c>
      <c r="M282">
        <v>45</v>
      </c>
      <c r="N282">
        <v>3</v>
      </c>
      <c r="O282">
        <v>4</v>
      </c>
      <c r="P282" t="s">
        <v>53</v>
      </c>
      <c r="Q282">
        <v>3</v>
      </c>
      <c r="R282" t="s">
        <v>43</v>
      </c>
      <c r="S282">
        <v>17584</v>
      </c>
      <c r="T282">
        <v>21016</v>
      </c>
      <c r="U282">
        <v>3</v>
      </c>
      <c r="V282" t="s">
        <v>31</v>
      </c>
      <c r="W282">
        <v>16</v>
      </c>
      <c r="X282">
        <v>3</v>
      </c>
      <c r="Y282">
        <v>4</v>
      </c>
      <c r="Z282">
        <v>3</v>
      </c>
      <c r="AA282">
        <v>21</v>
      </c>
      <c r="AB282" t="str">
        <f>IF(Table2[[#This Row],[TotalWorkingYears]]&lt;=5,"Early (0-5)",IF(Table2[[#This Row],[TotalWorkingYears]]&lt;=15,"Mid (6-15)","Senior (16+)"))</f>
        <v>Senior (16+)</v>
      </c>
      <c r="AC282">
        <v>5</v>
      </c>
      <c r="AD282">
        <v>2</v>
      </c>
      <c r="AE282" t="s">
        <v>64</v>
      </c>
      <c r="AF282">
        <v>3</v>
      </c>
      <c r="AG282">
        <v>1</v>
      </c>
      <c r="AH282">
        <v>3</v>
      </c>
    </row>
    <row r="283" spans="1:34" x14ac:dyDescent="0.3">
      <c r="A283" t="s">
        <v>57</v>
      </c>
      <c r="B283">
        <v>0</v>
      </c>
      <c r="C283" t="s">
        <v>32</v>
      </c>
      <c r="D283">
        <v>635</v>
      </c>
      <c r="E283" t="s">
        <v>33</v>
      </c>
      <c r="F283">
        <v>1</v>
      </c>
      <c r="G283" t="str">
        <f>IF(Table2[[#This Row],[DistanceFromHome]]&lt;=5, "short", IF(Table2[[#This Row],[DistanceFromHome]]&lt;=15, "medium", "long"))</f>
        <v>short</v>
      </c>
      <c r="H283">
        <v>1</v>
      </c>
      <c r="I283" t="s">
        <v>34</v>
      </c>
      <c r="J283">
        <v>387</v>
      </c>
      <c r="K283">
        <v>2</v>
      </c>
      <c r="L283" t="s">
        <v>41</v>
      </c>
      <c r="M283">
        <v>99</v>
      </c>
      <c r="N283">
        <v>3</v>
      </c>
      <c r="O283">
        <v>2</v>
      </c>
      <c r="P283" t="s">
        <v>36</v>
      </c>
      <c r="Q283">
        <v>3</v>
      </c>
      <c r="R283" t="s">
        <v>43</v>
      </c>
      <c r="S283">
        <v>4907</v>
      </c>
      <c r="T283">
        <v>24532</v>
      </c>
      <c r="U283">
        <v>1</v>
      </c>
      <c r="V283" t="s">
        <v>38</v>
      </c>
      <c r="W283">
        <v>25</v>
      </c>
      <c r="X283">
        <v>4</v>
      </c>
      <c r="Y283">
        <v>3</v>
      </c>
      <c r="Z283">
        <v>0</v>
      </c>
      <c r="AA283">
        <v>20</v>
      </c>
      <c r="AB283" t="str">
        <f>IF(Table2[[#This Row],[TotalWorkingYears]]&lt;=5,"Early (0-5)",IF(Table2[[#This Row],[TotalWorkingYears]]&lt;=15,"Mid (6-15)","Senior (16+)"))</f>
        <v>Senior (16+)</v>
      </c>
      <c r="AC283">
        <v>3</v>
      </c>
      <c r="AD283">
        <v>3</v>
      </c>
      <c r="AE283" t="s">
        <v>65</v>
      </c>
      <c r="AF283">
        <v>16</v>
      </c>
      <c r="AG283">
        <v>11</v>
      </c>
      <c r="AH283">
        <v>6</v>
      </c>
    </row>
    <row r="284" spans="1:34" x14ac:dyDescent="0.3">
      <c r="A284" t="s">
        <v>59</v>
      </c>
      <c r="B284">
        <v>0</v>
      </c>
      <c r="C284" t="s">
        <v>39</v>
      </c>
      <c r="D284">
        <v>442</v>
      </c>
      <c r="E284" t="s">
        <v>33</v>
      </c>
      <c r="F284">
        <v>2</v>
      </c>
      <c r="G284" t="str">
        <f>IF(Table2[[#This Row],[DistanceFromHome]]&lt;=5, "short", IF(Table2[[#This Row],[DistanceFromHome]]&lt;=15, "medium", "long"))</f>
        <v>short</v>
      </c>
      <c r="H284">
        <v>2</v>
      </c>
      <c r="I284" t="s">
        <v>34</v>
      </c>
      <c r="J284">
        <v>388</v>
      </c>
      <c r="K284">
        <v>2</v>
      </c>
      <c r="L284" t="s">
        <v>41</v>
      </c>
      <c r="M284">
        <v>44</v>
      </c>
      <c r="N284">
        <v>3</v>
      </c>
      <c r="O284">
        <v>2</v>
      </c>
      <c r="P284" t="s">
        <v>36</v>
      </c>
      <c r="Q284">
        <v>4</v>
      </c>
      <c r="R284" t="s">
        <v>37</v>
      </c>
      <c r="S284">
        <v>4554</v>
      </c>
      <c r="T284">
        <v>20260</v>
      </c>
      <c r="U284">
        <v>1</v>
      </c>
      <c r="V284" t="s">
        <v>38</v>
      </c>
      <c r="W284">
        <v>18</v>
      </c>
      <c r="X284">
        <v>3</v>
      </c>
      <c r="Y284">
        <v>1</v>
      </c>
      <c r="Z284">
        <v>0</v>
      </c>
      <c r="AA284">
        <v>10</v>
      </c>
      <c r="AB284" t="str">
        <f>IF(Table2[[#This Row],[TotalWorkingYears]]&lt;=5,"Early (0-5)",IF(Table2[[#This Row],[TotalWorkingYears]]&lt;=15,"Mid (6-15)","Senior (16+)"))</f>
        <v>Mid (6-15)</v>
      </c>
      <c r="AC284">
        <v>3</v>
      </c>
      <c r="AD284">
        <v>2</v>
      </c>
      <c r="AE284" t="s">
        <v>62</v>
      </c>
      <c r="AF284">
        <v>7</v>
      </c>
      <c r="AG284">
        <v>0</v>
      </c>
      <c r="AH284">
        <v>9</v>
      </c>
    </row>
    <row r="285" spans="1:34" x14ac:dyDescent="0.3">
      <c r="A285" t="s">
        <v>58</v>
      </c>
      <c r="B285">
        <v>0</v>
      </c>
      <c r="C285" t="s">
        <v>32</v>
      </c>
      <c r="D285">
        <v>147</v>
      </c>
      <c r="E285" t="s">
        <v>40</v>
      </c>
      <c r="F285">
        <v>20</v>
      </c>
      <c r="G285" t="str">
        <f>IF(Table2[[#This Row],[DistanceFromHome]]&lt;=5, "short", IF(Table2[[#This Row],[DistanceFromHome]]&lt;=15, "medium", "long"))</f>
        <v>long</v>
      </c>
      <c r="H285">
        <v>2</v>
      </c>
      <c r="I285" t="s">
        <v>55</v>
      </c>
      <c r="J285">
        <v>389</v>
      </c>
      <c r="K285">
        <v>2</v>
      </c>
      <c r="L285" t="s">
        <v>41</v>
      </c>
      <c r="M285">
        <v>37</v>
      </c>
      <c r="N285">
        <v>3</v>
      </c>
      <c r="O285">
        <v>2</v>
      </c>
      <c r="P285" t="s">
        <v>45</v>
      </c>
      <c r="Q285">
        <v>4</v>
      </c>
      <c r="R285" t="s">
        <v>43</v>
      </c>
      <c r="S285">
        <v>5415</v>
      </c>
      <c r="T285">
        <v>15972</v>
      </c>
      <c r="U285">
        <v>3</v>
      </c>
      <c r="V285" t="s">
        <v>31</v>
      </c>
      <c r="W285">
        <v>19</v>
      </c>
      <c r="X285">
        <v>3</v>
      </c>
      <c r="Y285">
        <v>4</v>
      </c>
      <c r="Z285">
        <v>1</v>
      </c>
      <c r="AA285">
        <v>12</v>
      </c>
      <c r="AB285" t="str">
        <f>IF(Table2[[#This Row],[TotalWorkingYears]]&lt;=5,"Early (0-5)",IF(Table2[[#This Row],[TotalWorkingYears]]&lt;=15,"Mid (6-15)","Senior (16+)"))</f>
        <v>Mid (6-15)</v>
      </c>
      <c r="AC285">
        <v>4</v>
      </c>
      <c r="AD285">
        <v>3</v>
      </c>
      <c r="AE285" t="s">
        <v>62</v>
      </c>
      <c r="AF285">
        <v>7</v>
      </c>
      <c r="AG285">
        <v>0</v>
      </c>
      <c r="AH285">
        <v>8</v>
      </c>
    </row>
    <row r="286" spans="1:34" x14ac:dyDescent="0.3">
      <c r="A286" t="s">
        <v>59</v>
      </c>
      <c r="B286">
        <v>0</v>
      </c>
      <c r="C286" t="s">
        <v>39</v>
      </c>
      <c r="D286">
        <v>496</v>
      </c>
      <c r="E286" t="s">
        <v>40</v>
      </c>
      <c r="F286">
        <v>11</v>
      </c>
      <c r="G286" t="str">
        <f>IF(Table2[[#This Row],[DistanceFromHome]]&lt;=5, "short", IF(Table2[[#This Row],[DistanceFromHome]]&lt;=15, "medium", "long"))</f>
        <v>medium</v>
      </c>
      <c r="H286">
        <v>2</v>
      </c>
      <c r="I286" t="s">
        <v>46</v>
      </c>
      <c r="J286">
        <v>390</v>
      </c>
      <c r="K286">
        <v>1</v>
      </c>
      <c r="L286" t="s">
        <v>41</v>
      </c>
      <c r="M286">
        <v>60</v>
      </c>
      <c r="N286">
        <v>3</v>
      </c>
      <c r="O286">
        <v>2</v>
      </c>
      <c r="P286" t="s">
        <v>49</v>
      </c>
      <c r="Q286">
        <v>1</v>
      </c>
      <c r="R286" t="s">
        <v>43</v>
      </c>
      <c r="S286">
        <v>4741</v>
      </c>
      <c r="T286">
        <v>22722</v>
      </c>
      <c r="U286">
        <v>1</v>
      </c>
      <c r="V286" t="s">
        <v>31</v>
      </c>
      <c r="W286">
        <v>13</v>
      </c>
      <c r="X286">
        <v>3</v>
      </c>
      <c r="Y286">
        <v>3</v>
      </c>
      <c r="Z286">
        <v>1</v>
      </c>
      <c r="AA286">
        <v>5</v>
      </c>
      <c r="AB286" t="str">
        <f>IF(Table2[[#This Row],[TotalWorkingYears]]&lt;=5,"Early (0-5)",IF(Table2[[#This Row],[TotalWorkingYears]]&lt;=15,"Mid (6-15)","Senior (16+)"))</f>
        <v>Early (0-5)</v>
      </c>
      <c r="AC286">
        <v>3</v>
      </c>
      <c r="AD286">
        <v>3</v>
      </c>
      <c r="AE286" t="s">
        <v>64</v>
      </c>
      <c r="AF286">
        <v>3</v>
      </c>
      <c r="AG286">
        <v>3</v>
      </c>
      <c r="AH286">
        <v>3</v>
      </c>
    </row>
    <row r="287" spans="1:34" x14ac:dyDescent="0.3">
      <c r="A287" t="s">
        <v>57</v>
      </c>
      <c r="B287">
        <v>0</v>
      </c>
      <c r="C287" t="s">
        <v>32</v>
      </c>
      <c r="D287">
        <v>1372</v>
      </c>
      <c r="E287" t="s">
        <v>40</v>
      </c>
      <c r="F287">
        <v>1</v>
      </c>
      <c r="G287" t="str">
        <f>IF(Table2[[#This Row],[DistanceFromHome]]&lt;=5, "short", IF(Table2[[#This Row],[DistanceFromHome]]&lt;=15, "medium", "long"))</f>
        <v>short</v>
      </c>
      <c r="H287">
        <v>3</v>
      </c>
      <c r="I287" t="s">
        <v>34</v>
      </c>
      <c r="J287">
        <v>391</v>
      </c>
      <c r="K287">
        <v>4</v>
      </c>
      <c r="L287" t="s">
        <v>35</v>
      </c>
      <c r="M287">
        <v>42</v>
      </c>
      <c r="N287">
        <v>3</v>
      </c>
      <c r="O287">
        <v>1</v>
      </c>
      <c r="P287" t="s">
        <v>42</v>
      </c>
      <c r="Q287">
        <v>4</v>
      </c>
      <c r="R287" t="s">
        <v>37</v>
      </c>
      <c r="S287">
        <v>2115</v>
      </c>
      <c r="T287">
        <v>15881</v>
      </c>
      <c r="U287">
        <v>1</v>
      </c>
      <c r="V287" t="s">
        <v>38</v>
      </c>
      <c r="W287">
        <v>12</v>
      </c>
      <c r="X287">
        <v>3</v>
      </c>
      <c r="Y287">
        <v>2</v>
      </c>
      <c r="Z287">
        <v>0</v>
      </c>
      <c r="AA287">
        <v>17</v>
      </c>
      <c r="AB287" t="str">
        <f>IF(Table2[[#This Row],[TotalWorkingYears]]&lt;=5,"Early (0-5)",IF(Table2[[#This Row],[TotalWorkingYears]]&lt;=15,"Mid (6-15)","Senior (16+)"))</f>
        <v>Senior (16+)</v>
      </c>
      <c r="AC287">
        <v>3</v>
      </c>
      <c r="AD287">
        <v>3</v>
      </c>
      <c r="AE287" t="s">
        <v>65</v>
      </c>
      <c r="AF287">
        <v>12</v>
      </c>
      <c r="AG287">
        <v>5</v>
      </c>
      <c r="AH287">
        <v>7</v>
      </c>
    </row>
    <row r="288" spans="1:34" x14ac:dyDescent="0.3">
      <c r="A288" t="s">
        <v>57</v>
      </c>
      <c r="B288">
        <v>1</v>
      </c>
      <c r="C288" t="s">
        <v>39</v>
      </c>
      <c r="D288">
        <v>920</v>
      </c>
      <c r="E288" t="s">
        <v>40</v>
      </c>
      <c r="F288">
        <v>24</v>
      </c>
      <c r="G288" t="str">
        <f>IF(Table2[[#This Row],[DistanceFromHome]]&lt;=5, "short", IF(Table2[[#This Row],[DistanceFromHome]]&lt;=15, "medium", "long"))</f>
        <v>long</v>
      </c>
      <c r="H288">
        <v>3</v>
      </c>
      <c r="I288" t="s">
        <v>34</v>
      </c>
      <c r="J288">
        <v>392</v>
      </c>
      <c r="K288">
        <v>4</v>
      </c>
      <c r="L288" t="s">
        <v>41</v>
      </c>
      <c r="M288">
        <v>43</v>
      </c>
      <c r="N288">
        <v>3</v>
      </c>
      <c r="O288">
        <v>1</v>
      </c>
      <c r="P288" t="s">
        <v>45</v>
      </c>
      <c r="Q288">
        <v>3</v>
      </c>
      <c r="R288" t="s">
        <v>47</v>
      </c>
      <c r="S288">
        <v>3161</v>
      </c>
      <c r="T288">
        <v>19920</v>
      </c>
      <c r="U288">
        <v>3</v>
      </c>
      <c r="V288" t="s">
        <v>31</v>
      </c>
      <c r="W288">
        <v>22</v>
      </c>
      <c r="X288">
        <v>4</v>
      </c>
      <c r="Y288">
        <v>4</v>
      </c>
      <c r="Z288">
        <v>1</v>
      </c>
      <c r="AA288">
        <v>19</v>
      </c>
      <c r="AB288" t="str">
        <f>IF(Table2[[#This Row],[TotalWorkingYears]]&lt;=5,"Early (0-5)",IF(Table2[[#This Row],[TotalWorkingYears]]&lt;=15,"Mid (6-15)","Senior (16+)"))</f>
        <v>Senior (16+)</v>
      </c>
      <c r="AC288">
        <v>0</v>
      </c>
      <c r="AD288">
        <v>1</v>
      </c>
      <c r="AE288" t="s">
        <v>63</v>
      </c>
      <c r="AF288">
        <v>0</v>
      </c>
      <c r="AG288">
        <v>0</v>
      </c>
      <c r="AH288">
        <v>0</v>
      </c>
    </row>
    <row r="289" spans="1:34" x14ac:dyDescent="0.3">
      <c r="A289" t="s">
        <v>57</v>
      </c>
      <c r="B289">
        <v>0</v>
      </c>
      <c r="C289" t="s">
        <v>32</v>
      </c>
      <c r="D289">
        <v>688</v>
      </c>
      <c r="E289" t="s">
        <v>40</v>
      </c>
      <c r="F289">
        <v>23</v>
      </c>
      <c r="G289" t="str">
        <f>IF(Table2[[#This Row],[DistanceFromHome]]&lt;=5, "short", IF(Table2[[#This Row],[DistanceFromHome]]&lt;=15, "medium", "long"))</f>
        <v>long</v>
      </c>
      <c r="H289">
        <v>4</v>
      </c>
      <c r="I289" t="s">
        <v>34</v>
      </c>
      <c r="J289">
        <v>393</v>
      </c>
      <c r="K289">
        <v>4</v>
      </c>
      <c r="L289" t="s">
        <v>41</v>
      </c>
      <c r="M289">
        <v>82</v>
      </c>
      <c r="N289">
        <v>3</v>
      </c>
      <c r="O289">
        <v>2</v>
      </c>
      <c r="P289" t="s">
        <v>49</v>
      </c>
      <c r="Q289">
        <v>4</v>
      </c>
      <c r="R289" t="s">
        <v>47</v>
      </c>
      <c r="S289">
        <v>5745</v>
      </c>
      <c r="T289">
        <v>18899</v>
      </c>
      <c r="U289">
        <v>9</v>
      </c>
      <c r="V289" t="s">
        <v>38</v>
      </c>
      <c r="W289">
        <v>14</v>
      </c>
      <c r="X289">
        <v>3</v>
      </c>
      <c r="Y289">
        <v>2</v>
      </c>
      <c r="Z289">
        <v>1</v>
      </c>
      <c r="AA289">
        <v>10</v>
      </c>
      <c r="AB289" t="str">
        <f>IF(Table2[[#This Row],[TotalWorkingYears]]&lt;=5,"Early (0-5)",IF(Table2[[#This Row],[TotalWorkingYears]]&lt;=15,"Mid (6-15)","Senior (16+)"))</f>
        <v>Mid (6-15)</v>
      </c>
      <c r="AC289">
        <v>2</v>
      </c>
      <c r="AD289">
        <v>3</v>
      </c>
      <c r="AE289" t="s">
        <v>63</v>
      </c>
      <c r="AF289">
        <v>2</v>
      </c>
      <c r="AG289">
        <v>1</v>
      </c>
      <c r="AH289">
        <v>2</v>
      </c>
    </row>
    <row r="290" spans="1:34" x14ac:dyDescent="0.3">
      <c r="A290" t="s">
        <v>59</v>
      </c>
      <c r="B290">
        <v>1</v>
      </c>
      <c r="C290" t="s">
        <v>32</v>
      </c>
      <c r="D290">
        <v>1449</v>
      </c>
      <c r="E290" t="s">
        <v>40</v>
      </c>
      <c r="F290">
        <v>16</v>
      </c>
      <c r="G290" t="str">
        <f>IF(Table2[[#This Row],[DistanceFromHome]]&lt;=5, "short", IF(Table2[[#This Row],[DistanceFromHome]]&lt;=15, "medium", "long"))</f>
        <v>long</v>
      </c>
      <c r="H290">
        <v>4</v>
      </c>
      <c r="I290" t="s">
        <v>46</v>
      </c>
      <c r="J290">
        <v>394</v>
      </c>
      <c r="K290">
        <v>1</v>
      </c>
      <c r="L290" t="s">
        <v>41</v>
      </c>
      <c r="M290">
        <v>45</v>
      </c>
      <c r="N290">
        <v>3</v>
      </c>
      <c r="O290">
        <v>1</v>
      </c>
      <c r="P290" t="s">
        <v>45</v>
      </c>
      <c r="Q290">
        <v>2</v>
      </c>
      <c r="R290" t="s">
        <v>47</v>
      </c>
      <c r="S290">
        <v>2373</v>
      </c>
      <c r="T290">
        <v>14180</v>
      </c>
      <c r="U290">
        <v>2</v>
      </c>
      <c r="V290" t="s">
        <v>31</v>
      </c>
      <c r="W290">
        <v>13</v>
      </c>
      <c r="X290">
        <v>3</v>
      </c>
      <c r="Y290">
        <v>4</v>
      </c>
      <c r="Z290">
        <v>1</v>
      </c>
      <c r="AA290">
        <v>5</v>
      </c>
      <c r="AB290" t="str">
        <f>IF(Table2[[#This Row],[TotalWorkingYears]]&lt;=5,"Early (0-5)",IF(Table2[[#This Row],[TotalWorkingYears]]&lt;=15,"Mid (6-15)","Senior (16+)"))</f>
        <v>Early (0-5)</v>
      </c>
      <c r="AC290">
        <v>2</v>
      </c>
      <c r="AD290">
        <v>3</v>
      </c>
      <c r="AE290" t="s">
        <v>64</v>
      </c>
      <c r="AF290">
        <v>2</v>
      </c>
      <c r="AG290">
        <v>0</v>
      </c>
      <c r="AH290">
        <v>2</v>
      </c>
    </row>
    <row r="291" spans="1:34" x14ac:dyDescent="0.3">
      <c r="A291" t="s">
        <v>59</v>
      </c>
      <c r="B291">
        <v>0</v>
      </c>
      <c r="C291" t="s">
        <v>32</v>
      </c>
      <c r="D291">
        <v>1117</v>
      </c>
      <c r="E291" t="s">
        <v>40</v>
      </c>
      <c r="F291">
        <v>8</v>
      </c>
      <c r="G291" t="str">
        <f>IF(Table2[[#This Row],[DistanceFromHome]]&lt;=5, "short", IF(Table2[[#This Row],[DistanceFromHome]]&lt;=15, "medium", "long"))</f>
        <v>medium</v>
      </c>
      <c r="H291">
        <v>2</v>
      </c>
      <c r="I291" t="s">
        <v>34</v>
      </c>
      <c r="J291">
        <v>395</v>
      </c>
      <c r="K291">
        <v>4</v>
      </c>
      <c r="L291" t="s">
        <v>35</v>
      </c>
      <c r="M291">
        <v>66</v>
      </c>
      <c r="N291">
        <v>3</v>
      </c>
      <c r="O291">
        <v>1</v>
      </c>
      <c r="P291" t="s">
        <v>42</v>
      </c>
      <c r="Q291">
        <v>4</v>
      </c>
      <c r="R291" t="s">
        <v>37</v>
      </c>
      <c r="S291">
        <v>3310</v>
      </c>
      <c r="T291">
        <v>4488</v>
      </c>
      <c r="U291">
        <v>1</v>
      </c>
      <c r="V291" t="s">
        <v>38</v>
      </c>
      <c r="W291">
        <v>21</v>
      </c>
      <c r="X291">
        <v>4</v>
      </c>
      <c r="Y291">
        <v>4</v>
      </c>
      <c r="Z291">
        <v>0</v>
      </c>
      <c r="AA291">
        <v>5</v>
      </c>
      <c r="AB291" t="str">
        <f>IF(Table2[[#This Row],[TotalWorkingYears]]&lt;=5,"Early (0-5)",IF(Table2[[#This Row],[TotalWorkingYears]]&lt;=15,"Mid (6-15)","Senior (16+)"))</f>
        <v>Early (0-5)</v>
      </c>
      <c r="AC291">
        <v>3</v>
      </c>
      <c r="AD291">
        <v>3</v>
      </c>
      <c r="AE291" t="s">
        <v>64</v>
      </c>
      <c r="AF291">
        <v>3</v>
      </c>
      <c r="AG291">
        <v>0</v>
      </c>
      <c r="AH291">
        <v>2</v>
      </c>
    </row>
    <row r="292" spans="1:34" x14ac:dyDescent="0.3">
      <c r="A292" t="s">
        <v>58</v>
      </c>
      <c r="B292">
        <v>0</v>
      </c>
      <c r="C292" t="s">
        <v>39</v>
      </c>
      <c r="D292">
        <v>636</v>
      </c>
      <c r="E292" t="s">
        <v>40</v>
      </c>
      <c r="F292">
        <v>10</v>
      </c>
      <c r="G292" t="str">
        <f>IF(Table2[[#This Row],[DistanceFromHome]]&lt;=5, "short", IF(Table2[[#This Row],[DistanceFromHome]]&lt;=15, "medium", "long"))</f>
        <v>medium</v>
      </c>
      <c r="H292">
        <v>4</v>
      </c>
      <c r="I292" t="s">
        <v>34</v>
      </c>
      <c r="J292">
        <v>396</v>
      </c>
      <c r="K292">
        <v>3</v>
      </c>
      <c r="L292" t="s">
        <v>35</v>
      </c>
      <c r="M292">
        <v>35</v>
      </c>
      <c r="N292">
        <v>3</v>
      </c>
      <c r="O292">
        <v>5</v>
      </c>
      <c r="P292" t="s">
        <v>53</v>
      </c>
      <c r="Q292">
        <v>1</v>
      </c>
      <c r="R292" t="s">
        <v>37</v>
      </c>
      <c r="S292">
        <v>18665</v>
      </c>
      <c r="T292">
        <v>25594</v>
      </c>
      <c r="U292">
        <v>9</v>
      </c>
      <c r="V292" t="s">
        <v>31</v>
      </c>
      <c r="W292">
        <v>11</v>
      </c>
      <c r="X292">
        <v>3</v>
      </c>
      <c r="Y292">
        <v>4</v>
      </c>
      <c r="Z292">
        <v>0</v>
      </c>
      <c r="AA292">
        <v>22</v>
      </c>
      <c r="AB292" t="str">
        <f>IF(Table2[[#This Row],[TotalWorkingYears]]&lt;=5,"Early (0-5)",IF(Table2[[#This Row],[TotalWorkingYears]]&lt;=15,"Mid (6-15)","Senior (16+)"))</f>
        <v>Senior (16+)</v>
      </c>
      <c r="AC292">
        <v>4</v>
      </c>
      <c r="AD292">
        <v>3</v>
      </c>
      <c r="AE292" t="s">
        <v>64</v>
      </c>
      <c r="AF292">
        <v>2</v>
      </c>
      <c r="AG292">
        <v>1</v>
      </c>
      <c r="AH292">
        <v>2</v>
      </c>
    </row>
    <row r="293" spans="1:34" x14ac:dyDescent="0.3">
      <c r="A293" t="s">
        <v>57</v>
      </c>
      <c r="B293">
        <v>0</v>
      </c>
      <c r="C293" t="s">
        <v>32</v>
      </c>
      <c r="D293">
        <v>506</v>
      </c>
      <c r="E293" t="s">
        <v>40</v>
      </c>
      <c r="F293">
        <v>3</v>
      </c>
      <c r="G293" t="str">
        <f>IF(Table2[[#This Row],[DistanceFromHome]]&lt;=5, "short", IF(Table2[[#This Row],[DistanceFromHome]]&lt;=15, "medium", "long"))</f>
        <v>short</v>
      </c>
      <c r="H293">
        <v>3</v>
      </c>
      <c r="I293" t="s">
        <v>55</v>
      </c>
      <c r="J293">
        <v>397</v>
      </c>
      <c r="K293">
        <v>3</v>
      </c>
      <c r="L293" t="s">
        <v>41</v>
      </c>
      <c r="M293">
        <v>30</v>
      </c>
      <c r="N293">
        <v>3</v>
      </c>
      <c r="O293">
        <v>2</v>
      </c>
      <c r="P293" t="s">
        <v>42</v>
      </c>
      <c r="Q293">
        <v>2</v>
      </c>
      <c r="R293" t="s">
        <v>37</v>
      </c>
      <c r="S293">
        <v>4485</v>
      </c>
      <c r="T293">
        <v>26285</v>
      </c>
      <c r="U293">
        <v>4</v>
      </c>
      <c r="V293" t="s">
        <v>38</v>
      </c>
      <c r="W293">
        <v>12</v>
      </c>
      <c r="X293">
        <v>3</v>
      </c>
      <c r="Y293">
        <v>4</v>
      </c>
      <c r="Z293">
        <v>0</v>
      </c>
      <c r="AA293">
        <v>10</v>
      </c>
      <c r="AB293" t="str">
        <f>IF(Table2[[#This Row],[TotalWorkingYears]]&lt;=5,"Early (0-5)",IF(Table2[[#This Row],[TotalWorkingYears]]&lt;=15,"Mid (6-15)","Senior (16+)"))</f>
        <v>Mid (6-15)</v>
      </c>
      <c r="AC293">
        <v>2</v>
      </c>
      <c r="AD293">
        <v>3</v>
      </c>
      <c r="AE293" t="s">
        <v>62</v>
      </c>
      <c r="AF293">
        <v>0</v>
      </c>
      <c r="AG293">
        <v>7</v>
      </c>
      <c r="AH293">
        <v>7</v>
      </c>
    </row>
    <row r="294" spans="1:34" x14ac:dyDescent="0.3">
      <c r="A294" t="s">
        <v>59</v>
      </c>
      <c r="B294">
        <v>0</v>
      </c>
      <c r="C294" t="s">
        <v>39</v>
      </c>
      <c r="D294">
        <v>444</v>
      </c>
      <c r="E294" t="s">
        <v>33</v>
      </c>
      <c r="F294">
        <v>5</v>
      </c>
      <c r="G294" t="str">
        <f>IF(Table2[[#This Row],[DistanceFromHome]]&lt;=5, "short", IF(Table2[[#This Row],[DistanceFromHome]]&lt;=15, "medium", "long"))</f>
        <v>short</v>
      </c>
      <c r="H294">
        <v>3</v>
      </c>
      <c r="I294" t="s">
        <v>54</v>
      </c>
      <c r="J294">
        <v>399</v>
      </c>
      <c r="K294">
        <v>4</v>
      </c>
      <c r="L294" t="s">
        <v>35</v>
      </c>
      <c r="M294">
        <v>84</v>
      </c>
      <c r="N294">
        <v>3</v>
      </c>
      <c r="O294">
        <v>1</v>
      </c>
      <c r="P294" t="s">
        <v>52</v>
      </c>
      <c r="Q294">
        <v>2</v>
      </c>
      <c r="R294" t="s">
        <v>47</v>
      </c>
      <c r="S294">
        <v>2789</v>
      </c>
      <c r="T294">
        <v>3909</v>
      </c>
      <c r="U294">
        <v>1</v>
      </c>
      <c r="V294" t="s">
        <v>38</v>
      </c>
      <c r="W294">
        <v>11</v>
      </c>
      <c r="X294">
        <v>3</v>
      </c>
      <c r="Y294">
        <v>3</v>
      </c>
      <c r="Z294">
        <v>1</v>
      </c>
      <c r="AA294">
        <v>2</v>
      </c>
      <c r="AB294" t="str">
        <f>IF(Table2[[#This Row],[TotalWorkingYears]]&lt;=5,"Early (0-5)",IF(Table2[[#This Row],[TotalWorkingYears]]&lt;=15,"Mid (6-15)","Senior (16+)"))</f>
        <v>Early (0-5)</v>
      </c>
      <c r="AC294">
        <v>5</v>
      </c>
      <c r="AD294">
        <v>2</v>
      </c>
      <c r="AE294" t="s">
        <v>63</v>
      </c>
      <c r="AF294">
        <v>2</v>
      </c>
      <c r="AG294">
        <v>2</v>
      </c>
      <c r="AH294">
        <v>2</v>
      </c>
    </row>
    <row r="295" spans="1:34" x14ac:dyDescent="0.3">
      <c r="A295" t="s">
        <v>59</v>
      </c>
      <c r="B295">
        <v>1</v>
      </c>
      <c r="C295" t="s">
        <v>32</v>
      </c>
      <c r="D295">
        <v>950</v>
      </c>
      <c r="E295" t="s">
        <v>33</v>
      </c>
      <c r="F295">
        <v>4</v>
      </c>
      <c r="G295" t="str">
        <f>IF(Table2[[#This Row],[DistanceFromHome]]&lt;=5, "short", IF(Table2[[#This Row],[DistanceFromHome]]&lt;=15, "medium", "long"))</f>
        <v>short</v>
      </c>
      <c r="H295">
        <v>4</v>
      </c>
      <c r="I295" t="s">
        <v>54</v>
      </c>
      <c r="J295">
        <v>401</v>
      </c>
      <c r="K295">
        <v>4</v>
      </c>
      <c r="L295" t="s">
        <v>41</v>
      </c>
      <c r="M295">
        <v>48</v>
      </c>
      <c r="N295">
        <v>2</v>
      </c>
      <c r="O295">
        <v>2</v>
      </c>
      <c r="P295" t="s">
        <v>36</v>
      </c>
      <c r="Q295">
        <v>4</v>
      </c>
      <c r="R295" t="s">
        <v>37</v>
      </c>
      <c r="S295">
        <v>5828</v>
      </c>
      <c r="T295">
        <v>8450</v>
      </c>
      <c r="U295">
        <v>1</v>
      </c>
      <c r="V295" t="s">
        <v>31</v>
      </c>
      <c r="W295">
        <v>12</v>
      </c>
      <c r="X295">
        <v>3</v>
      </c>
      <c r="Y295">
        <v>2</v>
      </c>
      <c r="Z295">
        <v>0</v>
      </c>
      <c r="AA295">
        <v>8</v>
      </c>
      <c r="AB295" t="str">
        <f>IF(Table2[[#This Row],[TotalWorkingYears]]&lt;=5,"Early (0-5)",IF(Table2[[#This Row],[TotalWorkingYears]]&lt;=15,"Mid (6-15)","Senior (16+)"))</f>
        <v>Mid (6-15)</v>
      </c>
      <c r="AC295">
        <v>0</v>
      </c>
      <c r="AD295">
        <v>3</v>
      </c>
      <c r="AE295" t="s">
        <v>62</v>
      </c>
      <c r="AF295">
        <v>7</v>
      </c>
      <c r="AG295">
        <v>7</v>
      </c>
      <c r="AH295">
        <v>4</v>
      </c>
    </row>
    <row r="296" spans="1:34" x14ac:dyDescent="0.3">
      <c r="A296" t="s">
        <v>57</v>
      </c>
      <c r="B296">
        <v>0</v>
      </c>
      <c r="C296" t="s">
        <v>39</v>
      </c>
      <c r="D296">
        <v>889</v>
      </c>
      <c r="E296" t="s">
        <v>40</v>
      </c>
      <c r="F296">
        <v>9</v>
      </c>
      <c r="G296" t="str">
        <f>IF(Table2[[#This Row],[DistanceFromHome]]&lt;=5, "short", IF(Table2[[#This Row],[DistanceFromHome]]&lt;=15, "medium", "long"))</f>
        <v>medium</v>
      </c>
      <c r="H296">
        <v>3</v>
      </c>
      <c r="I296" t="s">
        <v>46</v>
      </c>
      <c r="J296">
        <v>403</v>
      </c>
      <c r="K296">
        <v>2</v>
      </c>
      <c r="L296" t="s">
        <v>41</v>
      </c>
      <c r="M296">
        <v>53</v>
      </c>
      <c r="N296">
        <v>3</v>
      </c>
      <c r="O296">
        <v>1</v>
      </c>
      <c r="P296" t="s">
        <v>42</v>
      </c>
      <c r="Q296">
        <v>4</v>
      </c>
      <c r="R296" t="s">
        <v>43</v>
      </c>
      <c r="S296">
        <v>2326</v>
      </c>
      <c r="T296">
        <v>11411</v>
      </c>
      <c r="U296">
        <v>1</v>
      </c>
      <c r="V296" t="s">
        <v>31</v>
      </c>
      <c r="W296">
        <v>12</v>
      </c>
      <c r="X296">
        <v>3</v>
      </c>
      <c r="Y296">
        <v>3</v>
      </c>
      <c r="Z296">
        <v>3</v>
      </c>
      <c r="AA296">
        <v>4</v>
      </c>
      <c r="AB296" t="str">
        <f>IF(Table2[[#This Row],[TotalWorkingYears]]&lt;=5,"Early (0-5)",IF(Table2[[#This Row],[TotalWorkingYears]]&lt;=15,"Mid (6-15)","Senior (16+)"))</f>
        <v>Early (0-5)</v>
      </c>
      <c r="AC296">
        <v>3</v>
      </c>
      <c r="AD296">
        <v>2</v>
      </c>
      <c r="AE296" t="s">
        <v>64</v>
      </c>
      <c r="AF296">
        <v>2</v>
      </c>
      <c r="AG296">
        <v>1</v>
      </c>
      <c r="AH296">
        <v>2</v>
      </c>
    </row>
    <row r="297" spans="1:34" x14ac:dyDescent="0.3">
      <c r="A297" t="s">
        <v>57</v>
      </c>
      <c r="B297">
        <v>0</v>
      </c>
      <c r="C297" t="s">
        <v>39</v>
      </c>
      <c r="D297">
        <v>555</v>
      </c>
      <c r="E297" t="s">
        <v>33</v>
      </c>
      <c r="F297">
        <v>26</v>
      </c>
      <c r="G297" t="str">
        <f>IF(Table2[[#This Row],[DistanceFromHome]]&lt;=5, "short", IF(Table2[[#This Row],[DistanceFromHome]]&lt;=15, "medium", "long"))</f>
        <v>long</v>
      </c>
      <c r="H297">
        <v>3</v>
      </c>
      <c r="I297" t="s">
        <v>54</v>
      </c>
      <c r="J297">
        <v>404</v>
      </c>
      <c r="K297">
        <v>3</v>
      </c>
      <c r="L297" t="s">
        <v>35</v>
      </c>
      <c r="M297">
        <v>77</v>
      </c>
      <c r="N297">
        <v>3</v>
      </c>
      <c r="O297">
        <v>4</v>
      </c>
      <c r="P297" t="s">
        <v>36</v>
      </c>
      <c r="Q297">
        <v>2</v>
      </c>
      <c r="R297" t="s">
        <v>43</v>
      </c>
      <c r="S297">
        <v>13525</v>
      </c>
      <c r="T297">
        <v>14864</v>
      </c>
      <c r="U297">
        <v>5</v>
      </c>
      <c r="V297" t="s">
        <v>38</v>
      </c>
      <c r="W297">
        <v>14</v>
      </c>
      <c r="X297">
        <v>3</v>
      </c>
      <c r="Y297">
        <v>4</v>
      </c>
      <c r="Z297">
        <v>1</v>
      </c>
      <c r="AA297">
        <v>23</v>
      </c>
      <c r="AB297" t="str">
        <f>IF(Table2[[#This Row],[TotalWorkingYears]]&lt;=5,"Early (0-5)",IF(Table2[[#This Row],[TotalWorkingYears]]&lt;=15,"Mid (6-15)","Senior (16+)"))</f>
        <v>Senior (16+)</v>
      </c>
      <c r="AC297">
        <v>2</v>
      </c>
      <c r="AD297">
        <v>4</v>
      </c>
      <c r="AE297" t="s">
        <v>65</v>
      </c>
      <c r="AF297">
        <v>4</v>
      </c>
      <c r="AG297">
        <v>4</v>
      </c>
      <c r="AH297">
        <v>8</v>
      </c>
    </row>
    <row r="298" spans="1:34" x14ac:dyDescent="0.3">
      <c r="A298" t="s">
        <v>60</v>
      </c>
      <c r="B298">
        <v>1</v>
      </c>
      <c r="C298" t="s">
        <v>32</v>
      </c>
      <c r="D298">
        <v>230</v>
      </c>
      <c r="E298" t="s">
        <v>40</v>
      </c>
      <c r="F298">
        <v>3</v>
      </c>
      <c r="G298" t="str">
        <f>IF(Table2[[#This Row],[DistanceFromHome]]&lt;=5, "short", IF(Table2[[#This Row],[DistanceFromHome]]&lt;=15, "medium", "long"))</f>
        <v>short</v>
      </c>
      <c r="H298">
        <v>3</v>
      </c>
      <c r="I298" t="s">
        <v>34</v>
      </c>
      <c r="J298">
        <v>405</v>
      </c>
      <c r="K298">
        <v>3</v>
      </c>
      <c r="L298" t="s">
        <v>41</v>
      </c>
      <c r="M298">
        <v>54</v>
      </c>
      <c r="N298">
        <v>3</v>
      </c>
      <c r="O298">
        <v>1</v>
      </c>
      <c r="P298" t="s">
        <v>45</v>
      </c>
      <c r="Q298">
        <v>3</v>
      </c>
      <c r="R298" t="s">
        <v>37</v>
      </c>
      <c r="S298">
        <v>1420</v>
      </c>
      <c r="T298">
        <v>25233</v>
      </c>
      <c r="U298">
        <v>1</v>
      </c>
      <c r="V298" t="s">
        <v>38</v>
      </c>
      <c r="W298">
        <v>13</v>
      </c>
      <c r="X298">
        <v>3</v>
      </c>
      <c r="Y298">
        <v>3</v>
      </c>
      <c r="Z298">
        <v>0</v>
      </c>
      <c r="AA298">
        <v>0</v>
      </c>
      <c r="AB298" t="str">
        <f>IF(Table2[[#This Row],[TotalWorkingYears]]&lt;=5,"Early (0-5)",IF(Table2[[#This Row],[TotalWorkingYears]]&lt;=15,"Mid (6-15)","Senior (16+)"))</f>
        <v>Early (0-5)</v>
      </c>
      <c r="AC298">
        <v>2</v>
      </c>
      <c r="AD298">
        <v>3</v>
      </c>
      <c r="AE298" t="s">
        <v>63</v>
      </c>
      <c r="AF298">
        <v>0</v>
      </c>
      <c r="AG298">
        <v>0</v>
      </c>
      <c r="AH298">
        <v>0</v>
      </c>
    </row>
    <row r="299" spans="1:34" x14ac:dyDescent="0.3">
      <c r="A299" t="s">
        <v>59</v>
      </c>
      <c r="B299">
        <v>0</v>
      </c>
      <c r="C299" t="s">
        <v>32</v>
      </c>
      <c r="D299">
        <v>1232</v>
      </c>
      <c r="E299" t="s">
        <v>33</v>
      </c>
      <c r="F299">
        <v>16</v>
      </c>
      <c r="G299" t="str">
        <f>IF(Table2[[#This Row],[DistanceFromHome]]&lt;=5, "short", IF(Table2[[#This Row],[DistanceFromHome]]&lt;=15, "medium", "long"))</f>
        <v>long</v>
      </c>
      <c r="H299">
        <v>3</v>
      </c>
      <c r="I299" t="s">
        <v>54</v>
      </c>
      <c r="J299">
        <v>406</v>
      </c>
      <c r="K299">
        <v>3</v>
      </c>
      <c r="L299" t="s">
        <v>41</v>
      </c>
      <c r="M299">
        <v>96</v>
      </c>
      <c r="N299">
        <v>3</v>
      </c>
      <c r="O299">
        <v>3</v>
      </c>
      <c r="P299" t="s">
        <v>36</v>
      </c>
      <c r="Q299">
        <v>2</v>
      </c>
      <c r="R299" t="s">
        <v>43</v>
      </c>
      <c r="S299">
        <v>8020</v>
      </c>
      <c r="T299">
        <v>5100</v>
      </c>
      <c r="U299">
        <v>0</v>
      </c>
      <c r="V299" t="s">
        <v>38</v>
      </c>
      <c r="W299">
        <v>15</v>
      </c>
      <c r="X299">
        <v>3</v>
      </c>
      <c r="Y299">
        <v>3</v>
      </c>
      <c r="Z299">
        <v>2</v>
      </c>
      <c r="AA299">
        <v>12</v>
      </c>
      <c r="AB299" t="str">
        <f>IF(Table2[[#This Row],[TotalWorkingYears]]&lt;=5,"Early (0-5)",IF(Table2[[#This Row],[TotalWorkingYears]]&lt;=15,"Mid (6-15)","Senior (16+)"))</f>
        <v>Mid (6-15)</v>
      </c>
      <c r="AC299">
        <v>3</v>
      </c>
      <c r="AD299">
        <v>2</v>
      </c>
      <c r="AE299" t="s">
        <v>65</v>
      </c>
      <c r="AF299">
        <v>9</v>
      </c>
      <c r="AG299">
        <v>6</v>
      </c>
      <c r="AH299">
        <v>9</v>
      </c>
    </row>
    <row r="300" spans="1:34" x14ac:dyDescent="0.3">
      <c r="A300" t="s">
        <v>57</v>
      </c>
      <c r="B300">
        <v>0</v>
      </c>
      <c r="C300" t="s">
        <v>39</v>
      </c>
      <c r="D300">
        <v>566</v>
      </c>
      <c r="E300" t="s">
        <v>40</v>
      </c>
      <c r="F300">
        <v>18</v>
      </c>
      <c r="G300" t="str">
        <f>IF(Table2[[#This Row],[DistanceFromHome]]&lt;=5, "short", IF(Table2[[#This Row],[DistanceFromHome]]&lt;=15, "medium", "long"))</f>
        <v>long</v>
      </c>
      <c r="H300">
        <v>4</v>
      </c>
      <c r="I300" t="s">
        <v>34</v>
      </c>
      <c r="J300">
        <v>407</v>
      </c>
      <c r="K300">
        <v>3</v>
      </c>
      <c r="L300" t="s">
        <v>41</v>
      </c>
      <c r="M300">
        <v>81</v>
      </c>
      <c r="N300">
        <v>4</v>
      </c>
      <c r="O300">
        <v>1</v>
      </c>
      <c r="P300" t="s">
        <v>45</v>
      </c>
      <c r="Q300">
        <v>4</v>
      </c>
      <c r="R300" t="s">
        <v>43</v>
      </c>
      <c r="S300">
        <v>3688</v>
      </c>
      <c r="T300">
        <v>7122</v>
      </c>
      <c r="U300">
        <v>4</v>
      </c>
      <c r="V300" t="s">
        <v>38</v>
      </c>
      <c r="W300">
        <v>18</v>
      </c>
      <c r="X300">
        <v>3</v>
      </c>
      <c r="Y300">
        <v>4</v>
      </c>
      <c r="Z300">
        <v>2</v>
      </c>
      <c r="AA300">
        <v>4</v>
      </c>
      <c r="AB300" t="str">
        <f>IF(Table2[[#This Row],[TotalWorkingYears]]&lt;=5,"Early (0-5)",IF(Table2[[#This Row],[TotalWorkingYears]]&lt;=15,"Mid (6-15)","Senior (16+)"))</f>
        <v>Early (0-5)</v>
      </c>
      <c r="AC300">
        <v>2</v>
      </c>
      <c r="AD300">
        <v>3</v>
      </c>
      <c r="AE300" t="s">
        <v>63</v>
      </c>
      <c r="AF300">
        <v>0</v>
      </c>
      <c r="AG300">
        <v>0</v>
      </c>
      <c r="AH300">
        <v>0</v>
      </c>
    </row>
    <row r="301" spans="1:34" x14ac:dyDescent="0.3">
      <c r="A301" t="s">
        <v>58</v>
      </c>
      <c r="B301">
        <v>0</v>
      </c>
      <c r="C301" t="s">
        <v>32</v>
      </c>
      <c r="D301">
        <v>1302</v>
      </c>
      <c r="E301" t="s">
        <v>40</v>
      </c>
      <c r="F301">
        <v>2</v>
      </c>
      <c r="G301" t="str">
        <f>IF(Table2[[#This Row],[DistanceFromHome]]&lt;=5, "short", IF(Table2[[#This Row],[DistanceFromHome]]&lt;=15, "medium", "long"))</f>
        <v>short</v>
      </c>
      <c r="H301">
        <v>3</v>
      </c>
      <c r="I301" t="s">
        <v>46</v>
      </c>
      <c r="J301">
        <v>408</v>
      </c>
      <c r="K301">
        <v>4</v>
      </c>
      <c r="L301" t="s">
        <v>41</v>
      </c>
      <c r="M301">
        <v>84</v>
      </c>
      <c r="N301">
        <v>1</v>
      </c>
      <c r="O301">
        <v>2</v>
      </c>
      <c r="P301" t="s">
        <v>48</v>
      </c>
      <c r="Q301">
        <v>2</v>
      </c>
      <c r="R301" t="s">
        <v>47</v>
      </c>
      <c r="S301">
        <v>5482</v>
      </c>
      <c r="T301">
        <v>16321</v>
      </c>
      <c r="U301">
        <v>5</v>
      </c>
      <c r="V301" t="s">
        <v>38</v>
      </c>
      <c r="W301">
        <v>18</v>
      </c>
      <c r="X301">
        <v>3</v>
      </c>
      <c r="Y301">
        <v>4</v>
      </c>
      <c r="Z301">
        <v>1</v>
      </c>
      <c r="AA301">
        <v>13</v>
      </c>
      <c r="AB301" t="str">
        <f>IF(Table2[[#This Row],[TotalWorkingYears]]&lt;=5,"Early (0-5)",IF(Table2[[#This Row],[TotalWorkingYears]]&lt;=15,"Mid (6-15)","Senior (16+)"))</f>
        <v>Mid (6-15)</v>
      </c>
      <c r="AC301">
        <v>3</v>
      </c>
      <c r="AD301">
        <v>3</v>
      </c>
      <c r="AE301" t="s">
        <v>64</v>
      </c>
      <c r="AF301">
        <v>1</v>
      </c>
      <c r="AG301">
        <v>1</v>
      </c>
      <c r="AH301">
        <v>2</v>
      </c>
    </row>
    <row r="302" spans="1:34" x14ac:dyDescent="0.3">
      <c r="A302" t="s">
        <v>57</v>
      </c>
      <c r="B302">
        <v>0</v>
      </c>
      <c r="C302" t="s">
        <v>32</v>
      </c>
      <c r="D302">
        <v>334</v>
      </c>
      <c r="E302" t="s">
        <v>33</v>
      </c>
      <c r="F302">
        <v>2</v>
      </c>
      <c r="G302" t="str">
        <f>IF(Table2[[#This Row],[DistanceFromHome]]&lt;=5, "short", IF(Table2[[#This Row],[DistanceFromHome]]&lt;=15, "medium", "long"))</f>
        <v>short</v>
      </c>
      <c r="H302">
        <v>4</v>
      </c>
      <c r="I302" t="s">
        <v>34</v>
      </c>
      <c r="J302">
        <v>410</v>
      </c>
      <c r="K302">
        <v>4</v>
      </c>
      <c r="L302" t="s">
        <v>41</v>
      </c>
      <c r="M302">
        <v>88</v>
      </c>
      <c r="N302">
        <v>3</v>
      </c>
      <c r="O302">
        <v>4</v>
      </c>
      <c r="P302" t="s">
        <v>51</v>
      </c>
      <c r="Q302">
        <v>2</v>
      </c>
      <c r="R302" t="s">
        <v>37</v>
      </c>
      <c r="S302">
        <v>16015</v>
      </c>
      <c r="T302">
        <v>15896</v>
      </c>
      <c r="U302">
        <v>1</v>
      </c>
      <c r="V302" t="s">
        <v>38</v>
      </c>
      <c r="W302">
        <v>19</v>
      </c>
      <c r="X302">
        <v>3</v>
      </c>
      <c r="Y302">
        <v>2</v>
      </c>
      <c r="Z302">
        <v>0</v>
      </c>
      <c r="AA302">
        <v>22</v>
      </c>
      <c r="AB302" t="str">
        <f>IF(Table2[[#This Row],[TotalWorkingYears]]&lt;=5,"Early (0-5)",IF(Table2[[#This Row],[TotalWorkingYears]]&lt;=15,"Mid (6-15)","Senior (16+)"))</f>
        <v>Senior (16+)</v>
      </c>
      <c r="AC302">
        <v>2</v>
      </c>
      <c r="AD302">
        <v>3</v>
      </c>
      <c r="AE302" t="s">
        <v>65</v>
      </c>
      <c r="AF302">
        <v>10</v>
      </c>
      <c r="AG302">
        <v>0</v>
      </c>
      <c r="AH302">
        <v>4</v>
      </c>
    </row>
    <row r="303" spans="1:34" x14ac:dyDescent="0.3">
      <c r="A303" t="s">
        <v>60</v>
      </c>
      <c r="B303">
        <v>0</v>
      </c>
      <c r="C303" t="s">
        <v>32</v>
      </c>
      <c r="D303">
        <v>812</v>
      </c>
      <c r="E303" t="s">
        <v>33</v>
      </c>
      <c r="F303">
        <v>10</v>
      </c>
      <c r="G303" t="str">
        <f>IF(Table2[[#This Row],[DistanceFromHome]]&lt;=5, "short", IF(Table2[[#This Row],[DistanceFromHome]]&lt;=15, "medium", "long"))</f>
        <v>medium</v>
      </c>
      <c r="H303">
        <v>3</v>
      </c>
      <c r="I303" t="s">
        <v>46</v>
      </c>
      <c r="J303">
        <v>411</v>
      </c>
      <c r="K303">
        <v>4</v>
      </c>
      <c r="L303" t="s">
        <v>35</v>
      </c>
      <c r="M303">
        <v>69</v>
      </c>
      <c r="N303">
        <v>2</v>
      </c>
      <c r="O303">
        <v>1</v>
      </c>
      <c r="P303" t="s">
        <v>52</v>
      </c>
      <c r="Q303">
        <v>3</v>
      </c>
      <c r="R303" t="s">
        <v>37</v>
      </c>
      <c r="S303">
        <v>1200</v>
      </c>
      <c r="T303">
        <v>9724</v>
      </c>
      <c r="U303">
        <v>1</v>
      </c>
      <c r="V303" t="s">
        <v>38</v>
      </c>
      <c r="W303">
        <v>12</v>
      </c>
      <c r="X303">
        <v>3</v>
      </c>
      <c r="Y303">
        <v>1</v>
      </c>
      <c r="Z303">
        <v>0</v>
      </c>
      <c r="AA303">
        <v>0</v>
      </c>
      <c r="AB303" t="str">
        <f>IF(Table2[[#This Row],[TotalWorkingYears]]&lt;=5,"Early (0-5)",IF(Table2[[#This Row],[TotalWorkingYears]]&lt;=15,"Mid (6-15)","Senior (16+)"))</f>
        <v>Early (0-5)</v>
      </c>
      <c r="AC303">
        <v>2</v>
      </c>
      <c r="AD303">
        <v>3</v>
      </c>
      <c r="AE303" t="s">
        <v>63</v>
      </c>
      <c r="AF303">
        <v>0</v>
      </c>
      <c r="AG303">
        <v>0</v>
      </c>
      <c r="AH303">
        <v>0</v>
      </c>
    </row>
    <row r="304" spans="1:34" x14ac:dyDescent="0.3">
      <c r="A304" t="s">
        <v>59</v>
      </c>
      <c r="B304">
        <v>0</v>
      </c>
      <c r="C304" t="s">
        <v>32</v>
      </c>
      <c r="D304">
        <v>1476</v>
      </c>
      <c r="E304" t="s">
        <v>40</v>
      </c>
      <c r="F304">
        <v>16</v>
      </c>
      <c r="G304" t="str">
        <f>IF(Table2[[#This Row],[DistanceFromHome]]&lt;=5, "short", IF(Table2[[#This Row],[DistanceFromHome]]&lt;=15, "medium", "long"))</f>
        <v>long</v>
      </c>
      <c r="H304">
        <v>2</v>
      </c>
      <c r="I304" t="s">
        <v>46</v>
      </c>
      <c r="J304">
        <v>412</v>
      </c>
      <c r="K304">
        <v>2</v>
      </c>
      <c r="L304" t="s">
        <v>41</v>
      </c>
      <c r="M304">
        <v>68</v>
      </c>
      <c r="N304">
        <v>4</v>
      </c>
      <c r="O304">
        <v>2</v>
      </c>
      <c r="P304" t="s">
        <v>49</v>
      </c>
      <c r="Q304">
        <v>1</v>
      </c>
      <c r="R304" t="s">
        <v>37</v>
      </c>
      <c r="S304">
        <v>5661</v>
      </c>
      <c r="T304">
        <v>4824</v>
      </c>
      <c r="U304">
        <v>0</v>
      </c>
      <c r="V304" t="s">
        <v>38</v>
      </c>
      <c r="W304">
        <v>19</v>
      </c>
      <c r="X304">
        <v>3</v>
      </c>
      <c r="Y304">
        <v>3</v>
      </c>
      <c r="Z304">
        <v>0</v>
      </c>
      <c r="AA304">
        <v>9</v>
      </c>
      <c r="AB304" t="str">
        <f>IF(Table2[[#This Row],[TotalWorkingYears]]&lt;=5,"Early (0-5)",IF(Table2[[#This Row],[TotalWorkingYears]]&lt;=15,"Mid (6-15)","Senior (16+)"))</f>
        <v>Mid (6-15)</v>
      </c>
      <c r="AC304">
        <v>2</v>
      </c>
      <c r="AD304">
        <v>3</v>
      </c>
      <c r="AE304" t="s">
        <v>62</v>
      </c>
      <c r="AF304">
        <v>3</v>
      </c>
      <c r="AG304">
        <v>0</v>
      </c>
      <c r="AH304">
        <v>7</v>
      </c>
    </row>
    <row r="305" spans="1:34" x14ac:dyDescent="0.3">
      <c r="A305" t="s">
        <v>59</v>
      </c>
      <c r="B305">
        <v>0</v>
      </c>
      <c r="C305" t="s">
        <v>32</v>
      </c>
      <c r="D305">
        <v>218</v>
      </c>
      <c r="E305" t="s">
        <v>33</v>
      </c>
      <c r="F305">
        <v>7</v>
      </c>
      <c r="G305" t="str">
        <f>IF(Table2[[#This Row],[DistanceFromHome]]&lt;=5, "short", IF(Table2[[#This Row],[DistanceFromHome]]&lt;=15, "medium", "long"))</f>
        <v>medium</v>
      </c>
      <c r="H305">
        <v>3</v>
      </c>
      <c r="I305" t="s">
        <v>55</v>
      </c>
      <c r="J305">
        <v>416</v>
      </c>
      <c r="K305">
        <v>2</v>
      </c>
      <c r="L305" t="s">
        <v>41</v>
      </c>
      <c r="M305">
        <v>100</v>
      </c>
      <c r="N305">
        <v>4</v>
      </c>
      <c r="O305">
        <v>2</v>
      </c>
      <c r="P305" t="s">
        <v>36</v>
      </c>
      <c r="Q305">
        <v>4</v>
      </c>
      <c r="R305" t="s">
        <v>43</v>
      </c>
      <c r="S305">
        <v>6929</v>
      </c>
      <c r="T305">
        <v>12241</v>
      </c>
      <c r="U305">
        <v>4</v>
      </c>
      <c r="V305" t="s">
        <v>38</v>
      </c>
      <c r="W305">
        <v>11</v>
      </c>
      <c r="X305">
        <v>3</v>
      </c>
      <c r="Y305">
        <v>2</v>
      </c>
      <c r="Z305">
        <v>1</v>
      </c>
      <c r="AA305">
        <v>10</v>
      </c>
      <c r="AB305" t="str">
        <f>IF(Table2[[#This Row],[TotalWorkingYears]]&lt;=5,"Early (0-5)",IF(Table2[[#This Row],[TotalWorkingYears]]&lt;=15,"Mid (6-15)","Senior (16+)"))</f>
        <v>Mid (6-15)</v>
      </c>
      <c r="AC305">
        <v>3</v>
      </c>
      <c r="AD305">
        <v>2</v>
      </c>
      <c r="AE305" t="s">
        <v>62</v>
      </c>
      <c r="AF305">
        <v>7</v>
      </c>
      <c r="AG305">
        <v>7</v>
      </c>
      <c r="AH305">
        <v>7</v>
      </c>
    </row>
    <row r="306" spans="1:34" x14ac:dyDescent="0.3">
      <c r="A306" t="s">
        <v>57</v>
      </c>
      <c r="B306">
        <v>0</v>
      </c>
      <c r="C306" t="s">
        <v>32</v>
      </c>
      <c r="D306">
        <v>1132</v>
      </c>
      <c r="E306" t="s">
        <v>40</v>
      </c>
      <c r="F306">
        <v>1</v>
      </c>
      <c r="G306" t="str">
        <f>IF(Table2[[#This Row],[DistanceFromHome]]&lt;=5, "short", IF(Table2[[#This Row],[DistanceFromHome]]&lt;=15, "medium", "long"))</f>
        <v>short</v>
      </c>
      <c r="H306">
        <v>3</v>
      </c>
      <c r="I306" t="s">
        <v>46</v>
      </c>
      <c r="J306">
        <v>417</v>
      </c>
      <c r="K306">
        <v>3</v>
      </c>
      <c r="L306" t="s">
        <v>41</v>
      </c>
      <c r="M306">
        <v>48</v>
      </c>
      <c r="N306">
        <v>4</v>
      </c>
      <c r="O306">
        <v>3</v>
      </c>
      <c r="P306" t="s">
        <v>49</v>
      </c>
      <c r="Q306">
        <v>4</v>
      </c>
      <c r="R306" t="s">
        <v>47</v>
      </c>
      <c r="S306">
        <v>9613</v>
      </c>
      <c r="T306">
        <v>10942</v>
      </c>
      <c r="U306">
        <v>0</v>
      </c>
      <c r="V306" t="s">
        <v>38</v>
      </c>
      <c r="W306">
        <v>17</v>
      </c>
      <c r="X306">
        <v>3</v>
      </c>
      <c r="Y306">
        <v>1</v>
      </c>
      <c r="Z306">
        <v>3</v>
      </c>
      <c r="AA306">
        <v>19</v>
      </c>
      <c r="AB306" t="str">
        <f>IF(Table2[[#This Row],[TotalWorkingYears]]&lt;=5,"Early (0-5)",IF(Table2[[#This Row],[TotalWorkingYears]]&lt;=15,"Mid (6-15)","Senior (16+)"))</f>
        <v>Senior (16+)</v>
      </c>
      <c r="AC306">
        <v>5</v>
      </c>
      <c r="AD306">
        <v>2</v>
      </c>
      <c r="AE306" t="s">
        <v>65</v>
      </c>
      <c r="AF306">
        <v>10</v>
      </c>
      <c r="AG306">
        <v>3</v>
      </c>
      <c r="AH306">
        <v>7</v>
      </c>
    </row>
    <row r="307" spans="1:34" x14ac:dyDescent="0.3">
      <c r="A307" t="s">
        <v>57</v>
      </c>
      <c r="B307">
        <v>0</v>
      </c>
      <c r="C307" t="s">
        <v>50</v>
      </c>
      <c r="D307">
        <v>1105</v>
      </c>
      <c r="E307" t="s">
        <v>40</v>
      </c>
      <c r="F307">
        <v>24</v>
      </c>
      <c r="G307" t="str">
        <f>IF(Table2[[#This Row],[DistanceFromHome]]&lt;=5, "short", IF(Table2[[#This Row],[DistanceFromHome]]&lt;=15, "medium", "long"))</f>
        <v>long</v>
      </c>
      <c r="H307">
        <v>4</v>
      </c>
      <c r="I307" t="s">
        <v>34</v>
      </c>
      <c r="J307">
        <v>419</v>
      </c>
      <c r="K307">
        <v>2</v>
      </c>
      <c r="L307" t="s">
        <v>35</v>
      </c>
      <c r="M307">
        <v>47</v>
      </c>
      <c r="N307">
        <v>3</v>
      </c>
      <c r="O307">
        <v>2</v>
      </c>
      <c r="P307" t="s">
        <v>45</v>
      </c>
      <c r="Q307">
        <v>2</v>
      </c>
      <c r="R307" t="s">
        <v>43</v>
      </c>
      <c r="S307">
        <v>5674</v>
      </c>
      <c r="T307">
        <v>6927</v>
      </c>
      <c r="U307">
        <v>7</v>
      </c>
      <c r="V307" t="s">
        <v>38</v>
      </c>
      <c r="W307">
        <v>15</v>
      </c>
      <c r="X307">
        <v>3</v>
      </c>
      <c r="Y307">
        <v>3</v>
      </c>
      <c r="Z307">
        <v>1</v>
      </c>
      <c r="AA307">
        <v>11</v>
      </c>
      <c r="AB307" t="str">
        <f>IF(Table2[[#This Row],[TotalWorkingYears]]&lt;=5,"Early (0-5)",IF(Table2[[#This Row],[TotalWorkingYears]]&lt;=15,"Mid (6-15)","Senior (16+)"))</f>
        <v>Mid (6-15)</v>
      </c>
      <c r="AC307">
        <v>3</v>
      </c>
      <c r="AD307">
        <v>3</v>
      </c>
      <c r="AE307" t="s">
        <v>62</v>
      </c>
      <c r="AF307">
        <v>8</v>
      </c>
      <c r="AG307">
        <v>0</v>
      </c>
      <c r="AH307">
        <v>8</v>
      </c>
    </row>
    <row r="308" spans="1:34" x14ac:dyDescent="0.3">
      <c r="A308" t="s">
        <v>59</v>
      </c>
      <c r="B308">
        <v>0</v>
      </c>
      <c r="C308" t="s">
        <v>32</v>
      </c>
      <c r="D308">
        <v>906</v>
      </c>
      <c r="E308" t="s">
        <v>33</v>
      </c>
      <c r="F308">
        <v>7</v>
      </c>
      <c r="G308" t="str">
        <f>IF(Table2[[#This Row],[DistanceFromHome]]&lt;=5, "short", IF(Table2[[#This Row],[DistanceFromHome]]&lt;=15, "medium", "long"))</f>
        <v>medium</v>
      </c>
      <c r="H308">
        <v>3</v>
      </c>
      <c r="I308" t="s">
        <v>34</v>
      </c>
      <c r="J308">
        <v>420</v>
      </c>
      <c r="K308">
        <v>4</v>
      </c>
      <c r="L308" t="s">
        <v>41</v>
      </c>
      <c r="M308">
        <v>91</v>
      </c>
      <c r="N308">
        <v>2</v>
      </c>
      <c r="O308">
        <v>2</v>
      </c>
      <c r="P308" t="s">
        <v>36</v>
      </c>
      <c r="Q308">
        <v>3</v>
      </c>
      <c r="R308" t="s">
        <v>43</v>
      </c>
      <c r="S308">
        <v>5484</v>
      </c>
      <c r="T308">
        <v>16985</v>
      </c>
      <c r="U308">
        <v>1</v>
      </c>
      <c r="V308" t="s">
        <v>38</v>
      </c>
      <c r="W308">
        <v>14</v>
      </c>
      <c r="X308">
        <v>3</v>
      </c>
      <c r="Y308">
        <v>3</v>
      </c>
      <c r="Z308">
        <v>1</v>
      </c>
      <c r="AA308">
        <v>13</v>
      </c>
      <c r="AB308" t="str">
        <f>IF(Table2[[#This Row],[TotalWorkingYears]]&lt;=5,"Early (0-5)",IF(Table2[[#This Row],[TotalWorkingYears]]&lt;=15,"Mid (6-15)","Senior (16+)"))</f>
        <v>Mid (6-15)</v>
      </c>
      <c r="AC308">
        <v>3</v>
      </c>
      <c r="AD308">
        <v>2</v>
      </c>
      <c r="AE308" t="s">
        <v>65</v>
      </c>
      <c r="AF308">
        <v>8</v>
      </c>
      <c r="AG308">
        <v>4</v>
      </c>
      <c r="AH308">
        <v>8</v>
      </c>
    </row>
    <row r="309" spans="1:34" x14ac:dyDescent="0.3">
      <c r="A309" t="s">
        <v>57</v>
      </c>
      <c r="B309">
        <v>0</v>
      </c>
      <c r="C309" t="s">
        <v>32</v>
      </c>
      <c r="D309">
        <v>849</v>
      </c>
      <c r="E309" t="s">
        <v>40</v>
      </c>
      <c r="F309">
        <v>25</v>
      </c>
      <c r="G309" t="str">
        <f>IF(Table2[[#This Row],[DistanceFromHome]]&lt;=5, "short", IF(Table2[[#This Row],[DistanceFromHome]]&lt;=15, "medium", "long"))</f>
        <v>long</v>
      </c>
      <c r="H309">
        <v>2</v>
      </c>
      <c r="I309" t="s">
        <v>34</v>
      </c>
      <c r="J309">
        <v>421</v>
      </c>
      <c r="K309">
        <v>1</v>
      </c>
      <c r="L309" t="s">
        <v>35</v>
      </c>
      <c r="M309">
        <v>81</v>
      </c>
      <c r="N309">
        <v>2</v>
      </c>
      <c r="O309">
        <v>3</v>
      </c>
      <c r="P309" t="s">
        <v>53</v>
      </c>
      <c r="Q309">
        <v>2</v>
      </c>
      <c r="R309" t="s">
        <v>43</v>
      </c>
      <c r="S309">
        <v>12061</v>
      </c>
      <c r="T309">
        <v>26707</v>
      </c>
      <c r="U309">
        <v>3</v>
      </c>
      <c r="V309" t="s">
        <v>38</v>
      </c>
      <c r="W309">
        <v>17</v>
      </c>
      <c r="X309">
        <v>3</v>
      </c>
      <c r="Y309">
        <v>3</v>
      </c>
      <c r="Z309">
        <v>1</v>
      </c>
      <c r="AA309">
        <v>19</v>
      </c>
      <c r="AB309" t="str">
        <f>IF(Table2[[#This Row],[TotalWorkingYears]]&lt;=5,"Early (0-5)",IF(Table2[[#This Row],[TotalWorkingYears]]&lt;=15,"Mid (6-15)","Senior (16+)"))</f>
        <v>Senior (16+)</v>
      </c>
      <c r="AC309">
        <v>2</v>
      </c>
      <c r="AD309">
        <v>3</v>
      </c>
      <c r="AE309" t="s">
        <v>62</v>
      </c>
      <c r="AF309">
        <v>8</v>
      </c>
      <c r="AG309">
        <v>0</v>
      </c>
      <c r="AH309">
        <v>1</v>
      </c>
    </row>
    <row r="310" spans="1:34" x14ac:dyDescent="0.3">
      <c r="A310" t="s">
        <v>58</v>
      </c>
      <c r="B310">
        <v>0</v>
      </c>
      <c r="C310" t="s">
        <v>50</v>
      </c>
      <c r="D310">
        <v>390</v>
      </c>
      <c r="E310" t="s">
        <v>40</v>
      </c>
      <c r="F310">
        <v>1</v>
      </c>
      <c r="G310" t="str">
        <f>IF(Table2[[#This Row],[DistanceFromHome]]&lt;=5, "short", IF(Table2[[#This Row],[DistanceFromHome]]&lt;=15, "medium", "long"))</f>
        <v>short</v>
      </c>
      <c r="H310">
        <v>4</v>
      </c>
      <c r="I310" t="s">
        <v>34</v>
      </c>
      <c r="J310">
        <v>422</v>
      </c>
      <c r="K310">
        <v>4</v>
      </c>
      <c r="L310" t="s">
        <v>41</v>
      </c>
      <c r="M310">
        <v>32</v>
      </c>
      <c r="N310">
        <v>1</v>
      </c>
      <c r="O310">
        <v>2</v>
      </c>
      <c r="P310" t="s">
        <v>49</v>
      </c>
      <c r="Q310">
        <v>3</v>
      </c>
      <c r="R310" t="s">
        <v>47</v>
      </c>
      <c r="S310">
        <v>5660</v>
      </c>
      <c r="T310">
        <v>17056</v>
      </c>
      <c r="U310">
        <v>2</v>
      </c>
      <c r="V310" t="s">
        <v>31</v>
      </c>
      <c r="W310">
        <v>13</v>
      </c>
      <c r="X310">
        <v>3</v>
      </c>
      <c r="Y310">
        <v>4</v>
      </c>
      <c r="Z310">
        <v>1</v>
      </c>
      <c r="AA310">
        <v>12</v>
      </c>
      <c r="AB310" t="str">
        <f>IF(Table2[[#This Row],[TotalWorkingYears]]&lt;=5,"Early (0-5)",IF(Table2[[#This Row],[TotalWorkingYears]]&lt;=15,"Mid (6-15)","Senior (16+)"))</f>
        <v>Mid (6-15)</v>
      </c>
      <c r="AC310">
        <v>2</v>
      </c>
      <c r="AD310">
        <v>3</v>
      </c>
      <c r="AE310" t="s">
        <v>64</v>
      </c>
      <c r="AF310">
        <v>3</v>
      </c>
      <c r="AG310">
        <v>1</v>
      </c>
      <c r="AH310">
        <v>2</v>
      </c>
    </row>
    <row r="311" spans="1:34" x14ac:dyDescent="0.3">
      <c r="A311" t="s">
        <v>59</v>
      </c>
      <c r="B311">
        <v>0</v>
      </c>
      <c r="C311" t="s">
        <v>32</v>
      </c>
      <c r="D311">
        <v>691</v>
      </c>
      <c r="E311" t="s">
        <v>40</v>
      </c>
      <c r="F311">
        <v>5</v>
      </c>
      <c r="G311" t="str">
        <f>IF(Table2[[#This Row],[DistanceFromHome]]&lt;=5, "short", IF(Table2[[#This Row],[DistanceFromHome]]&lt;=15, "medium", "long"))</f>
        <v>short</v>
      </c>
      <c r="H311">
        <v>4</v>
      </c>
      <c r="I311" t="s">
        <v>55</v>
      </c>
      <c r="J311">
        <v>423</v>
      </c>
      <c r="K311">
        <v>3</v>
      </c>
      <c r="L311" t="s">
        <v>41</v>
      </c>
      <c r="M311">
        <v>86</v>
      </c>
      <c r="N311">
        <v>3</v>
      </c>
      <c r="O311">
        <v>1</v>
      </c>
      <c r="P311" t="s">
        <v>42</v>
      </c>
      <c r="Q311">
        <v>4</v>
      </c>
      <c r="R311" t="s">
        <v>43</v>
      </c>
      <c r="S311">
        <v>4821</v>
      </c>
      <c r="T311">
        <v>10077</v>
      </c>
      <c r="U311">
        <v>0</v>
      </c>
      <c r="V311" t="s">
        <v>31</v>
      </c>
      <c r="W311">
        <v>12</v>
      </c>
      <c r="X311">
        <v>3</v>
      </c>
      <c r="Y311">
        <v>3</v>
      </c>
      <c r="Z311">
        <v>1</v>
      </c>
      <c r="AA311">
        <v>6</v>
      </c>
      <c r="AB311" t="str">
        <f>IF(Table2[[#This Row],[TotalWorkingYears]]&lt;=5,"Early (0-5)",IF(Table2[[#This Row],[TotalWorkingYears]]&lt;=15,"Mid (6-15)","Senior (16+)"))</f>
        <v>Mid (6-15)</v>
      </c>
      <c r="AC311">
        <v>4</v>
      </c>
      <c r="AD311">
        <v>3</v>
      </c>
      <c r="AE311" t="s">
        <v>64</v>
      </c>
      <c r="AF311">
        <v>2</v>
      </c>
      <c r="AG311">
        <v>0</v>
      </c>
      <c r="AH311">
        <v>3</v>
      </c>
    </row>
    <row r="312" spans="1:34" x14ac:dyDescent="0.3">
      <c r="A312" t="s">
        <v>59</v>
      </c>
      <c r="B312">
        <v>0</v>
      </c>
      <c r="C312" t="s">
        <v>32</v>
      </c>
      <c r="D312">
        <v>106</v>
      </c>
      <c r="E312" t="s">
        <v>56</v>
      </c>
      <c r="F312">
        <v>2</v>
      </c>
      <c r="G312" t="str">
        <f>IF(Table2[[#This Row],[DistanceFromHome]]&lt;=5, "short", IF(Table2[[#This Row],[DistanceFromHome]]&lt;=15, "medium", "long"))</f>
        <v>short</v>
      </c>
      <c r="H312">
        <v>3</v>
      </c>
      <c r="I312" t="s">
        <v>56</v>
      </c>
      <c r="J312">
        <v>424</v>
      </c>
      <c r="K312">
        <v>1</v>
      </c>
      <c r="L312" t="s">
        <v>41</v>
      </c>
      <c r="M312">
        <v>62</v>
      </c>
      <c r="N312">
        <v>2</v>
      </c>
      <c r="O312">
        <v>2</v>
      </c>
      <c r="P312" t="s">
        <v>56</v>
      </c>
      <c r="Q312">
        <v>1</v>
      </c>
      <c r="R312" t="s">
        <v>43</v>
      </c>
      <c r="S312">
        <v>6410</v>
      </c>
      <c r="T312">
        <v>17822</v>
      </c>
      <c r="U312">
        <v>3</v>
      </c>
      <c r="V312" t="s">
        <v>38</v>
      </c>
      <c r="W312">
        <v>12</v>
      </c>
      <c r="X312">
        <v>3</v>
      </c>
      <c r="Y312">
        <v>4</v>
      </c>
      <c r="Z312">
        <v>0</v>
      </c>
      <c r="AA312">
        <v>9</v>
      </c>
      <c r="AB312" t="str">
        <f>IF(Table2[[#This Row],[TotalWorkingYears]]&lt;=5,"Early (0-5)",IF(Table2[[#This Row],[TotalWorkingYears]]&lt;=15,"Mid (6-15)","Senior (16+)"))</f>
        <v>Mid (6-15)</v>
      </c>
      <c r="AC312">
        <v>1</v>
      </c>
      <c r="AD312">
        <v>3</v>
      </c>
      <c r="AE312" t="s">
        <v>63</v>
      </c>
      <c r="AF312">
        <v>2</v>
      </c>
      <c r="AG312">
        <v>1</v>
      </c>
      <c r="AH312">
        <v>0</v>
      </c>
    </row>
    <row r="313" spans="1:34" x14ac:dyDescent="0.3">
      <c r="A313" t="s">
        <v>57</v>
      </c>
      <c r="B313">
        <v>0</v>
      </c>
      <c r="C313" t="s">
        <v>39</v>
      </c>
      <c r="D313">
        <v>1249</v>
      </c>
      <c r="E313" t="s">
        <v>40</v>
      </c>
      <c r="F313">
        <v>7</v>
      </c>
      <c r="G313" t="str">
        <f>IF(Table2[[#This Row],[DistanceFromHome]]&lt;=5, "short", IF(Table2[[#This Row],[DistanceFromHome]]&lt;=15, "medium", "long"))</f>
        <v>medium</v>
      </c>
      <c r="H313">
        <v>3</v>
      </c>
      <c r="I313" t="s">
        <v>34</v>
      </c>
      <c r="J313">
        <v>425</v>
      </c>
      <c r="K313">
        <v>1</v>
      </c>
      <c r="L313" t="s">
        <v>41</v>
      </c>
      <c r="M313">
        <v>97</v>
      </c>
      <c r="N313">
        <v>3</v>
      </c>
      <c r="O313">
        <v>3</v>
      </c>
      <c r="P313" t="s">
        <v>45</v>
      </c>
      <c r="Q313">
        <v>1</v>
      </c>
      <c r="R313" t="s">
        <v>47</v>
      </c>
      <c r="S313">
        <v>5210</v>
      </c>
      <c r="T313">
        <v>20308</v>
      </c>
      <c r="U313">
        <v>1</v>
      </c>
      <c r="V313" t="s">
        <v>38</v>
      </c>
      <c r="W313">
        <v>18</v>
      </c>
      <c r="X313">
        <v>3</v>
      </c>
      <c r="Y313">
        <v>1</v>
      </c>
      <c r="Z313">
        <v>1</v>
      </c>
      <c r="AA313">
        <v>24</v>
      </c>
      <c r="AB313" t="str">
        <f>IF(Table2[[#This Row],[TotalWorkingYears]]&lt;=5,"Early (0-5)",IF(Table2[[#This Row],[TotalWorkingYears]]&lt;=15,"Mid (6-15)","Senior (16+)"))</f>
        <v>Senior (16+)</v>
      </c>
      <c r="AC313">
        <v>2</v>
      </c>
      <c r="AD313">
        <v>3</v>
      </c>
      <c r="AE313" t="s">
        <v>65</v>
      </c>
      <c r="AF313">
        <v>9</v>
      </c>
      <c r="AG313">
        <v>9</v>
      </c>
      <c r="AH313">
        <v>11</v>
      </c>
    </row>
    <row r="314" spans="1:34" x14ac:dyDescent="0.3">
      <c r="A314" t="s">
        <v>59</v>
      </c>
      <c r="B314">
        <v>0</v>
      </c>
      <c r="C314" t="s">
        <v>32</v>
      </c>
      <c r="D314">
        <v>192</v>
      </c>
      <c r="E314" t="s">
        <v>40</v>
      </c>
      <c r="F314">
        <v>2</v>
      </c>
      <c r="G314" t="str">
        <f>IF(Table2[[#This Row],[DistanceFromHome]]&lt;=5, "short", IF(Table2[[#This Row],[DistanceFromHome]]&lt;=15, "medium", "long"))</f>
        <v>short</v>
      </c>
      <c r="H314">
        <v>4</v>
      </c>
      <c r="I314" t="s">
        <v>34</v>
      </c>
      <c r="J314">
        <v>426</v>
      </c>
      <c r="K314">
        <v>3</v>
      </c>
      <c r="L314" t="s">
        <v>41</v>
      </c>
      <c r="M314">
        <v>32</v>
      </c>
      <c r="N314">
        <v>3</v>
      </c>
      <c r="O314">
        <v>1</v>
      </c>
      <c r="P314" t="s">
        <v>42</v>
      </c>
      <c r="Q314">
        <v>4</v>
      </c>
      <c r="R314" t="s">
        <v>47</v>
      </c>
      <c r="S314">
        <v>2695</v>
      </c>
      <c r="T314">
        <v>7747</v>
      </c>
      <c r="U314">
        <v>0</v>
      </c>
      <c r="V314" t="s">
        <v>31</v>
      </c>
      <c r="W314">
        <v>18</v>
      </c>
      <c r="X314">
        <v>3</v>
      </c>
      <c r="Y314">
        <v>2</v>
      </c>
      <c r="Z314">
        <v>1</v>
      </c>
      <c r="AA314">
        <v>3</v>
      </c>
      <c r="AB314" t="str">
        <f>IF(Table2[[#This Row],[TotalWorkingYears]]&lt;=5,"Early (0-5)",IF(Table2[[#This Row],[TotalWorkingYears]]&lt;=15,"Mid (6-15)","Senior (16+)"))</f>
        <v>Early (0-5)</v>
      </c>
      <c r="AC314">
        <v>2</v>
      </c>
      <c r="AD314">
        <v>1</v>
      </c>
      <c r="AE314" t="s">
        <v>63</v>
      </c>
      <c r="AF314">
        <v>2</v>
      </c>
      <c r="AG314">
        <v>2</v>
      </c>
      <c r="AH314">
        <v>2</v>
      </c>
    </row>
    <row r="315" spans="1:34" x14ac:dyDescent="0.3">
      <c r="A315" t="s">
        <v>59</v>
      </c>
      <c r="B315">
        <v>0</v>
      </c>
      <c r="C315" t="s">
        <v>39</v>
      </c>
      <c r="D315">
        <v>553</v>
      </c>
      <c r="E315" t="s">
        <v>40</v>
      </c>
      <c r="F315">
        <v>5</v>
      </c>
      <c r="G315" t="str">
        <f>IF(Table2[[#This Row],[DistanceFromHome]]&lt;=5, "short", IF(Table2[[#This Row],[DistanceFromHome]]&lt;=15, "medium", "long"))</f>
        <v>short</v>
      </c>
      <c r="H315">
        <v>4</v>
      </c>
      <c r="I315" t="s">
        <v>34</v>
      </c>
      <c r="J315">
        <v>428</v>
      </c>
      <c r="K315">
        <v>4</v>
      </c>
      <c r="L315" t="s">
        <v>35</v>
      </c>
      <c r="M315">
        <v>74</v>
      </c>
      <c r="N315">
        <v>3</v>
      </c>
      <c r="O315">
        <v>3</v>
      </c>
      <c r="P315" t="s">
        <v>51</v>
      </c>
      <c r="Q315">
        <v>2</v>
      </c>
      <c r="R315" t="s">
        <v>43</v>
      </c>
      <c r="S315">
        <v>11878</v>
      </c>
      <c r="T315">
        <v>23364</v>
      </c>
      <c r="U315">
        <v>6</v>
      </c>
      <c r="V315" t="s">
        <v>38</v>
      </c>
      <c r="W315">
        <v>11</v>
      </c>
      <c r="X315">
        <v>3</v>
      </c>
      <c r="Y315">
        <v>2</v>
      </c>
      <c r="Z315">
        <v>2</v>
      </c>
      <c r="AA315">
        <v>12</v>
      </c>
      <c r="AB315" t="str">
        <f>IF(Table2[[#This Row],[TotalWorkingYears]]&lt;=5,"Early (0-5)",IF(Table2[[#This Row],[TotalWorkingYears]]&lt;=15,"Mid (6-15)","Senior (16+)"))</f>
        <v>Mid (6-15)</v>
      </c>
      <c r="AC315">
        <v>2</v>
      </c>
      <c r="AD315">
        <v>3</v>
      </c>
      <c r="AE315" t="s">
        <v>62</v>
      </c>
      <c r="AF315">
        <v>6</v>
      </c>
      <c r="AG315">
        <v>8</v>
      </c>
      <c r="AH315">
        <v>8</v>
      </c>
    </row>
    <row r="316" spans="1:34" x14ac:dyDescent="0.3">
      <c r="A316" t="s">
        <v>57</v>
      </c>
      <c r="B316">
        <v>0</v>
      </c>
      <c r="C316" t="s">
        <v>32</v>
      </c>
      <c r="D316">
        <v>117</v>
      </c>
      <c r="E316" t="s">
        <v>40</v>
      </c>
      <c r="F316">
        <v>10</v>
      </c>
      <c r="G316" t="str">
        <f>IF(Table2[[#This Row],[DistanceFromHome]]&lt;=5, "short", IF(Table2[[#This Row],[DistanceFromHome]]&lt;=15, "medium", "long"))</f>
        <v>medium</v>
      </c>
      <c r="H316">
        <v>1</v>
      </c>
      <c r="I316" t="s">
        <v>46</v>
      </c>
      <c r="J316">
        <v>429</v>
      </c>
      <c r="K316">
        <v>3</v>
      </c>
      <c r="L316" t="s">
        <v>41</v>
      </c>
      <c r="M316">
        <v>99</v>
      </c>
      <c r="N316">
        <v>3</v>
      </c>
      <c r="O316">
        <v>4</v>
      </c>
      <c r="P316" t="s">
        <v>51</v>
      </c>
      <c r="Q316">
        <v>1</v>
      </c>
      <c r="R316" t="s">
        <v>43</v>
      </c>
      <c r="S316">
        <v>17068</v>
      </c>
      <c r="T316">
        <v>5355</v>
      </c>
      <c r="U316">
        <v>1</v>
      </c>
      <c r="V316" t="s">
        <v>31</v>
      </c>
      <c r="W316">
        <v>14</v>
      </c>
      <c r="X316">
        <v>3</v>
      </c>
      <c r="Y316">
        <v>4</v>
      </c>
      <c r="Z316">
        <v>0</v>
      </c>
      <c r="AA316">
        <v>21</v>
      </c>
      <c r="AB316" t="str">
        <f>IF(Table2[[#This Row],[TotalWorkingYears]]&lt;=5,"Early (0-5)",IF(Table2[[#This Row],[TotalWorkingYears]]&lt;=15,"Mid (6-15)","Senior (16+)"))</f>
        <v>Senior (16+)</v>
      </c>
      <c r="AC316">
        <v>3</v>
      </c>
      <c r="AD316">
        <v>3</v>
      </c>
      <c r="AE316" t="s">
        <v>65</v>
      </c>
      <c r="AF316">
        <v>9</v>
      </c>
      <c r="AG316">
        <v>11</v>
      </c>
      <c r="AH316">
        <v>10</v>
      </c>
    </row>
    <row r="317" spans="1:34" x14ac:dyDescent="0.3">
      <c r="A317" t="s">
        <v>57</v>
      </c>
      <c r="B317">
        <v>0</v>
      </c>
      <c r="C317" t="s">
        <v>39</v>
      </c>
      <c r="D317">
        <v>185</v>
      </c>
      <c r="E317" t="s">
        <v>40</v>
      </c>
      <c r="F317">
        <v>10</v>
      </c>
      <c r="G317" t="str">
        <f>IF(Table2[[#This Row],[DistanceFromHome]]&lt;=5, "short", IF(Table2[[#This Row],[DistanceFromHome]]&lt;=15, "medium", "long"))</f>
        <v>medium</v>
      </c>
      <c r="H317">
        <v>4</v>
      </c>
      <c r="I317" t="s">
        <v>34</v>
      </c>
      <c r="J317">
        <v>430</v>
      </c>
      <c r="K317">
        <v>3</v>
      </c>
      <c r="L317" t="s">
        <v>35</v>
      </c>
      <c r="M317">
        <v>33</v>
      </c>
      <c r="N317">
        <v>3</v>
      </c>
      <c r="O317">
        <v>1</v>
      </c>
      <c r="P317" t="s">
        <v>45</v>
      </c>
      <c r="Q317">
        <v>4</v>
      </c>
      <c r="R317" t="s">
        <v>37</v>
      </c>
      <c r="S317">
        <v>2455</v>
      </c>
      <c r="T317">
        <v>10675</v>
      </c>
      <c r="U317">
        <v>0</v>
      </c>
      <c r="V317" t="s">
        <v>38</v>
      </c>
      <c r="W317">
        <v>19</v>
      </c>
      <c r="X317">
        <v>3</v>
      </c>
      <c r="Y317">
        <v>1</v>
      </c>
      <c r="Z317">
        <v>0</v>
      </c>
      <c r="AA317">
        <v>9</v>
      </c>
      <c r="AB317" t="str">
        <f>IF(Table2[[#This Row],[TotalWorkingYears]]&lt;=5,"Early (0-5)",IF(Table2[[#This Row],[TotalWorkingYears]]&lt;=15,"Mid (6-15)","Senior (16+)"))</f>
        <v>Mid (6-15)</v>
      </c>
      <c r="AC317">
        <v>5</v>
      </c>
      <c r="AD317">
        <v>3</v>
      </c>
      <c r="AE317" t="s">
        <v>62</v>
      </c>
      <c r="AF317">
        <v>7</v>
      </c>
      <c r="AG317">
        <v>1</v>
      </c>
      <c r="AH317">
        <v>7</v>
      </c>
    </row>
    <row r="318" spans="1:34" x14ac:dyDescent="0.3">
      <c r="A318" t="s">
        <v>58</v>
      </c>
      <c r="B318">
        <v>0</v>
      </c>
      <c r="C318" t="s">
        <v>32</v>
      </c>
      <c r="D318">
        <v>1091</v>
      </c>
      <c r="E318" t="s">
        <v>40</v>
      </c>
      <c r="F318">
        <v>1</v>
      </c>
      <c r="G318" t="str">
        <f>IF(Table2[[#This Row],[DistanceFromHome]]&lt;=5, "short", IF(Table2[[#This Row],[DistanceFromHome]]&lt;=15, "medium", "long"))</f>
        <v>short</v>
      </c>
      <c r="H318">
        <v>2</v>
      </c>
      <c r="I318" t="s">
        <v>55</v>
      </c>
      <c r="J318">
        <v>431</v>
      </c>
      <c r="K318">
        <v>3</v>
      </c>
      <c r="L318" t="s">
        <v>35</v>
      </c>
      <c r="M318">
        <v>90</v>
      </c>
      <c r="N318">
        <v>2</v>
      </c>
      <c r="O318">
        <v>4</v>
      </c>
      <c r="P318" t="s">
        <v>49</v>
      </c>
      <c r="Q318">
        <v>3</v>
      </c>
      <c r="R318" t="s">
        <v>37</v>
      </c>
      <c r="S318">
        <v>13964</v>
      </c>
      <c r="T318">
        <v>17810</v>
      </c>
      <c r="U318">
        <v>7</v>
      </c>
      <c r="V318" t="s">
        <v>31</v>
      </c>
      <c r="W318">
        <v>12</v>
      </c>
      <c r="X318">
        <v>3</v>
      </c>
      <c r="Y318">
        <v>4</v>
      </c>
      <c r="Z318">
        <v>0</v>
      </c>
      <c r="AA318">
        <v>25</v>
      </c>
      <c r="AB318" t="str">
        <f>IF(Table2[[#This Row],[TotalWorkingYears]]&lt;=5,"Early (0-5)",IF(Table2[[#This Row],[TotalWorkingYears]]&lt;=15,"Mid (6-15)","Senior (16+)"))</f>
        <v>Senior (16+)</v>
      </c>
      <c r="AC318">
        <v>2</v>
      </c>
      <c r="AD318">
        <v>3</v>
      </c>
      <c r="AE318" t="s">
        <v>62</v>
      </c>
      <c r="AF318">
        <v>1</v>
      </c>
      <c r="AG318">
        <v>0</v>
      </c>
      <c r="AH318">
        <v>7</v>
      </c>
    </row>
    <row r="319" spans="1:34" x14ac:dyDescent="0.3">
      <c r="A319" t="s">
        <v>58</v>
      </c>
      <c r="B319">
        <v>1</v>
      </c>
      <c r="C319" t="s">
        <v>32</v>
      </c>
      <c r="D319">
        <v>723</v>
      </c>
      <c r="E319" t="s">
        <v>40</v>
      </c>
      <c r="F319">
        <v>8</v>
      </c>
      <c r="G319" t="str">
        <f>IF(Table2[[#This Row],[DistanceFromHome]]&lt;=5, "short", IF(Table2[[#This Row],[DistanceFromHome]]&lt;=15, "medium", "long"))</f>
        <v>medium</v>
      </c>
      <c r="H319">
        <v>4</v>
      </c>
      <c r="I319" t="s">
        <v>46</v>
      </c>
      <c r="J319">
        <v>433</v>
      </c>
      <c r="K319">
        <v>3</v>
      </c>
      <c r="L319" t="s">
        <v>41</v>
      </c>
      <c r="M319">
        <v>85</v>
      </c>
      <c r="N319">
        <v>2</v>
      </c>
      <c r="O319">
        <v>2</v>
      </c>
      <c r="P319" t="s">
        <v>42</v>
      </c>
      <c r="Q319">
        <v>2</v>
      </c>
      <c r="R319" t="s">
        <v>43</v>
      </c>
      <c r="S319">
        <v>4941</v>
      </c>
      <c r="T319">
        <v>17747</v>
      </c>
      <c r="U319">
        <v>2</v>
      </c>
      <c r="V319" t="s">
        <v>38</v>
      </c>
      <c r="W319">
        <v>15</v>
      </c>
      <c r="X319">
        <v>3</v>
      </c>
      <c r="Y319">
        <v>1</v>
      </c>
      <c r="Z319">
        <v>0</v>
      </c>
      <c r="AA319">
        <v>11</v>
      </c>
      <c r="AB319" t="str">
        <f>IF(Table2[[#This Row],[TotalWorkingYears]]&lt;=5,"Early (0-5)",IF(Table2[[#This Row],[TotalWorkingYears]]&lt;=15,"Mid (6-15)","Senior (16+)"))</f>
        <v>Mid (6-15)</v>
      </c>
      <c r="AC319">
        <v>3</v>
      </c>
      <c r="AD319">
        <v>2</v>
      </c>
      <c r="AE319" t="s">
        <v>62</v>
      </c>
      <c r="AF319">
        <v>2</v>
      </c>
      <c r="AG319">
        <v>7</v>
      </c>
      <c r="AH319">
        <v>7</v>
      </c>
    </row>
    <row r="320" spans="1:34" x14ac:dyDescent="0.3">
      <c r="A320" t="s">
        <v>59</v>
      </c>
      <c r="B320">
        <v>0</v>
      </c>
      <c r="C320" t="s">
        <v>32</v>
      </c>
      <c r="D320">
        <v>1220</v>
      </c>
      <c r="E320" t="s">
        <v>40</v>
      </c>
      <c r="F320">
        <v>5</v>
      </c>
      <c r="G320" t="str">
        <f>IF(Table2[[#This Row],[DistanceFromHome]]&lt;=5, "short", IF(Table2[[#This Row],[DistanceFromHome]]&lt;=15, "medium", "long"))</f>
        <v>short</v>
      </c>
      <c r="H320">
        <v>3</v>
      </c>
      <c r="I320" t="s">
        <v>34</v>
      </c>
      <c r="J320">
        <v>434</v>
      </c>
      <c r="K320">
        <v>3</v>
      </c>
      <c r="L320" t="s">
        <v>35</v>
      </c>
      <c r="M320">
        <v>85</v>
      </c>
      <c r="N320">
        <v>3</v>
      </c>
      <c r="O320">
        <v>1</v>
      </c>
      <c r="P320" t="s">
        <v>42</v>
      </c>
      <c r="Q320">
        <v>2</v>
      </c>
      <c r="R320" t="s">
        <v>37</v>
      </c>
      <c r="S320">
        <v>2478</v>
      </c>
      <c r="T320">
        <v>20938</v>
      </c>
      <c r="U320">
        <v>1</v>
      </c>
      <c r="V320" t="s">
        <v>31</v>
      </c>
      <c r="W320">
        <v>12</v>
      </c>
      <c r="X320">
        <v>3</v>
      </c>
      <c r="Y320">
        <v>2</v>
      </c>
      <c r="Z320">
        <v>0</v>
      </c>
      <c r="AA320">
        <v>4</v>
      </c>
      <c r="AB320" t="str">
        <f>IF(Table2[[#This Row],[TotalWorkingYears]]&lt;=5,"Early (0-5)",IF(Table2[[#This Row],[TotalWorkingYears]]&lt;=15,"Mid (6-15)","Senior (16+)"))</f>
        <v>Early (0-5)</v>
      </c>
      <c r="AC320">
        <v>2</v>
      </c>
      <c r="AD320">
        <v>2</v>
      </c>
      <c r="AE320" t="s">
        <v>64</v>
      </c>
      <c r="AF320">
        <v>3</v>
      </c>
      <c r="AG320">
        <v>1</v>
      </c>
      <c r="AH320">
        <v>2</v>
      </c>
    </row>
    <row r="321" spans="1:34" x14ac:dyDescent="0.3">
      <c r="A321" t="s">
        <v>59</v>
      </c>
      <c r="B321">
        <v>0</v>
      </c>
      <c r="C321" t="s">
        <v>32</v>
      </c>
      <c r="D321">
        <v>588</v>
      </c>
      <c r="E321" t="s">
        <v>33</v>
      </c>
      <c r="F321">
        <v>8</v>
      </c>
      <c r="G321" t="str">
        <f>IF(Table2[[#This Row],[DistanceFromHome]]&lt;=5, "short", IF(Table2[[#This Row],[DistanceFromHome]]&lt;=15, "medium", "long"))</f>
        <v>medium</v>
      </c>
      <c r="H321">
        <v>2</v>
      </c>
      <c r="I321" t="s">
        <v>55</v>
      </c>
      <c r="J321">
        <v>436</v>
      </c>
      <c r="K321">
        <v>3</v>
      </c>
      <c r="L321" t="s">
        <v>35</v>
      </c>
      <c r="M321">
        <v>65</v>
      </c>
      <c r="N321">
        <v>2</v>
      </c>
      <c r="O321">
        <v>2</v>
      </c>
      <c r="P321" t="s">
        <v>36</v>
      </c>
      <c r="Q321">
        <v>2</v>
      </c>
      <c r="R321" t="s">
        <v>43</v>
      </c>
      <c r="S321">
        <v>5228</v>
      </c>
      <c r="T321">
        <v>24624</v>
      </c>
      <c r="U321">
        <v>1</v>
      </c>
      <c r="V321" t="s">
        <v>31</v>
      </c>
      <c r="W321">
        <v>11</v>
      </c>
      <c r="X321">
        <v>3</v>
      </c>
      <c r="Y321">
        <v>4</v>
      </c>
      <c r="Z321">
        <v>0</v>
      </c>
      <c r="AA321">
        <v>13</v>
      </c>
      <c r="AB321" t="str">
        <f>IF(Table2[[#This Row],[TotalWorkingYears]]&lt;=5,"Early (0-5)",IF(Table2[[#This Row],[TotalWorkingYears]]&lt;=15,"Mid (6-15)","Senior (16+)"))</f>
        <v>Mid (6-15)</v>
      </c>
      <c r="AC321">
        <v>2</v>
      </c>
      <c r="AD321">
        <v>3</v>
      </c>
      <c r="AE321" t="s">
        <v>65</v>
      </c>
      <c r="AF321">
        <v>12</v>
      </c>
      <c r="AG321">
        <v>11</v>
      </c>
      <c r="AH321">
        <v>9</v>
      </c>
    </row>
    <row r="322" spans="1:34" x14ac:dyDescent="0.3">
      <c r="A322" t="s">
        <v>59</v>
      </c>
      <c r="B322">
        <v>0</v>
      </c>
      <c r="C322" t="s">
        <v>32</v>
      </c>
      <c r="D322">
        <v>1377</v>
      </c>
      <c r="E322" t="s">
        <v>33</v>
      </c>
      <c r="F322">
        <v>2</v>
      </c>
      <c r="G322" t="str">
        <f>IF(Table2[[#This Row],[DistanceFromHome]]&lt;=5, "short", IF(Table2[[#This Row],[DistanceFromHome]]&lt;=15, "medium", "long"))</f>
        <v>short</v>
      </c>
      <c r="H322">
        <v>3</v>
      </c>
      <c r="I322" t="s">
        <v>34</v>
      </c>
      <c r="J322">
        <v>437</v>
      </c>
      <c r="K322">
        <v>4</v>
      </c>
      <c r="L322" t="s">
        <v>41</v>
      </c>
      <c r="M322">
        <v>74</v>
      </c>
      <c r="N322">
        <v>3</v>
      </c>
      <c r="O322">
        <v>2</v>
      </c>
      <c r="P322" t="s">
        <v>36</v>
      </c>
      <c r="Q322">
        <v>3</v>
      </c>
      <c r="R322" t="s">
        <v>37</v>
      </c>
      <c r="S322">
        <v>4478</v>
      </c>
      <c r="T322">
        <v>5242</v>
      </c>
      <c r="U322">
        <v>1</v>
      </c>
      <c r="V322" t="s">
        <v>31</v>
      </c>
      <c r="W322">
        <v>11</v>
      </c>
      <c r="X322">
        <v>3</v>
      </c>
      <c r="Y322">
        <v>1</v>
      </c>
      <c r="Z322">
        <v>0</v>
      </c>
      <c r="AA322">
        <v>5</v>
      </c>
      <c r="AB322" t="str">
        <f>IF(Table2[[#This Row],[TotalWorkingYears]]&lt;=5,"Early (0-5)",IF(Table2[[#This Row],[TotalWorkingYears]]&lt;=15,"Mid (6-15)","Senior (16+)"))</f>
        <v>Early (0-5)</v>
      </c>
      <c r="AC322">
        <v>3</v>
      </c>
      <c r="AD322">
        <v>3</v>
      </c>
      <c r="AE322" t="s">
        <v>64</v>
      </c>
      <c r="AF322">
        <v>4</v>
      </c>
      <c r="AG322">
        <v>0</v>
      </c>
      <c r="AH322">
        <v>4</v>
      </c>
    </row>
    <row r="323" spans="1:34" x14ac:dyDescent="0.3">
      <c r="A323" t="s">
        <v>59</v>
      </c>
      <c r="B323">
        <v>0</v>
      </c>
      <c r="C323" t="s">
        <v>32</v>
      </c>
      <c r="D323">
        <v>691</v>
      </c>
      <c r="E323" t="s">
        <v>33</v>
      </c>
      <c r="F323">
        <v>7</v>
      </c>
      <c r="G323" t="str">
        <f>IF(Table2[[#This Row],[DistanceFromHome]]&lt;=5, "short", IF(Table2[[#This Row],[DistanceFromHome]]&lt;=15, "medium", "long"))</f>
        <v>medium</v>
      </c>
      <c r="H323">
        <v>3</v>
      </c>
      <c r="I323" t="s">
        <v>54</v>
      </c>
      <c r="J323">
        <v>438</v>
      </c>
      <c r="K323">
        <v>4</v>
      </c>
      <c r="L323" t="s">
        <v>41</v>
      </c>
      <c r="M323">
        <v>73</v>
      </c>
      <c r="N323">
        <v>3</v>
      </c>
      <c r="O323">
        <v>2</v>
      </c>
      <c r="P323" t="s">
        <v>36</v>
      </c>
      <c r="Q323">
        <v>4</v>
      </c>
      <c r="R323" t="s">
        <v>47</v>
      </c>
      <c r="S323">
        <v>7547</v>
      </c>
      <c r="T323">
        <v>7143</v>
      </c>
      <c r="U323">
        <v>4</v>
      </c>
      <c r="V323" t="s">
        <v>38</v>
      </c>
      <c r="W323">
        <v>12</v>
      </c>
      <c r="X323">
        <v>3</v>
      </c>
      <c r="Y323">
        <v>4</v>
      </c>
      <c r="Z323">
        <v>3</v>
      </c>
      <c r="AA323">
        <v>13</v>
      </c>
      <c r="AB323" t="str">
        <f>IF(Table2[[#This Row],[TotalWorkingYears]]&lt;=5,"Early (0-5)",IF(Table2[[#This Row],[TotalWorkingYears]]&lt;=15,"Mid (6-15)","Senior (16+)"))</f>
        <v>Mid (6-15)</v>
      </c>
      <c r="AC323">
        <v>3</v>
      </c>
      <c r="AD323">
        <v>3</v>
      </c>
      <c r="AE323" t="s">
        <v>62</v>
      </c>
      <c r="AF323">
        <v>7</v>
      </c>
      <c r="AG323">
        <v>1</v>
      </c>
      <c r="AH323">
        <v>7</v>
      </c>
    </row>
    <row r="324" spans="1:34" x14ac:dyDescent="0.3">
      <c r="A324" t="s">
        <v>59</v>
      </c>
      <c r="B324">
        <v>0</v>
      </c>
      <c r="C324" t="s">
        <v>32</v>
      </c>
      <c r="D324">
        <v>1018</v>
      </c>
      <c r="E324" t="s">
        <v>40</v>
      </c>
      <c r="F324">
        <v>2</v>
      </c>
      <c r="G324" t="str">
        <f>IF(Table2[[#This Row],[DistanceFromHome]]&lt;=5, "short", IF(Table2[[#This Row],[DistanceFromHome]]&lt;=15, "medium", "long"))</f>
        <v>short</v>
      </c>
      <c r="H324">
        <v>4</v>
      </c>
      <c r="I324" t="s">
        <v>46</v>
      </c>
      <c r="J324">
        <v>439</v>
      </c>
      <c r="K324">
        <v>1</v>
      </c>
      <c r="L324" t="s">
        <v>35</v>
      </c>
      <c r="M324">
        <v>74</v>
      </c>
      <c r="N324">
        <v>4</v>
      </c>
      <c r="O324">
        <v>2</v>
      </c>
      <c r="P324" t="s">
        <v>42</v>
      </c>
      <c r="Q324">
        <v>4</v>
      </c>
      <c r="R324" t="s">
        <v>37</v>
      </c>
      <c r="S324">
        <v>5055</v>
      </c>
      <c r="T324">
        <v>10557</v>
      </c>
      <c r="U324">
        <v>7</v>
      </c>
      <c r="V324" t="s">
        <v>38</v>
      </c>
      <c r="W324">
        <v>16</v>
      </c>
      <c r="X324">
        <v>3</v>
      </c>
      <c r="Y324">
        <v>3</v>
      </c>
      <c r="Z324">
        <v>0</v>
      </c>
      <c r="AA324">
        <v>10</v>
      </c>
      <c r="AB324" t="str">
        <f>IF(Table2[[#This Row],[TotalWorkingYears]]&lt;=5,"Early (0-5)",IF(Table2[[#This Row],[TotalWorkingYears]]&lt;=15,"Mid (6-15)","Senior (16+)"))</f>
        <v>Mid (6-15)</v>
      </c>
      <c r="AC324">
        <v>0</v>
      </c>
      <c r="AD324">
        <v>2</v>
      </c>
      <c r="AE324" t="s">
        <v>62</v>
      </c>
      <c r="AF324">
        <v>7</v>
      </c>
      <c r="AG324">
        <v>0</v>
      </c>
      <c r="AH324">
        <v>7</v>
      </c>
    </row>
    <row r="325" spans="1:34" x14ac:dyDescent="0.3">
      <c r="A325" t="s">
        <v>59</v>
      </c>
      <c r="B325">
        <v>1</v>
      </c>
      <c r="C325" t="s">
        <v>32</v>
      </c>
      <c r="D325">
        <v>1157</v>
      </c>
      <c r="E325" t="s">
        <v>40</v>
      </c>
      <c r="F325">
        <v>2</v>
      </c>
      <c r="G325" t="str">
        <f>IF(Table2[[#This Row],[DistanceFromHome]]&lt;=5, "short", IF(Table2[[#This Row],[DistanceFromHome]]&lt;=15, "medium", "long"))</f>
        <v>short</v>
      </c>
      <c r="H325">
        <v>4</v>
      </c>
      <c r="I325" t="s">
        <v>46</v>
      </c>
      <c r="J325">
        <v>440</v>
      </c>
      <c r="K325">
        <v>1</v>
      </c>
      <c r="L325" t="s">
        <v>41</v>
      </c>
      <c r="M325">
        <v>84</v>
      </c>
      <c r="N325">
        <v>1</v>
      </c>
      <c r="O325">
        <v>1</v>
      </c>
      <c r="P325" t="s">
        <v>42</v>
      </c>
      <c r="Q325">
        <v>4</v>
      </c>
      <c r="R325" t="s">
        <v>43</v>
      </c>
      <c r="S325">
        <v>3464</v>
      </c>
      <c r="T325">
        <v>24737</v>
      </c>
      <c r="U325">
        <v>5</v>
      </c>
      <c r="V325" t="s">
        <v>31</v>
      </c>
      <c r="W325">
        <v>13</v>
      </c>
      <c r="X325">
        <v>3</v>
      </c>
      <c r="Y325">
        <v>4</v>
      </c>
      <c r="Z325">
        <v>0</v>
      </c>
      <c r="AA325">
        <v>5</v>
      </c>
      <c r="AB325" t="str">
        <f>IF(Table2[[#This Row],[TotalWorkingYears]]&lt;=5,"Early (0-5)",IF(Table2[[#This Row],[TotalWorkingYears]]&lt;=15,"Mid (6-15)","Senior (16+)"))</f>
        <v>Early (0-5)</v>
      </c>
      <c r="AC325">
        <v>4</v>
      </c>
      <c r="AD325">
        <v>2</v>
      </c>
      <c r="AE325" t="s">
        <v>64</v>
      </c>
      <c r="AF325">
        <v>2</v>
      </c>
      <c r="AG325">
        <v>2</v>
      </c>
      <c r="AH325">
        <v>2</v>
      </c>
    </row>
    <row r="326" spans="1:34" x14ac:dyDescent="0.3">
      <c r="A326" t="s">
        <v>59</v>
      </c>
      <c r="B326">
        <v>0</v>
      </c>
      <c r="C326" t="s">
        <v>32</v>
      </c>
      <c r="D326">
        <v>1275</v>
      </c>
      <c r="E326" t="s">
        <v>40</v>
      </c>
      <c r="F326">
        <v>28</v>
      </c>
      <c r="G326" t="str">
        <f>IF(Table2[[#This Row],[DistanceFromHome]]&lt;=5, "short", IF(Table2[[#This Row],[DistanceFromHome]]&lt;=15, "medium", "long"))</f>
        <v>long</v>
      </c>
      <c r="H326">
        <v>2</v>
      </c>
      <c r="I326" t="s">
        <v>46</v>
      </c>
      <c r="J326">
        <v>441</v>
      </c>
      <c r="K326">
        <v>4</v>
      </c>
      <c r="L326" t="s">
        <v>35</v>
      </c>
      <c r="M326">
        <v>64</v>
      </c>
      <c r="N326">
        <v>3</v>
      </c>
      <c r="O326">
        <v>2</v>
      </c>
      <c r="P326" t="s">
        <v>42</v>
      </c>
      <c r="Q326">
        <v>4</v>
      </c>
      <c r="R326" t="s">
        <v>43</v>
      </c>
      <c r="S326">
        <v>5775</v>
      </c>
      <c r="T326">
        <v>11934</v>
      </c>
      <c r="U326">
        <v>1</v>
      </c>
      <c r="V326" t="s">
        <v>38</v>
      </c>
      <c r="W326">
        <v>13</v>
      </c>
      <c r="X326">
        <v>3</v>
      </c>
      <c r="Y326">
        <v>4</v>
      </c>
      <c r="Z326">
        <v>2</v>
      </c>
      <c r="AA326">
        <v>11</v>
      </c>
      <c r="AB326" t="str">
        <f>IF(Table2[[#This Row],[TotalWorkingYears]]&lt;=5,"Early (0-5)",IF(Table2[[#This Row],[TotalWorkingYears]]&lt;=15,"Mid (6-15)","Senior (16+)"))</f>
        <v>Mid (6-15)</v>
      </c>
      <c r="AC326">
        <v>2</v>
      </c>
      <c r="AD326">
        <v>3</v>
      </c>
      <c r="AE326" t="s">
        <v>62</v>
      </c>
      <c r="AF326">
        <v>8</v>
      </c>
      <c r="AG326">
        <v>1</v>
      </c>
      <c r="AH326">
        <v>9</v>
      </c>
    </row>
    <row r="327" spans="1:34" x14ac:dyDescent="0.3">
      <c r="A327" t="s">
        <v>59</v>
      </c>
      <c r="B327">
        <v>0</v>
      </c>
      <c r="C327" t="s">
        <v>39</v>
      </c>
      <c r="D327">
        <v>798</v>
      </c>
      <c r="E327" t="s">
        <v>40</v>
      </c>
      <c r="F327">
        <v>7</v>
      </c>
      <c r="G327" t="str">
        <f>IF(Table2[[#This Row],[DistanceFromHome]]&lt;=5, "short", IF(Table2[[#This Row],[DistanceFromHome]]&lt;=15, "medium", "long"))</f>
        <v>medium</v>
      </c>
      <c r="H327">
        <v>2</v>
      </c>
      <c r="I327" t="s">
        <v>34</v>
      </c>
      <c r="J327">
        <v>442</v>
      </c>
      <c r="K327">
        <v>3</v>
      </c>
      <c r="L327" t="s">
        <v>35</v>
      </c>
      <c r="M327">
        <v>48</v>
      </c>
      <c r="N327">
        <v>2</v>
      </c>
      <c r="O327">
        <v>3</v>
      </c>
      <c r="P327" t="s">
        <v>48</v>
      </c>
      <c r="Q327">
        <v>3</v>
      </c>
      <c r="R327" t="s">
        <v>43</v>
      </c>
      <c r="S327">
        <v>8943</v>
      </c>
      <c r="T327">
        <v>14034</v>
      </c>
      <c r="U327">
        <v>1</v>
      </c>
      <c r="V327" t="s">
        <v>38</v>
      </c>
      <c r="W327">
        <v>24</v>
      </c>
      <c r="X327">
        <v>4</v>
      </c>
      <c r="Y327">
        <v>1</v>
      </c>
      <c r="Z327">
        <v>1</v>
      </c>
      <c r="AA327">
        <v>10</v>
      </c>
      <c r="AB327" t="str">
        <f>IF(Table2[[#This Row],[TotalWorkingYears]]&lt;=5,"Early (0-5)",IF(Table2[[#This Row],[TotalWorkingYears]]&lt;=15,"Mid (6-15)","Senior (16+)"))</f>
        <v>Mid (6-15)</v>
      </c>
      <c r="AC327">
        <v>2</v>
      </c>
      <c r="AD327">
        <v>3</v>
      </c>
      <c r="AE327" t="s">
        <v>62</v>
      </c>
      <c r="AF327">
        <v>9</v>
      </c>
      <c r="AG327">
        <v>8</v>
      </c>
      <c r="AH327">
        <v>9</v>
      </c>
    </row>
    <row r="328" spans="1:34" x14ac:dyDescent="0.3">
      <c r="A328" t="s">
        <v>57</v>
      </c>
      <c r="B328">
        <v>0</v>
      </c>
      <c r="C328" t="s">
        <v>39</v>
      </c>
      <c r="D328">
        <v>672</v>
      </c>
      <c r="E328" t="s">
        <v>40</v>
      </c>
      <c r="F328">
        <v>7</v>
      </c>
      <c r="G328" t="str">
        <f>IF(Table2[[#This Row],[DistanceFromHome]]&lt;=5, "short", IF(Table2[[#This Row],[DistanceFromHome]]&lt;=15, "medium", "long"))</f>
        <v>medium</v>
      </c>
      <c r="H328">
        <v>2</v>
      </c>
      <c r="I328" t="s">
        <v>46</v>
      </c>
      <c r="J328">
        <v>444</v>
      </c>
      <c r="K328">
        <v>3</v>
      </c>
      <c r="L328" t="s">
        <v>41</v>
      </c>
      <c r="M328">
        <v>54</v>
      </c>
      <c r="N328">
        <v>2</v>
      </c>
      <c r="O328">
        <v>5</v>
      </c>
      <c r="P328" t="s">
        <v>51</v>
      </c>
      <c r="Q328">
        <v>4</v>
      </c>
      <c r="R328" t="s">
        <v>43</v>
      </c>
      <c r="S328">
        <v>19272</v>
      </c>
      <c r="T328">
        <v>21141</v>
      </c>
      <c r="U328">
        <v>1</v>
      </c>
      <c r="V328" t="s">
        <v>38</v>
      </c>
      <c r="W328">
        <v>15</v>
      </c>
      <c r="X328">
        <v>3</v>
      </c>
      <c r="Y328">
        <v>1</v>
      </c>
      <c r="Z328">
        <v>1</v>
      </c>
      <c r="AA328">
        <v>21</v>
      </c>
      <c r="AB328" t="str">
        <f>IF(Table2[[#This Row],[TotalWorkingYears]]&lt;=5,"Early (0-5)",IF(Table2[[#This Row],[TotalWorkingYears]]&lt;=15,"Mid (6-15)","Senior (16+)"))</f>
        <v>Senior (16+)</v>
      </c>
      <c r="AC328">
        <v>2</v>
      </c>
      <c r="AD328">
        <v>3</v>
      </c>
      <c r="AE328" t="s">
        <v>65</v>
      </c>
      <c r="AF328">
        <v>9</v>
      </c>
      <c r="AG328">
        <v>13</v>
      </c>
      <c r="AH328">
        <v>3</v>
      </c>
    </row>
    <row r="329" spans="1:34" x14ac:dyDescent="0.3">
      <c r="A329" t="s">
        <v>57</v>
      </c>
      <c r="B329">
        <v>1</v>
      </c>
      <c r="C329" t="s">
        <v>32</v>
      </c>
      <c r="D329">
        <v>1162</v>
      </c>
      <c r="E329" t="s">
        <v>33</v>
      </c>
      <c r="F329">
        <v>3</v>
      </c>
      <c r="G329" t="str">
        <f>IF(Table2[[#This Row],[DistanceFromHome]]&lt;=5, "short", IF(Table2[[#This Row],[DistanceFromHome]]&lt;=15, "medium", "long"))</f>
        <v>short</v>
      </c>
      <c r="H329">
        <v>2</v>
      </c>
      <c r="I329" t="s">
        <v>46</v>
      </c>
      <c r="J329">
        <v>445</v>
      </c>
      <c r="K329">
        <v>4</v>
      </c>
      <c r="L329" t="s">
        <v>35</v>
      </c>
      <c r="M329">
        <v>41</v>
      </c>
      <c r="N329">
        <v>3</v>
      </c>
      <c r="O329">
        <v>2</v>
      </c>
      <c r="P329" t="s">
        <v>36</v>
      </c>
      <c r="Q329">
        <v>3</v>
      </c>
      <c r="R329" t="s">
        <v>43</v>
      </c>
      <c r="S329">
        <v>5238</v>
      </c>
      <c r="T329">
        <v>17778</v>
      </c>
      <c r="U329">
        <v>4</v>
      </c>
      <c r="V329" t="s">
        <v>31</v>
      </c>
      <c r="W329">
        <v>18</v>
      </c>
      <c r="X329">
        <v>3</v>
      </c>
      <c r="Y329">
        <v>1</v>
      </c>
      <c r="Z329">
        <v>0</v>
      </c>
      <c r="AA329">
        <v>12</v>
      </c>
      <c r="AB329" t="str">
        <f>IF(Table2[[#This Row],[TotalWorkingYears]]&lt;=5,"Early (0-5)",IF(Table2[[#This Row],[TotalWorkingYears]]&lt;=15,"Mid (6-15)","Senior (16+)"))</f>
        <v>Mid (6-15)</v>
      </c>
      <c r="AC329">
        <v>3</v>
      </c>
      <c r="AD329">
        <v>2</v>
      </c>
      <c r="AE329" t="s">
        <v>63</v>
      </c>
      <c r="AF329">
        <v>0</v>
      </c>
      <c r="AG329">
        <v>0</v>
      </c>
      <c r="AH329">
        <v>0</v>
      </c>
    </row>
    <row r="330" spans="1:34" x14ac:dyDescent="0.3">
      <c r="A330" t="s">
        <v>59</v>
      </c>
      <c r="B330">
        <v>0</v>
      </c>
      <c r="C330" t="s">
        <v>39</v>
      </c>
      <c r="D330">
        <v>508</v>
      </c>
      <c r="E330" t="s">
        <v>33</v>
      </c>
      <c r="F330">
        <v>10</v>
      </c>
      <c r="G330" t="str">
        <f>IF(Table2[[#This Row],[DistanceFromHome]]&lt;=5, "short", IF(Table2[[#This Row],[DistanceFromHome]]&lt;=15, "medium", "long"))</f>
        <v>medium</v>
      </c>
      <c r="H330">
        <v>3</v>
      </c>
      <c r="I330" t="s">
        <v>54</v>
      </c>
      <c r="J330">
        <v>446</v>
      </c>
      <c r="K330">
        <v>2</v>
      </c>
      <c r="L330" t="s">
        <v>41</v>
      </c>
      <c r="M330">
        <v>46</v>
      </c>
      <c r="N330">
        <v>2</v>
      </c>
      <c r="O330">
        <v>2</v>
      </c>
      <c r="P330" t="s">
        <v>36</v>
      </c>
      <c r="Q330">
        <v>4</v>
      </c>
      <c r="R330" t="s">
        <v>37</v>
      </c>
      <c r="S330">
        <v>4682</v>
      </c>
      <c r="T330">
        <v>4317</v>
      </c>
      <c r="U330">
        <v>3</v>
      </c>
      <c r="V330" t="s">
        <v>38</v>
      </c>
      <c r="W330">
        <v>14</v>
      </c>
      <c r="X330">
        <v>3</v>
      </c>
      <c r="Y330">
        <v>3</v>
      </c>
      <c r="Z330">
        <v>0</v>
      </c>
      <c r="AA330">
        <v>9</v>
      </c>
      <c r="AB330" t="str">
        <f>IF(Table2[[#This Row],[TotalWorkingYears]]&lt;=5,"Early (0-5)",IF(Table2[[#This Row],[TotalWorkingYears]]&lt;=15,"Mid (6-15)","Senior (16+)"))</f>
        <v>Mid (6-15)</v>
      </c>
      <c r="AC330">
        <v>6</v>
      </c>
      <c r="AD330">
        <v>2</v>
      </c>
      <c r="AE330" t="s">
        <v>62</v>
      </c>
      <c r="AF330">
        <v>7</v>
      </c>
      <c r="AG330">
        <v>0</v>
      </c>
      <c r="AH330">
        <v>1</v>
      </c>
    </row>
    <row r="331" spans="1:34" x14ac:dyDescent="0.3">
      <c r="A331" t="s">
        <v>58</v>
      </c>
      <c r="B331">
        <v>0</v>
      </c>
      <c r="C331" t="s">
        <v>32</v>
      </c>
      <c r="D331">
        <v>1482</v>
      </c>
      <c r="E331" t="s">
        <v>40</v>
      </c>
      <c r="F331">
        <v>5</v>
      </c>
      <c r="G331" t="str">
        <f>IF(Table2[[#This Row],[DistanceFromHome]]&lt;=5, "short", IF(Table2[[#This Row],[DistanceFromHome]]&lt;=15, "medium", "long"))</f>
        <v>short</v>
      </c>
      <c r="H331">
        <v>5</v>
      </c>
      <c r="I331" t="s">
        <v>34</v>
      </c>
      <c r="J331">
        <v>447</v>
      </c>
      <c r="K331">
        <v>4</v>
      </c>
      <c r="L331" t="s">
        <v>41</v>
      </c>
      <c r="M331">
        <v>42</v>
      </c>
      <c r="N331">
        <v>3</v>
      </c>
      <c r="O331">
        <v>5</v>
      </c>
      <c r="P331" t="s">
        <v>53</v>
      </c>
      <c r="Q331">
        <v>3</v>
      </c>
      <c r="R331" t="s">
        <v>43</v>
      </c>
      <c r="S331">
        <v>18300</v>
      </c>
      <c r="T331">
        <v>16375</v>
      </c>
      <c r="U331">
        <v>4</v>
      </c>
      <c r="V331" t="s">
        <v>38</v>
      </c>
      <c r="W331">
        <v>11</v>
      </c>
      <c r="X331">
        <v>3</v>
      </c>
      <c r="Y331">
        <v>2</v>
      </c>
      <c r="Z331">
        <v>1</v>
      </c>
      <c r="AA331">
        <v>21</v>
      </c>
      <c r="AB331" t="str">
        <f>IF(Table2[[#This Row],[TotalWorkingYears]]&lt;=5,"Early (0-5)",IF(Table2[[#This Row],[TotalWorkingYears]]&lt;=15,"Mid (6-15)","Senior (16+)"))</f>
        <v>Senior (16+)</v>
      </c>
      <c r="AC331">
        <v>2</v>
      </c>
      <c r="AD331">
        <v>3</v>
      </c>
      <c r="AE331" t="s">
        <v>64</v>
      </c>
      <c r="AF331">
        <v>2</v>
      </c>
      <c r="AG331">
        <v>1</v>
      </c>
      <c r="AH331">
        <v>1</v>
      </c>
    </row>
    <row r="332" spans="1:34" x14ac:dyDescent="0.3">
      <c r="A332" t="s">
        <v>57</v>
      </c>
      <c r="B332">
        <v>0</v>
      </c>
      <c r="C332" t="s">
        <v>39</v>
      </c>
      <c r="D332">
        <v>559</v>
      </c>
      <c r="E332" t="s">
        <v>40</v>
      </c>
      <c r="F332">
        <v>10</v>
      </c>
      <c r="G332" t="str">
        <f>IF(Table2[[#This Row],[DistanceFromHome]]&lt;=5, "short", IF(Table2[[#This Row],[DistanceFromHome]]&lt;=15, "medium", "long"))</f>
        <v>medium</v>
      </c>
      <c r="H332">
        <v>4</v>
      </c>
      <c r="I332" t="s">
        <v>34</v>
      </c>
      <c r="J332">
        <v>448</v>
      </c>
      <c r="K332">
        <v>3</v>
      </c>
      <c r="L332" t="s">
        <v>35</v>
      </c>
      <c r="M332">
        <v>82</v>
      </c>
      <c r="N332">
        <v>2</v>
      </c>
      <c r="O332">
        <v>2</v>
      </c>
      <c r="P332" t="s">
        <v>45</v>
      </c>
      <c r="Q332">
        <v>3</v>
      </c>
      <c r="R332" t="s">
        <v>47</v>
      </c>
      <c r="S332">
        <v>5257</v>
      </c>
      <c r="T332">
        <v>6227</v>
      </c>
      <c r="U332">
        <v>1</v>
      </c>
      <c r="V332" t="s">
        <v>38</v>
      </c>
      <c r="W332">
        <v>11</v>
      </c>
      <c r="X332">
        <v>3</v>
      </c>
      <c r="Y332">
        <v>2</v>
      </c>
      <c r="Z332">
        <v>1</v>
      </c>
      <c r="AA332">
        <v>9</v>
      </c>
      <c r="AB332" t="str">
        <f>IF(Table2[[#This Row],[TotalWorkingYears]]&lt;=5,"Early (0-5)",IF(Table2[[#This Row],[TotalWorkingYears]]&lt;=15,"Mid (6-15)","Senior (16+)"))</f>
        <v>Mid (6-15)</v>
      </c>
      <c r="AC332">
        <v>3</v>
      </c>
      <c r="AD332">
        <v>4</v>
      </c>
      <c r="AE332" t="s">
        <v>62</v>
      </c>
      <c r="AF332">
        <v>7</v>
      </c>
      <c r="AG332">
        <v>0</v>
      </c>
      <c r="AH332">
        <v>0</v>
      </c>
    </row>
    <row r="333" spans="1:34" x14ac:dyDescent="0.3">
      <c r="A333" t="s">
        <v>59</v>
      </c>
      <c r="B333">
        <v>0</v>
      </c>
      <c r="C333" t="s">
        <v>50</v>
      </c>
      <c r="D333">
        <v>210</v>
      </c>
      <c r="E333" t="s">
        <v>33</v>
      </c>
      <c r="F333">
        <v>1</v>
      </c>
      <c r="G333" t="str">
        <f>IF(Table2[[#This Row],[DistanceFromHome]]&lt;=5, "short", IF(Table2[[#This Row],[DistanceFromHome]]&lt;=15, "medium", "long"))</f>
        <v>short</v>
      </c>
      <c r="H333">
        <v>1</v>
      </c>
      <c r="I333" t="s">
        <v>54</v>
      </c>
      <c r="J333">
        <v>449</v>
      </c>
      <c r="K333">
        <v>3</v>
      </c>
      <c r="L333" t="s">
        <v>41</v>
      </c>
      <c r="M333">
        <v>73</v>
      </c>
      <c r="N333">
        <v>3</v>
      </c>
      <c r="O333">
        <v>2</v>
      </c>
      <c r="P333" t="s">
        <v>36</v>
      </c>
      <c r="Q333">
        <v>2</v>
      </c>
      <c r="R333" t="s">
        <v>43</v>
      </c>
      <c r="S333">
        <v>6349</v>
      </c>
      <c r="T333">
        <v>22107</v>
      </c>
      <c r="U333">
        <v>0</v>
      </c>
      <c r="V333" t="s">
        <v>31</v>
      </c>
      <c r="W333">
        <v>13</v>
      </c>
      <c r="X333">
        <v>3</v>
      </c>
      <c r="Y333">
        <v>4</v>
      </c>
      <c r="Z333">
        <v>1</v>
      </c>
      <c r="AA333">
        <v>6</v>
      </c>
      <c r="AB333" t="str">
        <f>IF(Table2[[#This Row],[TotalWorkingYears]]&lt;=5,"Early (0-5)",IF(Table2[[#This Row],[TotalWorkingYears]]&lt;=15,"Mid (6-15)","Senior (16+)"))</f>
        <v>Mid (6-15)</v>
      </c>
      <c r="AC333">
        <v>0</v>
      </c>
      <c r="AD333">
        <v>3</v>
      </c>
      <c r="AE333" t="s">
        <v>64</v>
      </c>
      <c r="AF333">
        <v>4</v>
      </c>
      <c r="AG333">
        <v>1</v>
      </c>
      <c r="AH333">
        <v>4</v>
      </c>
    </row>
    <row r="334" spans="1:34" x14ac:dyDescent="0.3">
      <c r="A334" t="s">
        <v>58</v>
      </c>
      <c r="B334">
        <v>0</v>
      </c>
      <c r="C334" t="s">
        <v>39</v>
      </c>
      <c r="D334">
        <v>928</v>
      </c>
      <c r="E334" t="s">
        <v>40</v>
      </c>
      <c r="F334">
        <v>20</v>
      </c>
      <c r="G334" t="str">
        <f>IF(Table2[[#This Row],[DistanceFromHome]]&lt;=5, "short", IF(Table2[[#This Row],[DistanceFromHome]]&lt;=15, "medium", "long"))</f>
        <v>long</v>
      </c>
      <c r="H334">
        <v>4</v>
      </c>
      <c r="I334" t="s">
        <v>34</v>
      </c>
      <c r="J334">
        <v>450</v>
      </c>
      <c r="K334">
        <v>4</v>
      </c>
      <c r="L334" t="s">
        <v>35</v>
      </c>
      <c r="M334">
        <v>31</v>
      </c>
      <c r="N334">
        <v>3</v>
      </c>
      <c r="O334">
        <v>2</v>
      </c>
      <c r="P334" t="s">
        <v>42</v>
      </c>
      <c r="Q334">
        <v>3</v>
      </c>
      <c r="R334" t="s">
        <v>37</v>
      </c>
      <c r="S334">
        <v>4869</v>
      </c>
      <c r="T334">
        <v>16885</v>
      </c>
      <c r="U334">
        <v>3</v>
      </c>
      <c r="V334" t="s">
        <v>38</v>
      </c>
      <c r="W334">
        <v>12</v>
      </c>
      <c r="X334">
        <v>3</v>
      </c>
      <c r="Y334">
        <v>4</v>
      </c>
      <c r="Z334">
        <v>0</v>
      </c>
      <c r="AA334">
        <v>20</v>
      </c>
      <c r="AB334" t="str">
        <f>IF(Table2[[#This Row],[TotalWorkingYears]]&lt;=5,"Early (0-5)",IF(Table2[[#This Row],[TotalWorkingYears]]&lt;=15,"Mid (6-15)","Senior (16+)"))</f>
        <v>Senior (16+)</v>
      </c>
      <c r="AC334">
        <v>4</v>
      </c>
      <c r="AD334">
        <v>2</v>
      </c>
      <c r="AE334" t="s">
        <v>64</v>
      </c>
      <c r="AF334">
        <v>3</v>
      </c>
      <c r="AG334">
        <v>0</v>
      </c>
      <c r="AH334">
        <v>3</v>
      </c>
    </row>
    <row r="335" spans="1:34" x14ac:dyDescent="0.3">
      <c r="A335" t="s">
        <v>57</v>
      </c>
      <c r="B335">
        <v>0</v>
      </c>
      <c r="C335" t="s">
        <v>32</v>
      </c>
      <c r="D335">
        <v>1001</v>
      </c>
      <c r="E335" t="s">
        <v>40</v>
      </c>
      <c r="F335">
        <v>7</v>
      </c>
      <c r="G335" t="str">
        <f>IF(Table2[[#This Row],[DistanceFromHome]]&lt;=5, "short", IF(Table2[[#This Row],[DistanceFromHome]]&lt;=15, "medium", "long"))</f>
        <v>medium</v>
      </c>
      <c r="H335">
        <v>3</v>
      </c>
      <c r="I335" t="s">
        <v>34</v>
      </c>
      <c r="J335">
        <v>451</v>
      </c>
      <c r="K335">
        <v>3</v>
      </c>
      <c r="L335" t="s">
        <v>35</v>
      </c>
      <c r="M335">
        <v>43</v>
      </c>
      <c r="N335">
        <v>3</v>
      </c>
      <c r="O335">
        <v>3</v>
      </c>
      <c r="P335" t="s">
        <v>49</v>
      </c>
      <c r="Q335">
        <v>1</v>
      </c>
      <c r="R335" t="s">
        <v>43</v>
      </c>
      <c r="S335">
        <v>9985</v>
      </c>
      <c r="T335">
        <v>9262</v>
      </c>
      <c r="U335">
        <v>8</v>
      </c>
      <c r="V335" t="s">
        <v>38</v>
      </c>
      <c r="W335">
        <v>16</v>
      </c>
      <c r="X335">
        <v>3</v>
      </c>
      <c r="Y335">
        <v>1</v>
      </c>
      <c r="Z335">
        <v>1</v>
      </c>
      <c r="AA335">
        <v>10</v>
      </c>
      <c r="AB335" t="str">
        <f>IF(Table2[[#This Row],[TotalWorkingYears]]&lt;=5,"Early (0-5)",IF(Table2[[#This Row],[TotalWorkingYears]]&lt;=15,"Mid (6-15)","Senior (16+)"))</f>
        <v>Mid (6-15)</v>
      </c>
      <c r="AC335">
        <v>1</v>
      </c>
      <c r="AD335">
        <v>2</v>
      </c>
      <c r="AE335" t="s">
        <v>63</v>
      </c>
      <c r="AF335">
        <v>0</v>
      </c>
      <c r="AG335">
        <v>0</v>
      </c>
      <c r="AH335">
        <v>0</v>
      </c>
    </row>
    <row r="336" spans="1:34" x14ac:dyDescent="0.3">
      <c r="A336" t="s">
        <v>57</v>
      </c>
      <c r="B336">
        <v>0</v>
      </c>
      <c r="C336" t="s">
        <v>32</v>
      </c>
      <c r="D336">
        <v>549</v>
      </c>
      <c r="E336" t="s">
        <v>40</v>
      </c>
      <c r="F336">
        <v>8</v>
      </c>
      <c r="G336" t="str">
        <f>IF(Table2[[#This Row],[DistanceFromHome]]&lt;=5, "short", IF(Table2[[#This Row],[DistanceFromHome]]&lt;=15, "medium", "long"))</f>
        <v>medium</v>
      </c>
      <c r="H336">
        <v>4</v>
      </c>
      <c r="I336" t="s">
        <v>44</v>
      </c>
      <c r="J336">
        <v>452</v>
      </c>
      <c r="K336">
        <v>4</v>
      </c>
      <c r="L336" t="s">
        <v>41</v>
      </c>
      <c r="M336">
        <v>75</v>
      </c>
      <c r="N336">
        <v>3</v>
      </c>
      <c r="O336">
        <v>2</v>
      </c>
      <c r="P336" t="s">
        <v>42</v>
      </c>
      <c r="Q336">
        <v>4</v>
      </c>
      <c r="R336" t="s">
        <v>43</v>
      </c>
      <c r="S336">
        <v>3697</v>
      </c>
      <c r="T336">
        <v>9278</v>
      </c>
      <c r="U336">
        <v>9</v>
      </c>
      <c r="V336" t="s">
        <v>38</v>
      </c>
      <c r="W336">
        <v>14</v>
      </c>
      <c r="X336">
        <v>3</v>
      </c>
      <c r="Y336">
        <v>1</v>
      </c>
      <c r="Z336">
        <v>2</v>
      </c>
      <c r="AA336">
        <v>12</v>
      </c>
      <c r="AB336" t="str">
        <f>IF(Table2[[#This Row],[TotalWorkingYears]]&lt;=5,"Early (0-5)",IF(Table2[[#This Row],[TotalWorkingYears]]&lt;=15,"Mid (6-15)","Senior (16+)"))</f>
        <v>Mid (6-15)</v>
      </c>
      <c r="AC336">
        <v>3</v>
      </c>
      <c r="AD336">
        <v>3</v>
      </c>
      <c r="AE336" t="s">
        <v>62</v>
      </c>
      <c r="AF336">
        <v>9</v>
      </c>
      <c r="AG336">
        <v>9</v>
      </c>
      <c r="AH336">
        <v>8</v>
      </c>
    </row>
    <row r="337" spans="1:34" x14ac:dyDescent="0.3">
      <c r="A337" t="s">
        <v>57</v>
      </c>
      <c r="B337">
        <v>0</v>
      </c>
      <c r="C337" t="s">
        <v>32</v>
      </c>
      <c r="D337">
        <v>1124</v>
      </c>
      <c r="E337" t="s">
        <v>33</v>
      </c>
      <c r="F337">
        <v>1</v>
      </c>
      <c r="G337" t="str">
        <f>IF(Table2[[#This Row],[DistanceFromHome]]&lt;=5, "short", IF(Table2[[#This Row],[DistanceFromHome]]&lt;=15, "medium", "long"))</f>
        <v>short</v>
      </c>
      <c r="H337">
        <v>2</v>
      </c>
      <c r="I337" t="s">
        <v>46</v>
      </c>
      <c r="J337">
        <v>453</v>
      </c>
      <c r="K337">
        <v>2</v>
      </c>
      <c r="L337" t="s">
        <v>41</v>
      </c>
      <c r="M337">
        <v>57</v>
      </c>
      <c r="N337">
        <v>1</v>
      </c>
      <c r="O337">
        <v>2</v>
      </c>
      <c r="P337" t="s">
        <v>36</v>
      </c>
      <c r="Q337">
        <v>4</v>
      </c>
      <c r="R337" t="s">
        <v>43</v>
      </c>
      <c r="S337">
        <v>7457</v>
      </c>
      <c r="T337">
        <v>13273</v>
      </c>
      <c r="U337">
        <v>2</v>
      </c>
      <c r="V337" t="s">
        <v>31</v>
      </c>
      <c r="W337">
        <v>22</v>
      </c>
      <c r="X337">
        <v>4</v>
      </c>
      <c r="Y337">
        <v>3</v>
      </c>
      <c r="Z337">
        <v>3</v>
      </c>
      <c r="AA337">
        <v>6</v>
      </c>
      <c r="AB337" t="str">
        <f>IF(Table2[[#This Row],[TotalWorkingYears]]&lt;=5,"Early (0-5)",IF(Table2[[#This Row],[TotalWorkingYears]]&lt;=15,"Mid (6-15)","Senior (16+)"))</f>
        <v>Mid (6-15)</v>
      </c>
      <c r="AC337">
        <v>2</v>
      </c>
      <c r="AD337">
        <v>2</v>
      </c>
      <c r="AE337" t="s">
        <v>64</v>
      </c>
      <c r="AF337">
        <v>3</v>
      </c>
      <c r="AG337">
        <v>0</v>
      </c>
      <c r="AH337">
        <v>2</v>
      </c>
    </row>
    <row r="338" spans="1:34" x14ac:dyDescent="0.3">
      <c r="A338" t="s">
        <v>59</v>
      </c>
      <c r="B338">
        <v>1</v>
      </c>
      <c r="C338" t="s">
        <v>32</v>
      </c>
      <c r="D338">
        <v>318</v>
      </c>
      <c r="E338" t="s">
        <v>40</v>
      </c>
      <c r="F338">
        <v>8</v>
      </c>
      <c r="G338" t="str">
        <f>IF(Table2[[#This Row],[DistanceFromHome]]&lt;=5, "short", IF(Table2[[#This Row],[DistanceFromHome]]&lt;=15, "medium", "long"))</f>
        <v>medium</v>
      </c>
      <c r="H338">
        <v>4</v>
      </c>
      <c r="I338" t="s">
        <v>44</v>
      </c>
      <c r="J338">
        <v>454</v>
      </c>
      <c r="K338">
        <v>2</v>
      </c>
      <c r="L338" t="s">
        <v>41</v>
      </c>
      <c r="M338">
        <v>77</v>
      </c>
      <c r="N338">
        <v>1</v>
      </c>
      <c r="O338">
        <v>1</v>
      </c>
      <c r="P338" t="s">
        <v>45</v>
      </c>
      <c r="Q338">
        <v>1</v>
      </c>
      <c r="R338" t="s">
        <v>43</v>
      </c>
      <c r="S338">
        <v>2119</v>
      </c>
      <c r="T338">
        <v>4759</v>
      </c>
      <c r="U338">
        <v>1</v>
      </c>
      <c r="V338" t="s">
        <v>31</v>
      </c>
      <c r="W338">
        <v>11</v>
      </c>
      <c r="X338">
        <v>3</v>
      </c>
      <c r="Y338">
        <v>4</v>
      </c>
      <c r="Z338">
        <v>0</v>
      </c>
      <c r="AA338">
        <v>7</v>
      </c>
      <c r="AB338" t="str">
        <f>IF(Table2[[#This Row],[TotalWorkingYears]]&lt;=5,"Early (0-5)",IF(Table2[[#This Row],[TotalWorkingYears]]&lt;=15,"Mid (6-15)","Senior (16+)"))</f>
        <v>Mid (6-15)</v>
      </c>
      <c r="AC338">
        <v>4</v>
      </c>
      <c r="AD338">
        <v>2</v>
      </c>
      <c r="AE338" t="s">
        <v>62</v>
      </c>
      <c r="AF338">
        <v>7</v>
      </c>
      <c r="AG338">
        <v>0</v>
      </c>
      <c r="AH338">
        <v>7</v>
      </c>
    </row>
    <row r="339" spans="1:34" x14ac:dyDescent="0.3">
      <c r="A339" t="s">
        <v>59</v>
      </c>
      <c r="B339">
        <v>0</v>
      </c>
      <c r="C339" t="s">
        <v>32</v>
      </c>
      <c r="D339">
        <v>738</v>
      </c>
      <c r="E339" t="s">
        <v>40</v>
      </c>
      <c r="F339">
        <v>9</v>
      </c>
      <c r="G339" t="str">
        <f>IF(Table2[[#This Row],[DistanceFromHome]]&lt;=5, "short", IF(Table2[[#This Row],[DistanceFromHome]]&lt;=15, "medium", "long"))</f>
        <v>medium</v>
      </c>
      <c r="H339">
        <v>5</v>
      </c>
      <c r="I339" t="s">
        <v>44</v>
      </c>
      <c r="J339">
        <v>455</v>
      </c>
      <c r="K339">
        <v>2</v>
      </c>
      <c r="L339" t="s">
        <v>41</v>
      </c>
      <c r="M339">
        <v>30</v>
      </c>
      <c r="N339">
        <v>2</v>
      </c>
      <c r="O339">
        <v>1</v>
      </c>
      <c r="P339" t="s">
        <v>45</v>
      </c>
      <c r="Q339">
        <v>4</v>
      </c>
      <c r="R339" t="s">
        <v>37</v>
      </c>
      <c r="S339">
        <v>3983</v>
      </c>
      <c r="T339">
        <v>7621</v>
      </c>
      <c r="U339">
        <v>0</v>
      </c>
      <c r="V339" t="s">
        <v>38</v>
      </c>
      <c r="W339">
        <v>17</v>
      </c>
      <c r="X339">
        <v>3</v>
      </c>
      <c r="Y339">
        <v>3</v>
      </c>
      <c r="Z339">
        <v>0</v>
      </c>
      <c r="AA339">
        <v>4</v>
      </c>
      <c r="AB339" t="str">
        <f>IF(Table2[[#This Row],[TotalWorkingYears]]&lt;=5,"Early (0-5)",IF(Table2[[#This Row],[TotalWorkingYears]]&lt;=15,"Mid (6-15)","Senior (16+)"))</f>
        <v>Early (0-5)</v>
      </c>
      <c r="AC339">
        <v>2</v>
      </c>
      <c r="AD339">
        <v>3</v>
      </c>
      <c r="AE339" t="s">
        <v>64</v>
      </c>
      <c r="AF339">
        <v>2</v>
      </c>
      <c r="AG339">
        <v>2</v>
      </c>
      <c r="AH339">
        <v>2</v>
      </c>
    </row>
    <row r="340" spans="1:34" x14ac:dyDescent="0.3">
      <c r="A340" t="s">
        <v>59</v>
      </c>
      <c r="B340">
        <v>0</v>
      </c>
      <c r="C340" t="s">
        <v>32</v>
      </c>
      <c r="D340">
        <v>570</v>
      </c>
      <c r="E340" t="s">
        <v>33</v>
      </c>
      <c r="F340">
        <v>5</v>
      </c>
      <c r="G340" t="str">
        <f>IF(Table2[[#This Row],[DistanceFromHome]]&lt;=5, "short", IF(Table2[[#This Row],[DistanceFromHome]]&lt;=15, "medium", "long"))</f>
        <v>short</v>
      </c>
      <c r="H340">
        <v>3</v>
      </c>
      <c r="I340" t="s">
        <v>54</v>
      </c>
      <c r="J340">
        <v>456</v>
      </c>
      <c r="K340">
        <v>4</v>
      </c>
      <c r="L340" t="s">
        <v>35</v>
      </c>
      <c r="M340">
        <v>30</v>
      </c>
      <c r="N340">
        <v>2</v>
      </c>
      <c r="O340">
        <v>2</v>
      </c>
      <c r="P340" t="s">
        <v>36</v>
      </c>
      <c r="Q340">
        <v>3</v>
      </c>
      <c r="R340" t="s">
        <v>47</v>
      </c>
      <c r="S340">
        <v>6118</v>
      </c>
      <c r="T340">
        <v>5431</v>
      </c>
      <c r="U340">
        <v>1</v>
      </c>
      <c r="V340" t="s">
        <v>38</v>
      </c>
      <c r="W340">
        <v>13</v>
      </c>
      <c r="X340">
        <v>3</v>
      </c>
      <c r="Y340">
        <v>3</v>
      </c>
      <c r="Z340">
        <v>3</v>
      </c>
      <c r="AA340">
        <v>10</v>
      </c>
      <c r="AB340" t="str">
        <f>IF(Table2[[#This Row],[TotalWorkingYears]]&lt;=5,"Early (0-5)",IF(Table2[[#This Row],[TotalWorkingYears]]&lt;=15,"Mid (6-15)","Senior (16+)"))</f>
        <v>Mid (6-15)</v>
      </c>
      <c r="AC340">
        <v>2</v>
      </c>
      <c r="AD340">
        <v>3</v>
      </c>
      <c r="AE340" t="s">
        <v>62</v>
      </c>
      <c r="AF340">
        <v>9</v>
      </c>
      <c r="AG340">
        <v>1</v>
      </c>
      <c r="AH340">
        <v>2</v>
      </c>
    </row>
    <row r="341" spans="1:34" x14ac:dyDescent="0.3">
      <c r="A341" t="s">
        <v>59</v>
      </c>
      <c r="B341">
        <v>0</v>
      </c>
      <c r="C341" t="s">
        <v>32</v>
      </c>
      <c r="D341">
        <v>1130</v>
      </c>
      <c r="E341" t="s">
        <v>33</v>
      </c>
      <c r="F341">
        <v>8</v>
      </c>
      <c r="G341" t="str">
        <f>IF(Table2[[#This Row],[DistanceFromHome]]&lt;=5, "short", IF(Table2[[#This Row],[DistanceFromHome]]&lt;=15, "medium", "long"))</f>
        <v>medium</v>
      </c>
      <c r="H341">
        <v>4</v>
      </c>
      <c r="I341" t="s">
        <v>54</v>
      </c>
      <c r="J341">
        <v>458</v>
      </c>
      <c r="K341">
        <v>2</v>
      </c>
      <c r="L341" t="s">
        <v>35</v>
      </c>
      <c r="M341">
        <v>56</v>
      </c>
      <c r="N341">
        <v>3</v>
      </c>
      <c r="O341">
        <v>2</v>
      </c>
      <c r="P341" t="s">
        <v>36</v>
      </c>
      <c r="Q341">
        <v>2</v>
      </c>
      <c r="R341" t="s">
        <v>43</v>
      </c>
      <c r="S341">
        <v>6214</v>
      </c>
      <c r="T341">
        <v>3415</v>
      </c>
      <c r="U341">
        <v>1</v>
      </c>
      <c r="V341" t="s">
        <v>38</v>
      </c>
      <c r="W341">
        <v>18</v>
      </c>
      <c r="X341">
        <v>3</v>
      </c>
      <c r="Y341">
        <v>1</v>
      </c>
      <c r="Z341">
        <v>1</v>
      </c>
      <c r="AA341">
        <v>8</v>
      </c>
      <c r="AB341" t="str">
        <f>IF(Table2[[#This Row],[TotalWorkingYears]]&lt;=5,"Early (0-5)",IF(Table2[[#This Row],[TotalWorkingYears]]&lt;=15,"Mid (6-15)","Senior (16+)"))</f>
        <v>Mid (6-15)</v>
      </c>
      <c r="AC341">
        <v>3</v>
      </c>
      <c r="AD341">
        <v>3</v>
      </c>
      <c r="AE341" t="s">
        <v>62</v>
      </c>
      <c r="AF341">
        <v>7</v>
      </c>
      <c r="AG341">
        <v>0</v>
      </c>
      <c r="AH341">
        <v>7</v>
      </c>
    </row>
    <row r="342" spans="1:34" x14ac:dyDescent="0.3">
      <c r="A342" t="s">
        <v>57</v>
      </c>
      <c r="B342">
        <v>0</v>
      </c>
      <c r="C342" t="s">
        <v>32</v>
      </c>
      <c r="D342">
        <v>1192</v>
      </c>
      <c r="E342" t="s">
        <v>40</v>
      </c>
      <c r="F342">
        <v>5</v>
      </c>
      <c r="G342" t="str">
        <f>IF(Table2[[#This Row],[DistanceFromHome]]&lt;=5, "short", IF(Table2[[#This Row],[DistanceFromHome]]&lt;=15, "medium", "long"))</f>
        <v>short</v>
      </c>
      <c r="H342">
        <v>2</v>
      </c>
      <c r="I342" t="s">
        <v>46</v>
      </c>
      <c r="J342">
        <v>460</v>
      </c>
      <c r="K342">
        <v>4</v>
      </c>
      <c r="L342" t="s">
        <v>41</v>
      </c>
      <c r="M342">
        <v>61</v>
      </c>
      <c r="N342">
        <v>3</v>
      </c>
      <c r="O342">
        <v>2</v>
      </c>
      <c r="P342" t="s">
        <v>48</v>
      </c>
      <c r="Q342">
        <v>4</v>
      </c>
      <c r="R342" t="s">
        <v>47</v>
      </c>
      <c r="S342">
        <v>6347</v>
      </c>
      <c r="T342">
        <v>23177</v>
      </c>
      <c r="U342">
        <v>7</v>
      </c>
      <c r="V342" t="s">
        <v>38</v>
      </c>
      <c r="W342">
        <v>16</v>
      </c>
      <c r="X342">
        <v>3</v>
      </c>
      <c r="Y342">
        <v>3</v>
      </c>
      <c r="Z342">
        <v>2</v>
      </c>
      <c r="AA342">
        <v>8</v>
      </c>
      <c r="AB342" t="str">
        <f>IF(Table2[[#This Row],[TotalWorkingYears]]&lt;=5,"Early (0-5)",IF(Table2[[#This Row],[TotalWorkingYears]]&lt;=15,"Mid (6-15)","Senior (16+)"))</f>
        <v>Mid (6-15)</v>
      </c>
      <c r="AC342">
        <v>2</v>
      </c>
      <c r="AD342">
        <v>2</v>
      </c>
      <c r="AE342" t="s">
        <v>62</v>
      </c>
      <c r="AF342">
        <v>2</v>
      </c>
      <c r="AG342">
        <v>0</v>
      </c>
      <c r="AH342">
        <v>4</v>
      </c>
    </row>
    <row r="343" spans="1:34" x14ac:dyDescent="0.3">
      <c r="A343" t="s">
        <v>57</v>
      </c>
      <c r="B343">
        <v>0</v>
      </c>
      <c r="C343" t="s">
        <v>32</v>
      </c>
      <c r="D343">
        <v>343</v>
      </c>
      <c r="E343" t="s">
        <v>40</v>
      </c>
      <c r="F343">
        <v>15</v>
      </c>
      <c r="G343" t="str">
        <f>IF(Table2[[#This Row],[DistanceFromHome]]&lt;=5, "short", IF(Table2[[#This Row],[DistanceFromHome]]&lt;=15, "medium", "long"))</f>
        <v>medium</v>
      </c>
      <c r="H343">
        <v>2</v>
      </c>
      <c r="I343" t="s">
        <v>34</v>
      </c>
      <c r="J343">
        <v>461</v>
      </c>
      <c r="K343">
        <v>3</v>
      </c>
      <c r="L343" t="s">
        <v>41</v>
      </c>
      <c r="M343">
        <v>92</v>
      </c>
      <c r="N343">
        <v>2</v>
      </c>
      <c r="O343">
        <v>3</v>
      </c>
      <c r="P343" t="s">
        <v>53</v>
      </c>
      <c r="Q343">
        <v>4</v>
      </c>
      <c r="R343" t="s">
        <v>47</v>
      </c>
      <c r="S343">
        <v>11510</v>
      </c>
      <c r="T343">
        <v>15682</v>
      </c>
      <c r="U343">
        <v>0</v>
      </c>
      <c r="V343" t="s">
        <v>31</v>
      </c>
      <c r="W343">
        <v>14</v>
      </c>
      <c r="X343">
        <v>3</v>
      </c>
      <c r="Y343">
        <v>2</v>
      </c>
      <c r="Z343">
        <v>1</v>
      </c>
      <c r="AA343">
        <v>12</v>
      </c>
      <c r="AB343" t="str">
        <f>IF(Table2[[#This Row],[TotalWorkingYears]]&lt;=5,"Early (0-5)",IF(Table2[[#This Row],[TotalWorkingYears]]&lt;=15,"Mid (6-15)","Senior (16+)"))</f>
        <v>Mid (6-15)</v>
      </c>
      <c r="AC343">
        <v>3</v>
      </c>
      <c r="AD343">
        <v>3</v>
      </c>
      <c r="AE343" t="s">
        <v>65</v>
      </c>
      <c r="AF343">
        <v>10</v>
      </c>
      <c r="AG343">
        <v>2</v>
      </c>
      <c r="AH343">
        <v>9</v>
      </c>
    </row>
    <row r="344" spans="1:34" x14ac:dyDescent="0.3">
      <c r="A344" t="s">
        <v>59</v>
      </c>
      <c r="B344">
        <v>0</v>
      </c>
      <c r="C344" t="s">
        <v>32</v>
      </c>
      <c r="D344">
        <v>1232</v>
      </c>
      <c r="E344" t="s">
        <v>40</v>
      </c>
      <c r="F344">
        <v>7</v>
      </c>
      <c r="G344" t="str">
        <f>IF(Table2[[#This Row],[DistanceFromHome]]&lt;=5, "short", IF(Table2[[#This Row],[DistanceFromHome]]&lt;=15, "medium", "long"))</f>
        <v>medium</v>
      </c>
      <c r="H344">
        <v>4</v>
      </c>
      <c r="I344" t="s">
        <v>46</v>
      </c>
      <c r="J344">
        <v>462</v>
      </c>
      <c r="K344">
        <v>3</v>
      </c>
      <c r="L344" t="s">
        <v>35</v>
      </c>
      <c r="M344">
        <v>39</v>
      </c>
      <c r="N344">
        <v>3</v>
      </c>
      <c r="O344">
        <v>3</v>
      </c>
      <c r="P344" t="s">
        <v>48</v>
      </c>
      <c r="Q344">
        <v>4</v>
      </c>
      <c r="R344" t="s">
        <v>37</v>
      </c>
      <c r="S344">
        <v>7143</v>
      </c>
      <c r="T344">
        <v>25713</v>
      </c>
      <c r="U344">
        <v>1</v>
      </c>
      <c r="V344" t="s">
        <v>31</v>
      </c>
      <c r="W344">
        <v>14</v>
      </c>
      <c r="X344">
        <v>3</v>
      </c>
      <c r="Y344">
        <v>3</v>
      </c>
      <c r="Z344">
        <v>0</v>
      </c>
      <c r="AA344">
        <v>11</v>
      </c>
      <c r="AB344" t="str">
        <f>IF(Table2[[#This Row],[TotalWorkingYears]]&lt;=5,"Early (0-5)",IF(Table2[[#This Row],[TotalWorkingYears]]&lt;=15,"Mid (6-15)","Senior (16+)"))</f>
        <v>Mid (6-15)</v>
      </c>
      <c r="AC344">
        <v>2</v>
      </c>
      <c r="AD344">
        <v>2</v>
      </c>
      <c r="AE344" t="s">
        <v>65</v>
      </c>
      <c r="AF344">
        <v>9</v>
      </c>
      <c r="AG344">
        <v>4</v>
      </c>
      <c r="AH344">
        <v>10</v>
      </c>
    </row>
    <row r="345" spans="1:34" x14ac:dyDescent="0.3">
      <c r="A345" t="s">
        <v>59</v>
      </c>
      <c r="B345">
        <v>0</v>
      </c>
      <c r="C345" t="s">
        <v>32</v>
      </c>
      <c r="D345">
        <v>144</v>
      </c>
      <c r="E345" t="s">
        <v>33</v>
      </c>
      <c r="F345">
        <v>10</v>
      </c>
      <c r="G345" t="str">
        <f>IF(Table2[[#This Row],[DistanceFromHome]]&lt;=5, "short", IF(Table2[[#This Row],[DistanceFromHome]]&lt;=15, "medium", "long"))</f>
        <v>medium</v>
      </c>
      <c r="H345">
        <v>1</v>
      </c>
      <c r="I345" t="s">
        <v>54</v>
      </c>
      <c r="J345">
        <v>463</v>
      </c>
      <c r="K345">
        <v>4</v>
      </c>
      <c r="L345" t="s">
        <v>35</v>
      </c>
      <c r="M345">
        <v>39</v>
      </c>
      <c r="N345">
        <v>2</v>
      </c>
      <c r="O345">
        <v>2</v>
      </c>
      <c r="P345" t="s">
        <v>36</v>
      </c>
      <c r="Q345">
        <v>2</v>
      </c>
      <c r="R345" t="s">
        <v>47</v>
      </c>
      <c r="S345">
        <v>8268</v>
      </c>
      <c r="T345">
        <v>11866</v>
      </c>
      <c r="U345">
        <v>1</v>
      </c>
      <c r="V345" t="s">
        <v>31</v>
      </c>
      <c r="W345">
        <v>14</v>
      </c>
      <c r="X345">
        <v>3</v>
      </c>
      <c r="Y345">
        <v>1</v>
      </c>
      <c r="Z345">
        <v>2</v>
      </c>
      <c r="AA345">
        <v>7</v>
      </c>
      <c r="AB345" t="str">
        <f>IF(Table2[[#This Row],[TotalWorkingYears]]&lt;=5,"Early (0-5)",IF(Table2[[#This Row],[TotalWorkingYears]]&lt;=15,"Mid (6-15)","Senior (16+)"))</f>
        <v>Mid (6-15)</v>
      </c>
      <c r="AC345">
        <v>2</v>
      </c>
      <c r="AD345">
        <v>3</v>
      </c>
      <c r="AE345" t="s">
        <v>62</v>
      </c>
      <c r="AF345">
        <v>7</v>
      </c>
      <c r="AG345">
        <v>1</v>
      </c>
      <c r="AH345">
        <v>7</v>
      </c>
    </row>
    <row r="346" spans="1:34" x14ac:dyDescent="0.3">
      <c r="A346" t="s">
        <v>59</v>
      </c>
      <c r="B346">
        <v>0</v>
      </c>
      <c r="C346" t="s">
        <v>32</v>
      </c>
      <c r="D346">
        <v>1296</v>
      </c>
      <c r="E346" t="s">
        <v>40</v>
      </c>
      <c r="F346">
        <v>5</v>
      </c>
      <c r="G346" t="str">
        <f>IF(Table2[[#This Row],[DistanceFromHome]]&lt;=5, "short", IF(Table2[[#This Row],[DistanceFromHome]]&lt;=15, "medium", "long"))</f>
        <v>short</v>
      </c>
      <c r="H346">
        <v>4</v>
      </c>
      <c r="I346" t="s">
        <v>55</v>
      </c>
      <c r="J346">
        <v>464</v>
      </c>
      <c r="K346">
        <v>3</v>
      </c>
      <c r="L346" t="s">
        <v>41</v>
      </c>
      <c r="M346">
        <v>62</v>
      </c>
      <c r="N346">
        <v>3</v>
      </c>
      <c r="O346">
        <v>3</v>
      </c>
      <c r="P346" t="s">
        <v>48</v>
      </c>
      <c r="Q346">
        <v>2</v>
      </c>
      <c r="R346" t="s">
        <v>37</v>
      </c>
      <c r="S346">
        <v>8095</v>
      </c>
      <c r="T346">
        <v>18264</v>
      </c>
      <c r="U346">
        <v>0</v>
      </c>
      <c r="V346" t="s">
        <v>38</v>
      </c>
      <c r="W346">
        <v>13</v>
      </c>
      <c r="X346">
        <v>3</v>
      </c>
      <c r="Y346">
        <v>4</v>
      </c>
      <c r="Z346">
        <v>0</v>
      </c>
      <c r="AA346">
        <v>17</v>
      </c>
      <c r="AB346" t="str">
        <f>IF(Table2[[#This Row],[TotalWorkingYears]]&lt;=5,"Early (0-5)",IF(Table2[[#This Row],[TotalWorkingYears]]&lt;=15,"Mid (6-15)","Senior (16+)"))</f>
        <v>Senior (16+)</v>
      </c>
      <c r="AC346">
        <v>5</v>
      </c>
      <c r="AD346">
        <v>3</v>
      </c>
      <c r="AE346" t="s">
        <v>65</v>
      </c>
      <c r="AF346">
        <v>6</v>
      </c>
      <c r="AG346">
        <v>0</v>
      </c>
      <c r="AH346">
        <v>13</v>
      </c>
    </row>
    <row r="347" spans="1:34" x14ac:dyDescent="0.3">
      <c r="A347" t="s">
        <v>60</v>
      </c>
      <c r="B347">
        <v>0</v>
      </c>
      <c r="C347" t="s">
        <v>32</v>
      </c>
      <c r="D347">
        <v>1309</v>
      </c>
      <c r="E347" t="s">
        <v>40</v>
      </c>
      <c r="F347">
        <v>26</v>
      </c>
      <c r="G347" t="str">
        <f>IF(Table2[[#This Row],[DistanceFromHome]]&lt;=5, "short", IF(Table2[[#This Row],[DistanceFromHome]]&lt;=15, "medium", "long"))</f>
        <v>long</v>
      </c>
      <c r="H347">
        <v>1</v>
      </c>
      <c r="I347" t="s">
        <v>34</v>
      </c>
      <c r="J347">
        <v>465</v>
      </c>
      <c r="K347">
        <v>3</v>
      </c>
      <c r="L347" t="s">
        <v>41</v>
      </c>
      <c r="M347">
        <v>83</v>
      </c>
      <c r="N347">
        <v>3</v>
      </c>
      <c r="O347">
        <v>1</v>
      </c>
      <c r="P347" t="s">
        <v>42</v>
      </c>
      <c r="Q347">
        <v>4</v>
      </c>
      <c r="R347" t="s">
        <v>47</v>
      </c>
      <c r="S347">
        <v>2904</v>
      </c>
      <c r="T347">
        <v>16092</v>
      </c>
      <c r="U347">
        <v>1</v>
      </c>
      <c r="V347" t="s">
        <v>38</v>
      </c>
      <c r="W347">
        <v>12</v>
      </c>
      <c r="X347">
        <v>3</v>
      </c>
      <c r="Y347">
        <v>3</v>
      </c>
      <c r="Z347">
        <v>2</v>
      </c>
      <c r="AA347">
        <v>4</v>
      </c>
      <c r="AB347" t="str">
        <f>IF(Table2[[#This Row],[TotalWorkingYears]]&lt;=5,"Early (0-5)",IF(Table2[[#This Row],[TotalWorkingYears]]&lt;=15,"Mid (6-15)","Senior (16+)"))</f>
        <v>Early (0-5)</v>
      </c>
      <c r="AC347">
        <v>2</v>
      </c>
      <c r="AD347">
        <v>2</v>
      </c>
      <c r="AE347" t="s">
        <v>64</v>
      </c>
      <c r="AF347">
        <v>2</v>
      </c>
      <c r="AG347">
        <v>0</v>
      </c>
      <c r="AH347">
        <v>2</v>
      </c>
    </row>
    <row r="348" spans="1:34" x14ac:dyDescent="0.3">
      <c r="A348" t="s">
        <v>57</v>
      </c>
      <c r="B348">
        <v>0</v>
      </c>
      <c r="C348" t="s">
        <v>32</v>
      </c>
      <c r="D348">
        <v>483</v>
      </c>
      <c r="E348" t="s">
        <v>40</v>
      </c>
      <c r="F348">
        <v>6</v>
      </c>
      <c r="G348" t="str">
        <f>IF(Table2[[#This Row],[DistanceFromHome]]&lt;=5, "short", IF(Table2[[#This Row],[DistanceFromHome]]&lt;=15, "medium", "long"))</f>
        <v>medium</v>
      </c>
      <c r="H348">
        <v>3</v>
      </c>
      <c r="I348" t="s">
        <v>46</v>
      </c>
      <c r="J348">
        <v>466</v>
      </c>
      <c r="K348">
        <v>4</v>
      </c>
      <c r="L348" t="s">
        <v>41</v>
      </c>
      <c r="M348">
        <v>95</v>
      </c>
      <c r="N348">
        <v>2</v>
      </c>
      <c r="O348">
        <v>2</v>
      </c>
      <c r="P348" t="s">
        <v>48</v>
      </c>
      <c r="Q348">
        <v>2</v>
      </c>
      <c r="R348" t="s">
        <v>37</v>
      </c>
      <c r="S348">
        <v>6032</v>
      </c>
      <c r="T348">
        <v>10110</v>
      </c>
      <c r="U348">
        <v>6</v>
      </c>
      <c r="V348" t="s">
        <v>31</v>
      </c>
      <c r="W348">
        <v>15</v>
      </c>
      <c r="X348">
        <v>3</v>
      </c>
      <c r="Y348">
        <v>4</v>
      </c>
      <c r="Z348">
        <v>0</v>
      </c>
      <c r="AA348">
        <v>8</v>
      </c>
      <c r="AB348" t="str">
        <f>IF(Table2[[#This Row],[TotalWorkingYears]]&lt;=5,"Early (0-5)",IF(Table2[[#This Row],[TotalWorkingYears]]&lt;=15,"Mid (6-15)","Senior (16+)"))</f>
        <v>Mid (6-15)</v>
      </c>
      <c r="AC348">
        <v>3</v>
      </c>
      <c r="AD348">
        <v>3</v>
      </c>
      <c r="AE348" t="s">
        <v>64</v>
      </c>
      <c r="AF348">
        <v>4</v>
      </c>
      <c r="AG348">
        <v>1</v>
      </c>
      <c r="AH348">
        <v>2</v>
      </c>
    </row>
    <row r="349" spans="1:34" x14ac:dyDescent="0.3">
      <c r="A349" t="s">
        <v>58</v>
      </c>
      <c r="B349">
        <v>0</v>
      </c>
      <c r="C349" t="s">
        <v>39</v>
      </c>
      <c r="D349">
        <v>1309</v>
      </c>
      <c r="E349" t="s">
        <v>33</v>
      </c>
      <c r="F349">
        <v>4</v>
      </c>
      <c r="G349" t="str">
        <f>IF(Table2[[#This Row],[DistanceFromHome]]&lt;=5, "short", IF(Table2[[#This Row],[DistanceFromHome]]&lt;=15, "medium", "long"))</f>
        <v>short</v>
      </c>
      <c r="H349">
        <v>1</v>
      </c>
      <c r="I349" t="s">
        <v>46</v>
      </c>
      <c r="J349">
        <v>467</v>
      </c>
      <c r="K349">
        <v>2</v>
      </c>
      <c r="L349" t="s">
        <v>41</v>
      </c>
      <c r="M349">
        <v>99</v>
      </c>
      <c r="N349">
        <v>3</v>
      </c>
      <c r="O349">
        <v>2</v>
      </c>
      <c r="P349" t="s">
        <v>52</v>
      </c>
      <c r="Q349">
        <v>3</v>
      </c>
      <c r="R349" t="s">
        <v>37</v>
      </c>
      <c r="S349">
        <v>2976</v>
      </c>
      <c r="T349">
        <v>25751</v>
      </c>
      <c r="U349">
        <v>3</v>
      </c>
      <c r="V349" t="s">
        <v>38</v>
      </c>
      <c r="W349">
        <v>19</v>
      </c>
      <c r="X349">
        <v>3</v>
      </c>
      <c r="Y349">
        <v>1</v>
      </c>
      <c r="Z349">
        <v>0</v>
      </c>
      <c r="AA349">
        <v>5</v>
      </c>
      <c r="AB349" t="str">
        <f>IF(Table2[[#This Row],[TotalWorkingYears]]&lt;=5,"Early (0-5)",IF(Table2[[#This Row],[TotalWorkingYears]]&lt;=15,"Mid (6-15)","Senior (16+)"))</f>
        <v>Early (0-5)</v>
      </c>
      <c r="AC349">
        <v>3</v>
      </c>
      <c r="AD349">
        <v>3</v>
      </c>
      <c r="AE349" t="s">
        <v>63</v>
      </c>
      <c r="AF349">
        <v>0</v>
      </c>
      <c r="AG349">
        <v>0</v>
      </c>
      <c r="AH349">
        <v>0</v>
      </c>
    </row>
    <row r="350" spans="1:34" x14ac:dyDescent="0.3">
      <c r="A350" t="s">
        <v>57</v>
      </c>
      <c r="B350">
        <v>0</v>
      </c>
      <c r="C350" t="s">
        <v>32</v>
      </c>
      <c r="D350">
        <v>810</v>
      </c>
      <c r="E350" t="s">
        <v>40</v>
      </c>
      <c r="F350">
        <v>23</v>
      </c>
      <c r="G350" t="str">
        <f>IF(Table2[[#This Row],[DistanceFromHome]]&lt;=5, "short", IF(Table2[[#This Row],[DistanceFromHome]]&lt;=15, "medium", "long"))</f>
        <v>long</v>
      </c>
      <c r="H350">
        <v>5</v>
      </c>
      <c r="I350" t="s">
        <v>34</v>
      </c>
      <c r="J350">
        <v>468</v>
      </c>
      <c r="K350">
        <v>1</v>
      </c>
      <c r="L350" t="s">
        <v>35</v>
      </c>
      <c r="M350">
        <v>44</v>
      </c>
      <c r="N350">
        <v>3</v>
      </c>
      <c r="O350">
        <v>4</v>
      </c>
      <c r="P350" t="s">
        <v>53</v>
      </c>
      <c r="Q350">
        <v>4</v>
      </c>
      <c r="R350" t="s">
        <v>37</v>
      </c>
      <c r="S350">
        <v>15992</v>
      </c>
      <c r="T350">
        <v>15901</v>
      </c>
      <c r="U350">
        <v>2</v>
      </c>
      <c r="V350" t="s">
        <v>38</v>
      </c>
      <c r="W350">
        <v>14</v>
      </c>
      <c r="X350">
        <v>3</v>
      </c>
      <c r="Y350">
        <v>2</v>
      </c>
      <c r="Z350">
        <v>0</v>
      </c>
      <c r="AA350">
        <v>16</v>
      </c>
      <c r="AB350" t="str">
        <f>IF(Table2[[#This Row],[TotalWorkingYears]]&lt;=5,"Early (0-5)",IF(Table2[[#This Row],[TotalWorkingYears]]&lt;=15,"Mid (6-15)","Senior (16+)"))</f>
        <v>Senior (16+)</v>
      </c>
      <c r="AC350">
        <v>2</v>
      </c>
      <c r="AD350">
        <v>3</v>
      </c>
      <c r="AE350" t="s">
        <v>63</v>
      </c>
      <c r="AF350">
        <v>0</v>
      </c>
      <c r="AG350">
        <v>0</v>
      </c>
      <c r="AH350">
        <v>0</v>
      </c>
    </row>
    <row r="351" spans="1:34" x14ac:dyDescent="0.3">
      <c r="A351" t="s">
        <v>59</v>
      </c>
      <c r="B351">
        <v>0</v>
      </c>
      <c r="C351" t="s">
        <v>50</v>
      </c>
      <c r="D351">
        <v>746</v>
      </c>
      <c r="E351" t="s">
        <v>33</v>
      </c>
      <c r="F351">
        <v>2</v>
      </c>
      <c r="G351" t="str">
        <f>IF(Table2[[#This Row],[DistanceFromHome]]&lt;=5, "short", IF(Table2[[#This Row],[DistanceFromHome]]&lt;=15, "medium", "long"))</f>
        <v>short</v>
      </c>
      <c r="H351">
        <v>3</v>
      </c>
      <c r="I351" t="s">
        <v>34</v>
      </c>
      <c r="J351">
        <v>469</v>
      </c>
      <c r="K351">
        <v>4</v>
      </c>
      <c r="L351" t="s">
        <v>41</v>
      </c>
      <c r="M351">
        <v>61</v>
      </c>
      <c r="N351">
        <v>3</v>
      </c>
      <c r="O351">
        <v>2</v>
      </c>
      <c r="P351" t="s">
        <v>36</v>
      </c>
      <c r="Q351">
        <v>3</v>
      </c>
      <c r="R351" t="s">
        <v>43</v>
      </c>
      <c r="S351">
        <v>4649</v>
      </c>
      <c r="T351">
        <v>16928</v>
      </c>
      <c r="U351">
        <v>1</v>
      </c>
      <c r="V351" t="s">
        <v>38</v>
      </c>
      <c r="W351">
        <v>14</v>
      </c>
      <c r="X351">
        <v>3</v>
      </c>
      <c r="Y351">
        <v>1</v>
      </c>
      <c r="Z351">
        <v>1</v>
      </c>
      <c r="AA351">
        <v>4</v>
      </c>
      <c r="AB351" t="str">
        <f>IF(Table2[[#This Row],[TotalWorkingYears]]&lt;=5,"Early (0-5)",IF(Table2[[#This Row],[TotalWorkingYears]]&lt;=15,"Mid (6-15)","Senior (16+)"))</f>
        <v>Early (0-5)</v>
      </c>
      <c r="AC351">
        <v>3</v>
      </c>
      <c r="AD351">
        <v>2</v>
      </c>
      <c r="AE351" t="s">
        <v>64</v>
      </c>
      <c r="AF351">
        <v>3</v>
      </c>
      <c r="AG351">
        <v>0</v>
      </c>
      <c r="AH351">
        <v>2</v>
      </c>
    </row>
    <row r="352" spans="1:34" x14ac:dyDescent="0.3">
      <c r="A352" t="s">
        <v>57</v>
      </c>
      <c r="B352">
        <v>0</v>
      </c>
      <c r="C352" t="s">
        <v>32</v>
      </c>
      <c r="D352">
        <v>544</v>
      </c>
      <c r="E352" t="s">
        <v>56</v>
      </c>
      <c r="F352">
        <v>2</v>
      </c>
      <c r="G352" t="str">
        <f>IF(Table2[[#This Row],[DistanceFromHome]]&lt;=5, "short", IF(Table2[[#This Row],[DistanceFromHome]]&lt;=15, "medium", "long"))</f>
        <v>short</v>
      </c>
      <c r="H352">
        <v>1</v>
      </c>
      <c r="I352" t="s">
        <v>55</v>
      </c>
      <c r="J352">
        <v>470</v>
      </c>
      <c r="K352">
        <v>3</v>
      </c>
      <c r="L352" t="s">
        <v>41</v>
      </c>
      <c r="M352">
        <v>52</v>
      </c>
      <c r="N352">
        <v>3</v>
      </c>
      <c r="O352">
        <v>1</v>
      </c>
      <c r="P352" t="s">
        <v>56</v>
      </c>
      <c r="Q352">
        <v>3</v>
      </c>
      <c r="R352" t="s">
        <v>47</v>
      </c>
      <c r="S352">
        <v>2696</v>
      </c>
      <c r="T352">
        <v>24017</v>
      </c>
      <c r="U352">
        <v>0</v>
      </c>
      <c r="V352" t="s">
        <v>31</v>
      </c>
      <c r="W352">
        <v>11</v>
      </c>
      <c r="X352">
        <v>3</v>
      </c>
      <c r="Y352">
        <v>3</v>
      </c>
      <c r="Z352">
        <v>1</v>
      </c>
      <c r="AA352">
        <v>4</v>
      </c>
      <c r="AB352" t="str">
        <f>IF(Table2[[#This Row],[TotalWorkingYears]]&lt;=5,"Early (0-5)",IF(Table2[[#This Row],[TotalWorkingYears]]&lt;=15,"Mid (6-15)","Senior (16+)"))</f>
        <v>Early (0-5)</v>
      </c>
      <c r="AC352">
        <v>5</v>
      </c>
      <c r="AD352">
        <v>3</v>
      </c>
      <c r="AE352" t="s">
        <v>64</v>
      </c>
      <c r="AF352">
        <v>2</v>
      </c>
      <c r="AG352">
        <v>1</v>
      </c>
      <c r="AH352">
        <v>0</v>
      </c>
    </row>
    <row r="353" spans="1:34" x14ac:dyDescent="0.3">
      <c r="A353" t="s">
        <v>59</v>
      </c>
      <c r="B353">
        <v>0</v>
      </c>
      <c r="C353" t="s">
        <v>32</v>
      </c>
      <c r="D353">
        <v>1062</v>
      </c>
      <c r="E353" t="s">
        <v>40</v>
      </c>
      <c r="F353">
        <v>2</v>
      </c>
      <c r="G353" t="str">
        <f>IF(Table2[[#This Row],[DistanceFromHome]]&lt;=5, "short", IF(Table2[[#This Row],[DistanceFromHome]]&lt;=15, "medium", "long"))</f>
        <v>short</v>
      </c>
      <c r="H353">
        <v>3</v>
      </c>
      <c r="I353" t="s">
        <v>46</v>
      </c>
      <c r="J353">
        <v>471</v>
      </c>
      <c r="K353">
        <v>3</v>
      </c>
      <c r="L353" t="s">
        <v>35</v>
      </c>
      <c r="M353">
        <v>75</v>
      </c>
      <c r="N353">
        <v>3</v>
      </c>
      <c r="O353">
        <v>1</v>
      </c>
      <c r="P353" t="s">
        <v>45</v>
      </c>
      <c r="Q353">
        <v>2</v>
      </c>
      <c r="R353" t="s">
        <v>43</v>
      </c>
      <c r="S353">
        <v>2370</v>
      </c>
      <c r="T353">
        <v>3956</v>
      </c>
      <c r="U353">
        <v>1</v>
      </c>
      <c r="V353" t="s">
        <v>38</v>
      </c>
      <c r="W353">
        <v>13</v>
      </c>
      <c r="X353">
        <v>3</v>
      </c>
      <c r="Y353">
        <v>3</v>
      </c>
      <c r="Z353">
        <v>1</v>
      </c>
      <c r="AA353">
        <v>8</v>
      </c>
      <c r="AB353" t="str">
        <f>IF(Table2[[#This Row],[TotalWorkingYears]]&lt;=5,"Early (0-5)",IF(Table2[[#This Row],[TotalWorkingYears]]&lt;=15,"Mid (6-15)","Senior (16+)"))</f>
        <v>Mid (6-15)</v>
      </c>
      <c r="AC353">
        <v>4</v>
      </c>
      <c r="AD353">
        <v>3</v>
      </c>
      <c r="AE353" t="s">
        <v>62</v>
      </c>
      <c r="AF353">
        <v>0</v>
      </c>
      <c r="AG353">
        <v>0</v>
      </c>
      <c r="AH353">
        <v>7</v>
      </c>
    </row>
    <row r="354" spans="1:34" x14ac:dyDescent="0.3">
      <c r="A354" t="s">
        <v>58</v>
      </c>
      <c r="B354">
        <v>0</v>
      </c>
      <c r="C354" t="s">
        <v>32</v>
      </c>
      <c r="D354">
        <v>530</v>
      </c>
      <c r="E354" t="s">
        <v>33</v>
      </c>
      <c r="F354">
        <v>29</v>
      </c>
      <c r="G354" t="str">
        <f>IF(Table2[[#This Row],[DistanceFromHome]]&lt;=5, "short", IF(Table2[[#This Row],[DistanceFromHome]]&lt;=15, "medium", "long"))</f>
        <v>long</v>
      </c>
      <c r="H354">
        <v>1</v>
      </c>
      <c r="I354" t="s">
        <v>46</v>
      </c>
      <c r="J354">
        <v>473</v>
      </c>
      <c r="K354">
        <v>1</v>
      </c>
      <c r="L354" t="s">
        <v>35</v>
      </c>
      <c r="M354">
        <v>91</v>
      </c>
      <c r="N354">
        <v>3</v>
      </c>
      <c r="O354">
        <v>3</v>
      </c>
      <c r="P354" t="s">
        <v>51</v>
      </c>
      <c r="Q354">
        <v>3</v>
      </c>
      <c r="R354" t="s">
        <v>43</v>
      </c>
      <c r="S354">
        <v>12504</v>
      </c>
      <c r="T354">
        <v>23978</v>
      </c>
      <c r="U354">
        <v>3</v>
      </c>
      <c r="V354" t="s">
        <v>38</v>
      </c>
      <c r="W354">
        <v>21</v>
      </c>
      <c r="X354">
        <v>4</v>
      </c>
      <c r="Y354">
        <v>2</v>
      </c>
      <c r="Z354">
        <v>1</v>
      </c>
      <c r="AA354">
        <v>15</v>
      </c>
      <c r="AB354" t="str">
        <f>IF(Table2[[#This Row],[TotalWorkingYears]]&lt;=5,"Early (0-5)",IF(Table2[[#This Row],[TotalWorkingYears]]&lt;=15,"Mid (6-15)","Senior (16+)"))</f>
        <v>Mid (6-15)</v>
      </c>
      <c r="AC354">
        <v>3</v>
      </c>
      <c r="AD354">
        <v>1</v>
      </c>
      <c r="AE354" t="s">
        <v>63</v>
      </c>
      <c r="AF354">
        <v>0</v>
      </c>
      <c r="AG354">
        <v>0</v>
      </c>
      <c r="AH354">
        <v>0</v>
      </c>
    </row>
    <row r="355" spans="1:34" x14ac:dyDescent="0.3">
      <c r="A355" t="s">
        <v>57</v>
      </c>
      <c r="B355">
        <v>0</v>
      </c>
      <c r="C355" t="s">
        <v>32</v>
      </c>
      <c r="D355">
        <v>1319</v>
      </c>
      <c r="E355" t="s">
        <v>40</v>
      </c>
      <c r="F355">
        <v>6</v>
      </c>
      <c r="G355" t="str">
        <f>IF(Table2[[#This Row],[DistanceFromHome]]&lt;=5, "short", IF(Table2[[#This Row],[DistanceFromHome]]&lt;=15, "medium", "long"))</f>
        <v>medium</v>
      </c>
      <c r="H355">
        <v>3</v>
      </c>
      <c r="I355" t="s">
        <v>46</v>
      </c>
      <c r="J355">
        <v>474</v>
      </c>
      <c r="K355">
        <v>3</v>
      </c>
      <c r="L355" t="s">
        <v>41</v>
      </c>
      <c r="M355">
        <v>51</v>
      </c>
      <c r="N355">
        <v>4</v>
      </c>
      <c r="O355">
        <v>2</v>
      </c>
      <c r="P355" t="s">
        <v>42</v>
      </c>
      <c r="Q355">
        <v>1</v>
      </c>
      <c r="R355" t="s">
        <v>47</v>
      </c>
      <c r="S355">
        <v>5974</v>
      </c>
      <c r="T355">
        <v>17001</v>
      </c>
      <c r="U355">
        <v>4</v>
      </c>
      <c r="V355" t="s">
        <v>31</v>
      </c>
      <c r="W355">
        <v>13</v>
      </c>
      <c r="X355">
        <v>3</v>
      </c>
      <c r="Y355">
        <v>1</v>
      </c>
      <c r="Z355">
        <v>2</v>
      </c>
      <c r="AA355">
        <v>13</v>
      </c>
      <c r="AB355" t="str">
        <f>IF(Table2[[#This Row],[TotalWorkingYears]]&lt;=5,"Early (0-5)",IF(Table2[[#This Row],[TotalWorkingYears]]&lt;=15,"Mid (6-15)","Senior (16+)"))</f>
        <v>Mid (6-15)</v>
      </c>
      <c r="AC355">
        <v>2</v>
      </c>
      <c r="AD355">
        <v>3</v>
      </c>
      <c r="AE355" t="s">
        <v>62</v>
      </c>
      <c r="AF355">
        <v>7</v>
      </c>
      <c r="AG355">
        <v>6</v>
      </c>
      <c r="AH355">
        <v>7</v>
      </c>
    </row>
    <row r="356" spans="1:34" x14ac:dyDescent="0.3">
      <c r="A356" t="s">
        <v>59</v>
      </c>
      <c r="B356">
        <v>0</v>
      </c>
      <c r="C356" t="s">
        <v>50</v>
      </c>
      <c r="D356">
        <v>641</v>
      </c>
      <c r="E356" t="s">
        <v>33</v>
      </c>
      <c r="F356">
        <v>25</v>
      </c>
      <c r="G356" t="str">
        <f>IF(Table2[[#This Row],[DistanceFromHome]]&lt;=5, "short", IF(Table2[[#This Row],[DistanceFromHome]]&lt;=15, "medium", "long"))</f>
        <v>long</v>
      </c>
      <c r="H356">
        <v>2</v>
      </c>
      <c r="I356" t="s">
        <v>55</v>
      </c>
      <c r="J356">
        <v>475</v>
      </c>
      <c r="K356">
        <v>4</v>
      </c>
      <c r="L356" t="s">
        <v>35</v>
      </c>
      <c r="M356">
        <v>85</v>
      </c>
      <c r="N356">
        <v>3</v>
      </c>
      <c r="O356">
        <v>2</v>
      </c>
      <c r="P356" t="s">
        <v>36</v>
      </c>
      <c r="Q356">
        <v>3</v>
      </c>
      <c r="R356" t="s">
        <v>43</v>
      </c>
      <c r="S356">
        <v>4736</v>
      </c>
      <c r="T356">
        <v>6069</v>
      </c>
      <c r="U356">
        <v>7</v>
      </c>
      <c r="V356" t="s">
        <v>31</v>
      </c>
      <c r="W356">
        <v>12</v>
      </c>
      <c r="X356">
        <v>3</v>
      </c>
      <c r="Y356">
        <v>2</v>
      </c>
      <c r="Z356">
        <v>1</v>
      </c>
      <c r="AA356">
        <v>4</v>
      </c>
      <c r="AB356" t="str">
        <f>IF(Table2[[#This Row],[TotalWorkingYears]]&lt;=5,"Early (0-5)",IF(Table2[[#This Row],[TotalWorkingYears]]&lt;=15,"Mid (6-15)","Senior (16+)"))</f>
        <v>Early (0-5)</v>
      </c>
      <c r="AC356">
        <v>2</v>
      </c>
      <c r="AD356">
        <v>4</v>
      </c>
      <c r="AE356" t="s">
        <v>63</v>
      </c>
      <c r="AF356">
        <v>2</v>
      </c>
      <c r="AG356">
        <v>2</v>
      </c>
      <c r="AH356">
        <v>2</v>
      </c>
    </row>
    <row r="357" spans="1:34" x14ac:dyDescent="0.3">
      <c r="A357" t="s">
        <v>59</v>
      </c>
      <c r="B357">
        <v>0</v>
      </c>
      <c r="C357" t="s">
        <v>32</v>
      </c>
      <c r="D357">
        <v>933</v>
      </c>
      <c r="E357" t="s">
        <v>33</v>
      </c>
      <c r="F357">
        <v>1</v>
      </c>
      <c r="G357" t="str">
        <f>IF(Table2[[#This Row],[DistanceFromHome]]&lt;=5, "short", IF(Table2[[#This Row],[DistanceFromHome]]&lt;=15, "medium", "long"))</f>
        <v>short</v>
      </c>
      <c r="H357">
        <v>3</v>
      </c>
      <c r="I357" t="s">
        <v>34</v>
      </c>
      <c r="J357">
        <v>476</v>
      </c>
      <c r="K357">
        <v>3</v>
      </c>
      <c r="L357" t="s">
        <v>41</v>
      </c>
      <c r="M357">
        <v>57</v>
      </c>
      <c r="N357">
        <v>3</v>
      </c>
      <c r="O357">
        <v>2</v>
      </c>
      <c r="P357" t="s">
        <v>36</v>
      </c>
      <c r="Q357">
        <v>3</v>
      </c>
      <c r="R357" t="s">
        <v>43</v>
      </c>
      <c r="S357">
        <v>5296</v>
      </c>
      <c r="T357">
        <v>20156</v>
      </c>
      <c r="U357">
        <v>1</v>
      </c>
      <c r="V357" t="s">
        <v>38</v>
      </c>
      <c r="W357">
        <v>17</v>
      </c>
      <c r="X357">
        <v>3</v>
      </c>
      <c r="Y357">
        <v>2</v>
      </c>
      <c r="Z357">
        <v>1</v>
      </c>
      <c r="AA357">
        <v>8</v>
      </c>
      <c r="AB357" t="str">
        <f>IF(Table2[[#This Row],[TotalWorkingYears]]&lt;=5,"Early (0-5)",IF(Table2[[#This Row],[TotalWorkingYears]]&lt;=15,"Mid (6-15)","Senior (16+)"))</f>
        <v>Mid (6-15)</v>
      </c>
      <c r="AC357">
        <v>3</v>
      </c>
      <c r="AD357">
        <v>3</v>
      </c>
      <c r="AE357" t="s">
        <v>62</v>
      </c>
      <c r="AF357">
        <v>7</v>
      </c>
      <c r="AG357">
        <v>7</v>
      </c>
      <c r="AH357">
        <v>7</v>
      </c>
    </row>
    <row r="358" spans="1:34" x14ac:dyDescent="0.3">
      <c r="A358" t="s">
        <v>57</v>
      </c>
      <c r="B358">
        <v>0</v>
      </c>
      <c r="C358" t="s">
        <v>32</v>
      </c>
      <c r="D358">
        <v>1332</v>
      </c>
      <c r="E358" t="s">
        <v>40</v>
      </c>
      <c r="F358">
        <v>2</v>
      </c>
      <c r="G358" t="str">
        <f>IF(Table2[[#This Row],[DistanceFromHome]]&lt;=5, "short", IF(Table2[[#This Row],[DistanceFromHome]]&lt;=15, "medium", "long"))</f>
        <v>short</v>
      </c>
      <c r="H358">
        <v>4</v>
      </c>
      <c r="I358" t="s">
        <v>44</v>
      </c>
      <c r="J358">
        <v>477</v>
      </c>
      <c r="K358">
        <v>1</v>
      </c>
      <c r="L358" t="s">
        <v>41</v>
      </c>
      <c r="M358">
        <v>98</v>
      </c>
      <c r="N358">
        <v>2</v>
      </c>
      <c r="O358">
        <v>2</v>
      </c>
      <c r="P358" t="s">
        <v>49</v>
      </c>
      <c r="Q358">
        <v>4</v>
      </c>
      <c r="R358" t="s">
        <v>37</v>
      </c>
      <c r="S358">
        <v>6781</v>
      </c>
      <c r="T358">
        <v>17078</v>
      </c>
      <c r="U358">
        <v>3</v>
      </c>
      <c r="V358" t="s">
        <v>38</v>
      </c>
      <c r="W358">
        <v>23</v>
      </c>
      <c r="X358">
        <v>4</v>
      </c>
      <c r="Y358">
        <v>2</v>
      </c>
      <c r="Z358">
        <v>0</v>
      </c>
      <c r="AA358">
        <v>14</v>
      </c>
      <c r="AB358" t="str">
        <f>IF(Table2[[#This Row],[TotalWorkingYears]]&lt;=5,"Early (0-5)",IF(Table2[[#This Row],[TotalWorkingYears]]&lt;=15,"Mid (6-15)","Senior (16+)"))</f>
        <v>Mid (6-15)</v>
      </c>
      <c r="AC358">
        <v>6</v>
      </c>
      <c r="AD358">
        <v>3</v>
      </c>
      <c r="AE358" t="s">
        <v>63</v>
      </c>
      <c r="AF358">
        <v>0</v>
      </c>
      <c r="AG358">
        <v>0</v>
      </c>
      <c r="AH358">
        <v>0</v>
      </c>
    </row>
    <row r="359" spans="1:34" x14ac:dyDescent="0.3">
      <c r="A359" t="s">
        <v>60</v>
      </c>
      <c r="B359">
        <v>1</v>
      </c>
      <c r="C359" t="s">
        <v>39</v>
      </c>
      <c r="D359">
        <v>756</v>
      </c>
      <c r="E359" t="s">
        <v>33</v>
      </c>
      <c r="F359">
        <v>1</v>
      </c>
      <c r="G359" t="str">
        <f>IF(Table2[[#This Row],[DistanceFromHome]]&lt;=5, "short", IF(Table2[[#This Row],[DistanceFromHome]]&lt;=15, "medium", "long"))</f>
        <v>short</v>
      </c>
      <c r="H359">
        <v>1</v>
      </c>
      <c r="I359" t="s">
        <v>55</v>
      </c>
      <c r="J359">
        <v>478</v>
      </c>
      <c r="K359">
        <v>1</v>
      </c>
      <c r="L359" t="s">
        <v>35</v>
      </c>
      <c r="M359">
        <v>99</v>
      </c>
      <c r="N359">
        <v>2</v>
      </c>
      <c r="O359">
        <v>1</v>
      </c>
      <c r="P359" t="s">
        <v>52</v>
      </c>
      <c r="Q359">
        <v>2</v>
      </c>
      <c r="R359" t="s">
        <v>37</v>
      </c>
      <c r="S359">
        <v>2174</v>
      </c>
      <c r="T359">
        <v>9150</v>
      </c>
      <c r="U359">
        <v>1</v>
      </c>
      <c r="V359" t="s">
        <v>31</v>
      </c>
      <c r="W359">
        <v>11</v>
      </c>
      <c r="X359">
        <v>3</v>
      </c>
      <c r="Y359">
        <v>3</v>
      </c>
      <c r="Z359">
        <v>0</v>
      </c>
      <c r="AA359">
        <v>3</v>
      </c>
      <c r="AB359" t="str">
        <f>IF(Table2[[#This Row],[TotalWorkingYears]]&lt;=5,"Early (0-5)",IF(Table2[[#This Row],[TotalWorkingYears]]&lt;=15,"Mid (6-15)","Senior (16+)"))</f>
        <v>Early (0-5)</v>
      </c>
      <c r="AC359">
        <v>3</v>
      </c>
      <c r="AD359">
        <v>3</v>
      </c>
      <c r="AE359" t="s">
        <v>64</v>
      </c>
      <c r="AF359">
        <v>2</v>
      </c>
      <c r="AG359">
        <v>1</v>
      </c>
      <c r="AH359">
        <v>2</v>
      </c>
    </row>
    <row r="360" spans="1:34" x14ac:dyDescent="0.3">
      <c r="A360" t="s">
        <v>57</v>
      </c>
      <c r="B360">
        <v>0</v>
      </c>
      <c r="C360" t="s">
        <v>50</v>
      </c>
      <c r="D360">
        <v>845</v>
      </c>
      <c r="E360" t="s">
        <v>33</v>
      </c>
      <c r="F360">
        <v>1</v>
      </c>
      <c r="G360" t="str">
        <f>IF(Table2[[#This Row],[DistanceFromHome]]&lt;=5, "short", IF(Table2[[#This Row],[DistanceFromHome]]&lt;=15, "medium", "long"))</f>
        <v>short</v>
      </c>
      <c r="H360">
        <v>5</v>
      </c>
      <c r="I360" t="s">
        <v>46</v>
      </c>
      <c r="J360">
        <v>479</v>
      </c>
      <c r="K360">
        <v>4</v>
      </c>
      <c r="L360" t="s">
        <v>35</v>
      </c>
      <c r="M360">
        <v>45</v>
      </c>
      <c r="N360">
        <v>3</v>
      </c>
      <c r="O360">
        <v>2</v>
      </c>
      <c r="P360" t="s">
        <v>36</v>
      </c>
      <c r="Q360">
        <v>4</v>
      </c>
      <c r="R360" t="s">
        <v>37</v>
      </c>
      <c r="S360">
        <v>6653</v>
      </c>
      <c r="T360">
        <v>15276</v>
      </c>
      <c r="U360">
        <v>4</v>
      </c>
      <c r="V360" t="s">
        <v>38</v>
      </c>
      <c r="W360">
        <v>15</v>
      </c>
      <c r="X360">
        <v>3</v>
      </c>
      <c r="Y360">
        <v>2</v>
      </c>
      <c r="Z360">
        <v>0</v>
      </c>
      <c r="AA360">
        <v>7</v>
      </c>
      <c r="AB360" t="str">
        <f>IF(Table2[[#This Row],[TotalWorkingYears]]&lt;=5,"Early (0-5)",IF(Table2[[#This Row],[TotalWorkingYears]]&lt;=15,"Mid (6-15)","Senior (16+)"))</f>
        <v>Mid (6-15)</v>
      </c>
      <c r="AC360">
        <v>6</v>
      </c>
      <c r="AD360">
        <v>3</v>
      </c>
      <c r="AE360" t="s">
        <v>63</v>
      </c>
      <c r="AF360">
        <v>0</v>
      </c>
      <c r="AG360">
        <v>0</v>
      </c>
      <c r="AH360">
        <v>0</v>
      </c>
    </row>
    <row r="361" spans="1:34" x14ac:dyDescent="0.3">
      <c r="A361" t="s">
        <v>57</v>
      </c>
      <c r="B361">
        <v>0</v>
      </c>
      <c r="C361" t="s">
        <v>39</v>
      </c>
      <c r="D361">
        <v>541</v>
      </c>
      <c r="E361" t="s">
        <v>33</v>
      </c>
      <c r="F361">
        <v>3</v>
      </c>
      <c r="G361" t="str">
        <f>IF(Table2[[#This Row],[DistanceFromHome]]&lt;=5, "short", IF(Table2[[#This Row],[DistanceFromHome]]&lt;=15, "medium", "long"))</f>
        <v>short</v>
      </c>
      <c r="H361">
        <v>4</v>
      </c>
      <c r="I361" t="s">
        <v>46</v>
      </c>
      <c r="J361">
        <v>481</v>
      </c>
      <c r="K361">
        <v>1</v>
      </c>
      <c r="L361" t="s">
        <v>41</v>
      </c>
      <c r="M361">
        <v>48</v>
      </c>
      <c r="N361">
        <v>2</v>
      </c>
      <c r="O361">
        <v>3</v>
      </c>
      <c r="P361" t="s">
        <v>36</v>
      </c>
      <c r="Q361">
        <v>4</v>
      </c>
      <c r="R361" t="s">
        <v>43</v>
      </c>
      <c r="S361">
        <v>9699</v>
      </c>
      <c r="T361">
        <v>7246</v>
      </c>
      <c r="U361">
        <v>4</v>
      </c>
      <c r="V361" t="s">
        <v>38</v>
      </c>
      <c r="W361">
        <v>11</v>
      </c>
      <c r="X361">
        <v>3</v>
      </c>
      <c r="Y361">
        <v>1</v>
      </c>
      <c r="Z361">
        <v>1</v>
      </c>
      <c r="AA361">
        <v>16</v>
      </c>
      <c r="AB361" t="str">
        <f>IF(Table2[[#This Row],[TotalWorkingYears]]&lt;=5,"Early (0-5)",IF(Table2[[#This Row],[TotalWorkingYears]]&lt;=15,"Mid (6-15)","Senior (16+)"))</f>
        <v>Senior (16+)</v>
      </c>
      <c r="AC361">
        <v>2</v>
      </c>
      <c r="AD361">
        <v>3</v>
      </c>
      <c r="AE361" t="s">
        <v>65</v>
      </c>
      <c r="AF361">
        <v>9</v>
      </c>
      <c r="AG361">
        <v>1</v>
      </c>
      <c r="AH361">
        <v>12</v>
      </c>
    </row>
    <row r="362" spans="1:34" x14ac:dyDescent="0.3">
      <c r="A362" t="s">
        <v>58</v>
      </c>
      <c r="B362">
        <v>0</v>
      </c>
      <c r="C362" t="s">
        <v>32</v>
      </c>
      <c r="D362">
        <v>593</v>
      </c>
      <c r="E362" t="s">
        <v>40</v>
      </c>
      <c r="F362">
        <v>1</v>
      </c>
      <c r="G362" t="str">
        <f>IF(Table2[[#This Row],[DistanceFromHome]]&lt;=5, "short", IF(Table2[[#This Row],[DistanceFromHome]]&lt;=15, "medium", "long"))</f>
        <v>short</v>
      </c>
      <c r="H362">
        <v>4</v>
      </c>
      <c r="I362" t="s">
        <v>46</v>
      </c>
      <c r="J362">
        <v>482</v>
      </c>
      <c r="K362">
        <v>4</v>
      </c>
      <c r="L362" t="s">
        <v>41</v>
      </c>
      <c r="M362">
        <v>88</v>
      </c>
      <c r="N362">
        <v>3</v>
      </c>
      <c r="O362">
        <v>2</v>
      </c>
      <c r="P362" t="s">
        <v>49</v>
      </c>
      <c r="Q362">
        <v>3</v>
      </c>
      <c r="R362" t="s">
        <v>43</v>
      </c>
      <c r="S362">
        <v>6755</v>
      </c>
      <c r="T362">
        <v>2967</v>
      </c>
      <c r="U362">
        <v>2</v>
      </c>
      <c r="V362" t="s">
        <v>38</v>
      </c>
      <c r="W362">
        <v>11</v>
      </c>
      <c r="X362">
        <v>3</v>
      </c>
      <c r="Y362">
        <v>3</v>
      </c>
      <c r="Z362">
        <v>0</v>
      </c>
      <c r="AA362">
        <v>15</v>
      </c>
      <c r="AB362" t="str">
        <f>IF(Table2[[#This Row],[TotalWorkingYears]]&lt;=5,"Early (0-5)",IF(Table2[[#This Row],[TotalWorkingYears]]&lt;=15,"Mid (6-15)","Senior (16+)"))</f>
        <v>Mid (6-15)</v>
      </c>
      <c r="AC362">
        <v>2</v>
      </c>
      <c r="AD362">
        <v>3</v>
      </c>
      <c r="AE362" t="s">
        <v>64</v>
      </c>
      <c r="AF362">
        <v>2</v>
      </c>
      <c r="AG362">
        <v>1</v>
      </c>
      <c r="AH362">
        <v>2</v>
      </c>
    </row>
    <row r="363" spans="1:34" x14ac:dyDescent="0.3">
      <c r="A363" t="s">
        <v>57</v>
      </c>
      <c r="B363">
        <v>0</v>
      </c>
      <c r="C363" t="s">
        <v>32</v>
      </c>
      <c r="D363">
        <v>1171</v>
      </c>
      <c r="E363" t="s">
        <v>40</v>
      </c>
      <c r="F363">
        <v>10</v>
      </c>
      <c r="G363" t="str">
        <f>IF(Table2[[#This Row],[DistanceFromHome]]&lt;=5, "short", IF(Table2[[#This Row],[DistanceFromHome]]&lt;=15, "medium", "long"))</f>
        <v>medium</v>
      </c>
      <c r="H363">
        <v>4</v>
      </c>
      <c r="I363" t="s">
        <v>34</v>
      </c>
      <c r="J363">
        <v>483</v>
      </c>
      <c r="K363">
        <v>4</v>
      </c>
      <c r="L363" t="s">
        <v>35</v>
      </c>
      <c r="M363">
        <v>46</v>
      </c>
      <c r="N363">
        <v>4</v>
      </c>
      <c r="O363">
        <v>1</v>
      </c>
      <c r="P363" t="s">
        <v>45</v>
      </c>
      <c r="Q363">
        <v>3</v>
      </c>
      <c r="R363" t="s">
        <v>43</v>
      </c>
      <c r="S363">
        <v>2213</v>
      </c>
      <c r="T363">
        <v>22495</v>
      </c>
      <c r="U363">
        <v>3</v>
      </c>
      <c r="V363" t="s">
        <v>31</v>
      </c>
      <c r="W363">
        <v>13</v>
      </c>
      <c r="X363">
        <v>3</v>
      </c>
      <c r="Y363">
        <v>3</v>
      </c>
      <c r="Z363">
        <v>1</v>
      </c>
      <c r="AA363">
        <v>10</v>
      </c>
      <c r="AB363" t="str">
        <f>IF(Table2[[#This Row],[TotalWorkingYears]]&lt;=5,"Early (0-5)",IF(Table2[[#This Row],[TotalWorkingYears]]&lt;=15,"Mid (6-15)","Senior (16+)"))</f>
        <v>Mid (6-15)</v>
      </c>
      <c r="AC363">
        <v>3</v>
      </c>
      <c r="AD363">
        <v>3</v>
      </c>
      <c r="AE363" t="s">
        <v>62</v>
      </c>
      <c r="AF363">
        <v>7</v>
      </c>
      <c r="AG363">
        <v>1</v>
      </c>
      <c r="AH363">
        <v>7</v>
      </c>
    </row>
    <row r="364" spans="1:34" x14ac:dyDescent="0.3">
      <c r="A364" t="s">
        <v>60</v>
      </c>
      <c r="B364">
        <v>0</v>
      </c>
      <c r="C364" t="s">
        <v>50</v>
      </c>
      <c r="D364">
        <v>895</v>
      </c>
      <c r="E364" t="s">
        <v>33</v>
      </c>
      <c r="F364">
        <v>9</v>
      </c>
      <c r="G364" t="str">
        <f>IF(Table2[[#This Row],[DistanceFromHome]]&lt;=5, "short", IF(Table2[[#This Row],[DistanceFromHome]]&lt;=15, "medium", "long"))</f>
        <v>medium</v>
      </c>
      <c r="H364">
        <v>2</v>
      </c>
      <c r="I364" t="s">
        <v>46</v>
      </c>
      <c r="J364">
        <v>484</v>
      </c>
      <c r="K364">
        <v>1</v>
      </c>
      <c r="L364" t="s">
        <v>41</v>
      </c>
      <c r="M364">
        <v>39</v>
      </c>
      <c r="N364">
        <v>3</v>
      </c>
      <c r="O364">
        <v>1</v>
      </c>
      <c r="P364" t="s">
        <v>52</v>
      </c>
      <c r="Q364">
        <v>4</v>
      </c>
      <c r="R364" t="s">
        <v>37</v>
      </c>
      <c r="S364">
        <v>2610</v>
      </c>
      <c r="T364">
        <v>2851</v>
      </c>
      <c r="U364">
        <v>1</v>
      </c>
      <c r="V364" t="s">
        <v>38</v>
      </c>
      <c r="W364">
        <v>24</v>
      </c>
      <c r="X364">
        <v>4</v>
      </c>
      <c r="Y364">
        <v>3</v>
      </c>
      <c r="Z364">
        <v>0</v>
      </c>
      <c r="AA364">
        <v>3</v>
      </c>
      <c r="AB364" t="str">
        <f>IF(Table2[[#This Row],[TotalWorkingYears]]&lt;=5,"Early (0-5)",IF(Table2[[#This Row],[TotalWorkingYears]]&lt;=15,"Mid (6-15)","Senior (16+)"))</f>
        <v>Early (0-5)</v>
      </c>
      <c r="AC364">
        <v>3</v>
      </c>
      <c r="AD364">
        <v>2</v>
      </c>
      <c r="AE364" t="s">
        <v>64</v>
      </c>
      <c r="AF364">
        <v>2</v>
      </c>
      <c r="AG364">
        <v>2</v>
      </c>
      <c r="AH364">
        <v>2</v>
      </c>
    </row>
    <row r="365" spans="1:34" x14ac:dyDescent="0.3">
      <c r="A365" t="s">
        <v>59</v>
      </c>
      <c r="B365">
        <v>1</v>
      </c>
      <c r="C365" t="s">
        <v>32</v>
      </c>
      <c r="D365">
        <v>350</v>
      </c>
      <c r="E365" t="s">
        <v>33</v>
      </c>
      <c r="F365">
        <v>5</v>
      </c>
      <c r="G365" t="str">
        <f>IF(Table2[[#This Row],[DistanceFromHome]]&lt;=5, "short", IF(Table2[[#This Row],[DistanceFromHome]]&lt;=15, "medium", "long"))</f>
        <v>short</v>
      </c>
      <c r="H365">
        <v>3</v>
      </c>
      <c r="I365" t="s">
        <v>54</v>
      </c>
      <c r="J365">
        <v>485</v>
      </c>
      <c r="K365">
        <v>4</v>
      </c>
      <c r="L365" t="s">
        <v>35</v>
      </c>
      <c r="M365">
        <v>34</v>
      </c>
      <c r="N365">
        <v>3</v>
      </c>
      <c r="O365">
        <v>1</v>
      </c>
      <c r="P365" t="s">
        <v>52</v>
      </c>
      <c r="Q365">
        <v>3</v>
      </c>
      <c r="R365" t="s">
        <v>37</v>
      </c>
      <c r="S365">
        <v>2851</v>
      </c>
      <c r="T365">
        <v>9150</v>
      </c>
      <c r="U365">
        <v>1</v>
      </c>
      <c r="V365" t="s">
        <v>31</v>
      </c>
      <c r="W365">
        <v>13</v>
      </c>
      <c r="X365">
        <v>3</v>
      </c>
      <c r="Y365">
        <v>2</v>
      </c>
      <c r="Z365">
        <v>0</v>
      </c>
      <c r="AA365">
        <v>1</v>
      </c>
      <c r="AB365" t="str">
        <f>IF(Table2[[#This Row],[TotalWorkingYears]]&lt;=5,"Early (0-5)",IF(Table2[[#This Row],[TotalWorkingYears]]&lt;=15,"Mid (6-15)","Senior (16+)"))</f>
        <v>Early (0-5)</v>
      </c>
      <c r="AC365">
        <v>2</v>
      </c>
      <c r="AD365">
        <v>3</v>
      </c>
      <c r="AE365" t="s">
        <v>63</v>
      </c>
      <c r="AF365">
        <v>0</v>
      </c>
      <c r="AG365">
        <v>0</v>
      </c>
      <c r="AH365">
        <v>0</v>
      </c>
    </row>
    <row r="366" spans="1:34" x14ac:dyDescent="0.3">
      <c r="A366" t="s">
        <v>57</v>
      </c>
      <c r="B366">
        <v>0</v>
      </c>
      <c r="C366" t="s">
        <v>32</v>
      </c>
      <c r="D366">
        <v>921</v>
      </c>
      <c r="E366" t="s">
        <v>40</v>
      </c>
      <c r="F366">
        <v>10</v>
      </c>
      <c r="G366" t="str">
        <f>IF(Table2[[#This Row],[DistanceFromHome]]&lt;=5, "short", IF(Table2[[#This Row],[DistanceFromHome]]&lt;=15, "medium", "long"))</f>
        <v>medium</v>
      </c>
      <c r="H366">
        <v>3</v>
      </c>
      <c r="I366" t="s">
        <v>46</v>
      </c>
      <c r="J366">
        <v>486</v>
      </c>
      <c r="K366">
        <v>3</v>
      </c>
      <c r="L366" t="s">
        <v>35</v>
      </c>
      <c r="M366">
        <v>98</v>
      </c>
      <c r="N366">
        <v>3</v>
      </c>
      <c r="O366">
        <v>1</v>
      </c>
      <c r="P366" t="s">
        <v>45</v>
      </c>
      <c r="Q366">
        <v>1</v>
      </c>
      <c r="R366" t="s">
        <v>43</v>
      </c>
      <c r="S366">
        <v>3452</v>
      </c>
      <c r="T366">
        <v>17663</v>
      </c>
      <c r="U366">
        <v>6</v>
      </c>
      <c r="V366" t="s">
        <v>38</v>
      </c>
      <c r="W366">
        <v>20</v>
      </c>
      <c r="X366">
        <v>4</v>
      </c>
      <c r="Y366">
        <v>2</v>
      </c>
      <c r="Z366">
        <v>1</v>
      </c>
      <c r="AA366">
        <v>17</v>
      </c>
      <c r="AB366" t="str">
        <f>IF(Table2[[#This Row],[TotalWorkingYears]]&lt;=5,"Early (0-5)",IF(Table2[[#This Row],[TotalWorkingYears]]&lt;=15,"Mid (6-15)","Senior (16+)"))</f>
        <v>Senior (16+)</v>
      </c>
      <c r="AC366">
        <v>3</v>
      </c>
      <c r="AD366">
        <v>3</v>
      </c>
      <c r="AE366" t="s">
        <v>64</v>
      </c>
      <c r="AF366">
        <v>4</v>
      </c>
      <c r="AG366">
        <v>0</v>
      </c>
      <c r="AH366">
        <v>3</v>
      </c>
    </row>
    <row r="367" spans="1:34" x14ac:dyDescent="0.3">
      <c r="A367" t="s">
        <v>58</v>
      </c>
      <c r="B367">
        <v>0</v>
      </c>
      <c r="C367" t="s">
        <v>50</v>
      </c>
      <c r="D367">
        <v>1144</v>
      </c>
      <c r="E367" t="s">
        <v>40</v>
      </c>
      <c r="F367">
        <v>7</v>
      </c>
      <c r="G367" t="str">
        <f>IF(Table2[[#This Row],[DistanceFromHome]]&lt;=5, "short", IF(Table2[[#This Row],[DistanceFromHome]]&lt;=15, "medium", "long"))</f>
        <v>medium</v>
      </c>
      <c r="H367">
        <v>4</v>
      </c>
      <c r="I367" t="s">
        <v>46</v>
      </c>
      <c r="J367">
        <v>487</v>
      </c>
      <c r="K367">
        <v>3</v>
      </c>
      <c r="L367" t="s">
        <v>35</v>
      </c>
      <c r="M367">
        <v>30</v>
      </c>
      <c r="N367">
        <v>3</v>
      </c>
      <c r="O367">
        <v>2</v>
      </c>
      <c r="P367" t="s">
        <v>48</v>
      </c>
      <c r="Q367">
        <v>3</v>
      </c>
      <c r="R367" t="s">
        <v>43</v>
      </c>
      <c r="S367">
        <v>5258</v>
      </c>
      <c r="T367">
        <v>16044</v>
      </c>
      <c r="U367">
        <v>2</v>
      </c>
      <c r="V367" t="s">
        <v>38</v>
      </c>
      <c r="W367">
        <v>14</v>
      </c>
      <c r="X367">
        <v>3</v>
      </c>
      <c r="Y367">
        <v>3</v>
      </c>
      <c r="Z367">
        <v>0</v>
      </c>
      <c r="AA367">
        <v>7</v>
      </c>
      <c r="AB367" t="str">
        <f>IF(Table2[[#This Row],[TotalWorkingYears]]&lt;=5,"Early (0-5)",IF(Table2[[#This Row],[TotalWorkingYears]]&lt;=15,"Mid (6-15)","Senior (16+)"))</f>
        <v>Mid (6-15)</v>
      </c>
      <c r="AC367">
        <v>2</v>
      </c>
      <c r="AD367">
        <v>4</v>
      </c>
      <c r="AE367" t="s">
        <v>63</v>
      </c>
      <c r="AF367">
        <v>0</v>
      </c>
      <c r="AG367">
        <v>0</v>
      </c>
      <c r="AH367">
        <v>0</v>
      </c>
    </row>
    <row r="368" spans="1:34" x14ac:dyDescent="0.3">
      <c r="A368" t="s">
        <v>57</v>
      </c>
      <c r="B368">
        <v>1</v>
      </c>
      <c r="C368" t="s">
        <v>39</v>
      </c>
      <c r="D368">
        <v>143</v>
      </c>
      <c r="E368" t="s">
        <v>33</v>
      </c>
      <c r="F368">
        <v>4</v>
      </c>
      <c r="G368" t="str">
        <f>IF(Table2[[#This Row],[DistanceFromHome]]&lt;=5, "short", IF(Table2[[#This Row],[DistanceFromHome]]&lt;=15, "medium", "long"))</f>
        <v>short</v>
      </c>
      <c r="H368">
        <v>3</v>
      </c>
      <c r="I368" t="s">
        <v>54</v>
      </c>
      <c r="J368">
        <v>488</v>
      </c>
      <c r="K368">
        <v>1</v>
      </c>
      <c r="L368" t="s">
        <v>41</v>
      </c>
      <c r="M368">
        <v>56</v>
      </c>
      <c r="N368">
        <v>3</v>
      </c>
      <c r="O368">
        <v>2</v>
      </c>
      <c r="P368" t="s">
        <v>36</v>
      </c>
      <c r="Q368">
        <v>2</v>
      </c>
      <c r="R368" t="s">
        <v>37</v>
      </c>
      <c r="S368">
        <v>9355</v>
      </c>
      <c r="T368">
        <v>9558</v>
      </c>
      <c r="U368">
        <v>1</v>
      </c>
      <c r="V368" t="s">
        <v>38</v>
      </c>
      <c r="W368">
        <v>18</v>
      </c>
      <c r="X368">
        <v>3</v>
      </c>
      <c r="Y368">
        <v>3</v>
      </c>
      <c r="Z368">
        <v>0</v>
      </c>
      <c r="AA368">
        <v>8</v>
      </c>
      <c r="AB368" t="str">
        <f>IF(Table2[[#This Row],[TotalWorkingYears]]&lt;=5,"Early (0-5)",IF(Table2[[#This Row],[TotalWorkingYears]]&lt;=15,"Mid (6-15)","Senior (16+)"))</f>
        <v>Mid (6-15)</v>
      </c>
      <c r="AC368">
        <v>5</v>
      </c>
      <c r="AD368">
        <v>3</v>
      </c>
      <c r="AE368" t="s">
        <v>62</v>
      </c>
      <c r="AF368">
        <v>7</v>
      </c>
      <c r="AG368">
        <v>7</v>
      </c>
      <c r="AH368">
        <v>7</v>
      </c>
    </row>
    <row r="369" spans="1:34" x14ac:dyDescent="0.3">
      <c r="A369" t="s">
        <v>58</v>
      </c>
      <c r="B369">
        <v>0</v>
      </c>
      <c r="C369" t="s">
        <v>32</v>
      </c>
      <c r="D369">
        <v>1046</v>
      </c>
      <c r="E369" t="s">
        <v>40</v>
      </c>
      <c r="F369">
        <v>10</v>
      </c>
      <c r="G369" t="str">
        <f>IF(Table2[[#This Row],[DistanceFromHome]]&lt;=5, "short", IF(Table2[[#This Row],[DistanceFromHome]]&lt;=15, "medium", "long"))</f>
        <v>medium</v>
      </c>
      <c r="H369">
        <v>3</v>
      </c>
      <c r="I369" t="s">
        <v>55</v>
      </c>
      <c r="J369">
        <v>491</v>
      </c>
      <c r="K369">
        <v>4</v>
      </c>
      <c r="L369" t="s">
        <v>41</v>
      </c>
      <c r="M369">
        <v>100</v>
      </c>
      <c r="N369">
        <v>2</v>
      </c>
      <c r="O369">
        <v>3</v>
      </c>
      <c r="P369" t="s">
        <v>49</v>
      </c>
      <c r="Q369">
        <v>4</v>
      </c>
      <c r="R369" t="s">
        <v>37</v>
      </c>
      <c r="S369">
        <v>10496</v>
      </c>
      <c r="T369">
        <v>2755</v>
      </c>
      <c r="U369">
        <v>6</v>
      </c>
      <c r="V369" t="s">
        <v>38</v>
      </c>
      <c r="W369">
        <v>15</v>
      </c>
      <c r="X369">
        <v>3</v>
      </c>
      <c r="Y369">
        <v>4</v>
      </c>
      <c r="Z369">
        <v>0</v>
      </c>
      <c r="AA369">
        <v>20</v>
      </c>
      <c r="AB369" t="str">
        <f>IF(Table2[[#This Row],[TotalWorkingYears]]&lt;=5,"Early (0-5)",IF(Table2[[#This Row],[TotalWorkingYears]]&lt;=15,"Mid (6-15)","Senior (16+)"))</f>
        <v>Senior (16+)</v>
      </c>
      <c r="AC369">
        <v>2</v>
      </c>
      <c r="AD369">
        <v>3</v>
      </c>
      <c r="AE369" t="s">
        <v>64</v>
      </c>
      <c r="AF369">
        <v>3</v>
      </c>
      <c r="AG369">
        <v>1</v>
      </c>
      <c r="AH369">
        <v>3</v>
      </c>
    </row>
    <row r="370" spans="1:34" x14ac:dyDescent="0.3">
      <c r="A370" t="s">
        <v>57</v>
      </c>
      <c r="B370">
        <v>1</v>
      </c>
      <c r="C370" t="s">
        <v>32</v>
      </c>
      <c r="D370">
        <v>575</v>
      </c>
      <c r="E370" t="s">
        <v>33</v>
      </c>
      <c r="F370">
        <v>22</v>
      </c>
      <c r="G370" t="str">
        <f>IF(Table2[[#This Row],[DistanceFromHome]]&lt;=5, "short", IF(Table2[[#This Row],[DistanceFromHome]]&lt;=15, "medium", "long"))</f>
        <v>long</v>
      </c>
      <c r="H370">
        <v>2</v>
      </c>
      <c r="I370" t="s">
        <v>54</v>
      </c>
      <c r="J370">
        <v>492</v>
      </c>
      <c r="K370">
        <v>3</v>
      </c>
      <c r="L370" t="s">
        <v>41</v>
      </c>
      <c r="M370">
        <v>68</v>
      </c>
      <c r="N370">
        <v>2</v>
      </c>
      <c r="O370">
        <v>2</v>
      </c>
      <c r="P370" t="s">
        <v>36</v>
      </c>
      <c r="Q370">
        <v>3</v>
      </c>
      <c r="R370" t="s">
        <v>43</v>
      </c>
      <c r="S370">
        <v>6380</v>
      </c>
      <c r="T370">
        <v>6110</v>
      </c>
      <c r="U370">
        <v>2</v>
      </c>
      <c r="V370" t="s">
        <v>31</v>
      </c>
      <c r="W370">
        <v>12</v>
      </c>
      <c r="X370">
        <v>3</v>
      </c>
      <c r="Y370">
        <v>1</v>
      </c>
      <c r="Z370">
        <v>2</v>
      </c>
      <c r="AA370">
        <v>8</v>
      </c>
      <c r="AB370" t="str">
        <f>IF(Table2[[#This Row],[TotalWorkingYears]]&lt;=5,"Early (0-5)",IF(Table2[[#This Row],[TotalWorkingYears]]&lt;=15,"Mid (6-15)","Senior (16+)"))</f>
        <v>Mid (6-15)</v>
      </c>
      <c r="AC370">
        <v>6</v>
      </c>
      <c r="AD370">
        <v>3</v>
      </c>
      <c r="AE370" t="s">
        <v>62</v>
      </c>
      <c r="AF370">
        <v>4</v>
      </c>
      <c r="AG370">
        <v>1</v>
      </c>
      <c r="AH370">
        <v>0</v>
      </c>
    </row>
    <row r="371" spans="1:34" x14ac:dyDescent="0.3">
      <c r="A371" t="s">
        <v>59</v>
      </c>
      <c r="B371">
        <v>0</v>
      </c>
      <c r="C371" t="s">
        <v>32</v>
      </c>
      <c r="D371">
        <v>408</v>
      </c>
      <c r="E371" t="s">
        <v>40</v>
      </c>
      <c r="F371">
        <v>9</v>
      </c>
      <c r="G371" t="str">
        <f>IF(Table2[[#This Row],[DistanceFromHome]]&lt;=5, "short", IF(Table2[[#This Row],[DistanceFromHome]]&lt;=15, "medium", "long"))</f>
        <v>medium</v>
      </c>
      <c r="H371">
        <v>4</v>
      </c>
      <c r="I371" t="s">
        <v>34</v>
      </c>
      <c r="J371">
        <v>493</v>
      </c>
      <c r="K371">
        <v>3</v>
      </c>
      <c r="L371" t="s">
        <v>41</v>
      </c>
      <c r="M371">
        <v>42</v>
      </c>
      <c r="N371">
        <v>2</v>
      </c>
      <c r="O371">
        <v>1</v>
      </c>
      <c r="P371" t="s">
        <v>42</v>
      </c>
      <c r="Q371">
        <v>2</v>
      </c>
      <c r="R371" t="s">
        <v>37</v>
      </c>
      <c r="S371">
        <v>2657</v>
      </c>
      <c r="T371">
        <v>7551</v>
      </c>
      <c r="U371">
        <v>0</v>
      </c>
      <c r="V371" t="s">
        <v>31</v>
      </c>
      <c r="W371">
        <v>16</v>
      </c>
      <c r="X371">
        <v>3</v>
      </c>
      <c r="Y371">
        <v>4</v>
      </c>
      <c r="Z371">
        <v>0</v>
      </c>
      <c r="AA371">
        <v>3</v>
      </c>
      <c r="AB371" t="str">
        <f>IF(Table2[[#This Row],[TotalWorkingYears]]&lt;=5,"Early (0-5)",IF(Table2[[#This Row],[TotalWorkingYears]]&lt;=15,"Mid (6-15)","Senior (16+)"))</f>
        <v>Early (0-5)</v>
      </c>
      <c r="AC371">
        <v>5</v>
      </c>
      <c r="AD371">
        <v>3</v>
      </c>
      <c r="AE371" t="s">
        <v>63</v>
      </c>
      <c r="AF371">
        <v>2</v>
      </c>
      <c r="AG371">
        <v>2</v>
      </c>
      <c r="AH371">
        <v>2</v>
      </c>
    </row>
    <row r="372" spans="1:34" x14ac:dyDescent="0.3">
      <c r="A372" t="s">
        <v>60</v>
      </c>
      <c r="B372">
        <v>1</v>
      </c>
      <c r="C372" t="s">
        <v>32</v>
      </c>
      <c r="D372">
        <v>156</v>
      </c>
      <c r="E372" t="s">
        <v>33</v>
      </c>
      <c r="F372">
        <v>12</v>
      </c>
      <c r="G372" t="str">
        <f>IF(Table2[[#This Row],[DistanceFromHome]]&lt;=5, "short", IF(Table2[[#This Row],[DistanceFromHome]]&lt;=15, "medium", "long"))</f>
        <v>medium</v>
      </c>
      <c r="H372">
        <v>3</v>
      </c>
      <c r="I372" t="s">
        <v>34</v>
      </c>
      <c r="J372">
        <v>494</v>
      </c>
      <c r="K372">
        <v>3</v>
      </c>
      <c r="L372" t="s">
        <v>35</v>
      </c>
      <c r="M372">
        <v>90</v>
      </c>
      <c r="N372">
        <v>4</v>
      </c>
      <c r="O372">
        <v>1</v>
      </c>
      <c r="P372" t="s">
        <v>52</v>
      </c>
      <c r="Q372">
        <v>2</v>
      </c>
      <c r="R372" t="s">
        <v>37</v>
      </c>
      <c r="S372">
        <v>2716</v>
      </c>
      <c r="T372">
        <v>25422</v>
      </c>
      <c r="U372">
        <v>1</v>
      </c>
      <c r="V372" t="s">
        <v>38</v>
      </c>
      <c r="W372">
        <v>15</v>
      </c>
      <c r="X372">
        <v>3</v>
      </c>
      <c r="Y372">
        <v>4</v>
      </c>
      <c r="Z372">
        <v>0</v>
      </c>
      <c r="AA372">
        <v>1</v>
      </c>
      <c r="AB372" t="str">
        <f>IF(Table2[[#This Row],[TotalWorkingYears]]&lt;=5,"Early (0-5)",IF(Table2[[#This Row],[TotalWorkingYears]]&lt;=15,"Mid (6-15)","Senior (16+)"))</f>
        <v>Early (0-5)</v>
      </c>
      <c r="AC372">
        <v>0</v>
      </c>
      <c r="AD372">
        <v>3</v>
      </c>
      <c r="AE372" t="s">
        <v>63</v>
      </c>
      <c r="AF372">
        <v>0</v>
      </c>
      <c r="AG372">
        <v>0</v>
      </c>
      <c r="AH372">
        <v>0</v>
      </c>
    </row>
    <row r="373" spans="1:34" x14ac:dyDescent="0.3">
      <c r="A373" t="s">
        <v>59</v>
      </c>
      <c r="B373">
        <v>0</v>
      </c>
      <c r="C373" t="s">
        <v>32</v>
      </c>
      <c r="D373">
        <v>1283</v>
      </c>
      <c r="E373" t="s">
        <v>40</v>
      </c>
      <c r="F373">
        <v>23</v>
      </c>
      <c r="G373" t="str">
        <f>IF(Table2[[#This Row],[DistanceFromHome]]&lt;=5, "short", IF(Table2[[#This Row],[DistanceFromHome]]&lt;=15, "medium", "long"))</f>
        <v>long</v>
      </c>
      <c r="H373">
        <v>3</v>
      </c>
      <c r="I373" t="s">
        <v>34</v>
      </c>
      <c r="J373">
        <v>495</v>
      </c>
      <c r="K373">
        <v>4</v>
      </c>
      <c r="L373" t="s">
        <v>41</v>
      </c>
      <c r="M373">
        <v>54</v>
      </c>
      <c r="N373">
        <v>3</v>
      </c>
      <c r="O373">
        <v>1</v>
      </c>
      <c r="P373" t="s">
        <v>42</v>
      </c>
      <c r="Q373">
        <v>4</v>
      </c>
      <c r="R373" t="s">
        <v>37</v>
      </c>
      <c r="S373">
        <v>2201</v>
      </c>
      <c r="T373">
        <v>18168</v>
      </c>
      <c r="U373">
        <v>9</v>
      </c>
      <c r="V373" t="s">
        <v>38</v>
      </c>
      <c r="W373">
        <v>16</v>
      </c>
      <c r="X373">
        <v>3</v>
      </c>
      <c r="Y373">
        <v>4</v>
      </c>
      <c r="Z373">
        <v>0</v>
      </c>
      <c r="AA373">
        <v>6</v>
      </c>
      <c r="AB373" t="str">
        <f>IF(Table2[[#This Row],[TotalWorkingYears]]&lt;=5,"Early (0-5)",IF(Table2[[#This Row],[TotalWorkingYears]]&lt;=15,"Mid (6-15)","Senior (16+)"))</f>
        <v>Mid (6-15)</v>
      </c>
      <c r="AC373">
        <v>4</v>
      </c>
      <c r="AD373">
        <v>3</v>
      </c>
      <c r="AE373" t="s">
        <v>64</v>
      </c>
      <c r="AF373">
        <v>2</v>
      </c>
      <c r="AG373">
        <v>1</v>
      </c>
      <c r="AH373">
        <v>2</v>
      </c>
    </row>
    <row r="374" spans="1:34" x14ac:dyDescent="0.3">
      <c r="A374" t="s">
        <v>59</v>
      </c>
      <c r="B374">
        <v>0</v>
      </c>
      <c r="C374" t="s">
        <v>32</v>
      </c>
      <c r="D374">
        <v>755</v>
      </c>
      <c r="E374" t="s">
        <v>40</v>
      </c>
      <c r="F374">
        <v>9</v>
      </c>
      <c r="G374" t="str">
        <f>IF(Table2[[#This Row],[DistanceFromHome]]&lt;=5, "short", IF(Table2[[#This Row],[DistanceFromHome]]&lt;=15, "medium", "long"))</f>
        <v>medium</v>
      </c>
      <c r="H374">
        <v>4</v>
      </c>
      <c r="I374" t="s">
        <v>34</v>
      </c>
      <c r="J374">
        <v>496</v>
      </c>
      <c r="K374">
        <v>3</v>
      </c>
      <c r="L374" t="s">
        <v>41</v>
      </c>
      <c r="M374">
        <v>97</v>
      </c>
      <c r="N374">
        <v>2</v>
      </c>
      <c r="O374">
        <v>2</v>
      </c>
      <c r="P374" t="s">
        <v>49</v>
      </c>
      <c r="Q374">
        <v>2</v>
      </c>
      <c r="R374" t="s">
        <v>37</v>
      </c>
      <c r="S374">
        <v>6540</v>
      </c>
      <c r="T374">
        <v>19394</v>
      </c>
      <c r="U374">
        <v>9</v>
      </c>
      <c r="V374" t="s">
        <v>38</v>
      </c>
      <c r="W374">
        <v>19</v>
      </c>
      <c r="X374">
        <v>3</v>
      </c>
      <c r="Y374">
        <v>3</v>
      </c>
      <c r="Z374">
        <v>0</v>
      </c>
      <c r="AA374">
        <v>10</v>
      </c>
      <c r="AB374" t="str">
        <f>IF(Table2[[#This Row],[TotalWorkingYears]]&lt;=5,"Early (0-5)",IF(Table2[[#This Row],[TotalWorkingYears]]&lt;=15,"Mid (6-15)","Senior (16+)"))</f>
        <v>Mid (6-15)</v>
      </c>
      <c r="AC374">
        <v>5</v>
      </c>
      <c r="AD374">
        <v>3</v>
      </c>
      <c r="AE374" t="s">
        <v>63</v>
      </c>
      <c r="AF374">
        <v>1</v>
      </c>
      <c r="AG374">
        <v>0</v>
      </c>
      <c r="AH374">
        <v>0</v>
      </c>
    </row>
    <row r="375" spans="1:34" x14ac:dyDescent="0.3">
      <c r="A375" t="s">
        <v>59</v>
      </c>
      <c r="B375">
        <v>0</v>
      </c>
      <c r="C375" t="s">
        <v>32</v>
      </c>
      <c r="D375">
        <v>1469</v>
      </c>
      <c r="E375" t="s">
        <v>40</v>
      </c>
      <c r="F375">
        <v>1</v>
      </c>
      <c r="G375" t="str">
        <f>IF(Table2[[#This Row],[DistanceFromHome]]&lt;=5, "short", IF(Table2[[#This Row],[DistanceFromHome]]&lt;=15, "medium", "long"))</f>
        <v>short</v>
      </c>
      <c r="H375">
        <v>2</v>
      </c>
      <c r="I375" t="s">
        <v>46</v>
      </c>
      <c r="J375">
        <v>497</v>
      </c>
      <c r="K375">
        <v>4</v>
      </c>
      <c r="L375" t="s">
        <v>41</v>
      </c>
      <c r="M375">
        <v>82</v>
      </c>
      <c r="N375">
        <v>3</v>
      </c>
      <c r="O375">
        <v>1</v>
      </c>
      <c r="P375" t="s">
        <v>45</v>
      </c>
      <c r="Q375">
        <v>2</v>
      </c>
      <c r="R375" t="s">
        <v>47</v>
      </c>
      <c r="S375">
        <v>3816</v>
      </c>
      <c r="T375">
        <v>17881</v>
      </c>
      <c r="U375">
        <v>1</v>
      </c>
      <c r="V375" t="s">
        <v>38</v>
      </c>
      <c r="W375">
        <v>11</v>
      </c>
      <c r="X375">
        <v>3</v>
      </c>
      <c r="Y375">
        <v>2</v>
      </c>
      <c r="Z375">
        <v>1</v>
      </c>
      <c r="AA375">
        <v>5</v>
      </c>
      <c r="AB375" t="str">
        <f>IF(Table2[[#This Row],[TotalWorkingYears]]&lt;=5,"Early (0-5)",IF(Table2[[#This Row],[TotalWorkingYears]]&lt;=15,"Mid (6-15)","Senior (16+)"))</f>
        <v>Early (0-5)</v>
      </c>
      <c r="AC375">
        <v>2</v>
      </c>
      <c r="AD375">
        <v>3</v>
      </c>
      <c r="AE375" t="s">
        <v>64</v>
      </c>
      <c r="AF375">
        <v>2</v>
      </c>
      <c r="AG375">
        <v>0</v>
      </c>
      <c r="AH375">
        <v>4</v>
      </c>
    </row>
    <row r="376" spans="1:34" x14ac:dyDescent="0.3">
      <c r="A376" t="s">
        <v>59</v>
      </c>
      <c r="B376">
        <v>0</v>
      </c>
      <c r="C376" t="s">
        <v>32</v>
      </c>
      <c r="D376">
        <v>304</v>
      </c>
      <c r="E376" t="s">
        <v>33</v>
      </c>
      <c r="F376">
        <v>9</v>
      </c>
      <c r="G376" t="str">
        <f>IF(Table2[[#This Row],[DistanceFromHome]]&lt;=5, "short", IF(Table2[[#This Row],[DistanceFromHome]]&lt;=15, "medium", "long"))</f>
        <v>medium</v>
      </c>
      <c r="H376">
        <v>4</v>
      </c>
      <c r="I376" t="s">
        <v>34</v>
      </c>
      <c r="J376">
        <v>498</v>
      </c>
      <c r="K376">
        <v>2</v>
      </c>
      <c r="L376" t="s">
        <v>41</v>
      </c>
      <c r="M376">
        <v>92</v>
      </c>
      <c r="N376">
        <v>3</v>
      </c>
      <c r="O376">
        <v>2</v>
      </c>
      <c r="P376" t="s">
        <v>36</v>
      </c>
      <c r="Q376">
        <v>4</v>
      </c>
      <c r="R376" t="s">
        <v>37</v>
      </c>
      <c r="S376">
        <v>5253</v>
      </c>
      <c r="T376">
        <v>20750</v>
      </c>
      <c r="U376">
        <v>1</v>
      </c>
      <c r="V376" t="s">
        <v>38</v>
      </c>
      <c r="W376">
        <v>16</v>
      </c>
      <c r="X376">
        <v>3</v>
      </c>
      <c r="Y376">
        <v>4</v>
      </c>
      <c r="Z376">
        <v>0</v>
      </c>
      <c r="AA376">
        <v>7</v>
      </c>
      <c r="AB376" t="str">
        <f>IF(Table2[[#This Row],[TotalWorkingYears]]&lt;=5,"Early (0-5)",IF(Table2[[#This Row],[TotalWorkingYears]]&lt;=15,"Mid (6-15)","Senior (16+)"))</f>
        <v>Mid (6-15)</v>
      </c>
      <c r="AC376">
        <v>1</v>
      </c>
      <c r="AD376">
        <v>3</v>
      </c>
      <c r="AE376" t="s">
        <v>62</v>
      </c>
      <c r="AF376">
        <v>5</v>
      </c>
      <c r="AG376">
        <v>0</v>
      </c>
      <c r="AH376">
        <v>7</v>
      </c>
    </row>
    <row r="377" spans="1:34" x14ac:dyDescent="0.3">
      <c r="A377" t="s">
        <v>58</v>
      </c>
      <c r="B377">
        <v>0</v>
      </c>
      <c r="C377" t="s">
        <v>32</v>
      </c>
      <c r="D377">
        <v>1261</v>
      </c>
      <c r="E377" t="s">
        <v>40</v>
      </c>
      <c r="F377">
        <v>7</v>
      </c>
      <c r="G377" t="str">
        <f>IF(Table2[[#This Row],[DistanceFromHome]]&lt;=5, "short", IF(Table2[[#This Row],[DistanceFromHome]]&lt;=15, "medium", "long"))</f>
        <v>medium</v>
      </c>
      <c r="H377">
        <v>3</v>
      </c>
      <c r="I377" t="s">
        <v>44</v>
      </c>
      <c r="J377">
        <v>499</v>
      </c>
      <c r="K377">
        <v>2</v>
      </c>
      <c r="L377" t="s">
        <v>41</v>
      </c>
      <c r="M377">
        <v>31</v>
      </c>
      <c r="N377">
        <v>2</v>
      </c>
      <c r="O377">
        <v>3</v>
      </c>
      <c r="P377" t="s">
        <v>49</v>
      </c>
      <c r="Q377">
        <v>3</v>
      </c>
      <c r="R377" t="s">
        <v>37</v>
      </c>
      <c r="S377">
        <v>10965</v>
      </c>
      <c r="T377">
        <v>12066</v>
      </c>
      <c r="U377">
        <v>8</v>
      </c>
      <c r="V377" t="s">
        <v>38</v>
      </c>
      <c r="W377">
        <v>24</v>
      </c>
      <c r="X377">
        <v>4</v>
      </c>
      <c r="Y377">
        <v>3</v>
      </c>
      <c r="Z377">
        <v>0</v>
      </c>
      <c r="AA377">
        <v>26</v>
      </c>
      <c r="AB377" t="str">
        <f>IF(Table2[[#This Row],[TotalWorkingYears]]&lt;=5,"Early (0-5)",IF(Table2[[#This Row],[TotalWorkingYears]]&lt;=15,"Mid (6-15)","Senior (16+)"))</f>
        <v>Senior (16+)</v>
      </c>
      <c r="AC377">
        <v>2</v>
      </c>
      <c r="AD377">
        <v>3</v>
      </c>
      <c r="AE377" t="s">
        <v>64</v>
      </c>
      <c r="AF377">
        <v>2</v>
      </c>
      <c r="AG377">
        <v>0</v>
      </c>
      <c r="AH377">
        <v>0</v>
      </c>
    </row>
    <row r="378" spans="1:34" x14ac:dyDescent="0.3">
      <c r="A378" t="s">
        <v>58</v>
      </c>
      <c r="B378">
        <v>0</v>
      </c>
      <c r="C378" t="s">
        <v>32</v>
      </c>
      <c r="D378">
        <v>1178</v>
      </c>
      <c r="E378" t="s">
        <v>33</v>
      </c>
      <c r="F378">
        <v>14</v>
      </c>
      <c r="G378" t="str">
        <f>IF(Table2[[#This Row],[DistanceFromHome]]&lt;=5, "short", IF(Table2[[#This Row],[DistanceFromHome]]&lt;=15, "medium", "long"))</f>
        <v>medium</v>
      </c>
      <c r="H378">
        <v>2</v>
      </c>
      <c r="I378" t="s">
        <v>34</v>
      </c>
      <c r="J378">
        <v>500</v>
      </c>
      <c r="K378">
        <v>3</v>
      </c>
      <c r="L378" t="s">
        <v>35</v>
      </c>
      <c r="M378">
        <v>87</v>
      </c>
      <c r="N378">
        <v>3</v>
      </c>
      <c r="O378">
        <v>2</v>
      </c>
      <c r="P378" t="s">
        <v>36</v>
      </c>
      <c r="Q378">
        <v>4</v>
      </c>
      <c r="R378" t="s">
        <v>43</v>
      </c>
      <c r="S378">
        <v>4936</v>
      </c>
      <c r="T378">
        <v>14862</v>
      </c>
      <c r="U378">
        <v>4</v>
      </c>
      <c r="V378" t="s">
        <v>38</v>
      </c>
      <c r="W378">
        <v>11</v>
      </c>
      <c r="X378">
        <v>3</v>
      </c>
      <c r="Y378">
        <v>3</v>
      </c>
      <c r="Z378">
        <v>1</v>
      </c>
      <c r="AA378">
        <v>18</v>
      </c>
      <c r="AB378" t="str">
        <f>IF(Table2[[#This Row],[TotalWorkingYears]]&lt;=5,"Early (0-5)",IF(Table2[[#This Row],[TotalWorkingYears]]&lt;=15,"Mid (6-15)","Senior (16+)"))</f>
        <v>Senior (16+)</v>
      </c>
      <c r="AC378">
        <v>2</v>
      </c>
      <c r="AD378">
        <v>2</v>
      </c>
      <c r="AE378" t="s">
        <v>62</v>
      </c>
      <c r="AF378">
        <v>7</v>
      </c>
      <c r="AG378">
        <v>0</v>
      </c>
      <c r="AH378">
        <v>7</v>
      </c>
    </row>
    <row r="379" spans="1:34" x14ac:dyDescent="0.3">
      <c r="A379" t="s">
        <v>57</v>
      </c>
      <c r="B379">
        <v>0</v>
      </c>
      <c r="C379" t="s">
        <v>32</v>
      </c>
      <c r="D379">
        <v>329</v>
      </c>
      <c r="E379" t="s">
        <v>40</v>
      </c>
      <c r="F379">
        <v>2</v>
      </c>
      <c r="G379" t="str">
        <f>IF(Table2[[#This Row],[DistanceFromHome]]&lt;=5, "short", IF(Table2[[#This Row],[DistanceFromHome]]&lt;=15, "medium", "long"))</f>
        <v>short</v>
      </c>
      <c r="H379">
        <v>3</v>
      </c>
      <c r="I379" t="s">
        <v>34</v>
      </c>
      <c r="J379">
        <v>501</v>
      </c>
      <c r="K379">
        <v>4</v>
      </c>
      <c r="L379" t="s">
        <v>35</v>
      </c>
      <c r="M379">
        <v>96</v>
      </c>
      <c r="N379">
        <v>3</v>
      </c>
      <c r="O379">
        <v>1</v>
      </c>
      <c r="P379" t="s">
        <v>42</v>
      </c>
      <c r="Q379">
        <v>3</v>
      </c>
      <c r="R379" t="s">
        <v>43</v>
      </c>
      <c r="S379">
        <v>2543</v>
      </c>
      <c r="T379">
        <v>11868</v>
      </c>
      <c r="U379">
        <v>4</v>
      </c>
      <c r="V379" t="s">
        <v>38</v>
      </c>
      <c r="W379">
        <v>13</v>
      </c>
      <c r="X379">
        <v>3</v>
      </c>
      <c r="Y379">
        <v>2</v>
      </c>
      <c r="Z379">
        <v>1</v>
      </c>
      <c r="AA379">
        <v>6</v>
      </c>
      <c r="AB379" t="str">
        <f>IF(Table2[[#This Row],[TotalWorkingYears]]&lt;=5,"Early (0-5)",IF(Table2[[#This Row],[TotalWorkingYears]]&lt;=15,"Mid (6-15)","Senior (16+)"))</f>
        <v>Mid (6-15)</v>
      </c>
      <c r="AC379">
        <v>3</v>
      </c>
      <c r="AD379">
        <v>3</v>
      </c>
      <c r="AE379" t="s">
        <v>63</v>
      </c>
      <c r="AF379">
        <v>2</v>
      </c>
      <c r="AG379">
        <v>2</v>
      </c>
      <c r="AH379">
        <v>2</v>
      </c>
    </row>
    <row r="380" spans="1:34" x14ac:dyDescent="0.3">
      <c r="A380" t="s">
        <v>59</v>
      </c>
      <c r="B380">
        <v>1</v>
      </c>
      <c r="C380" t="s">
        <v>50</v>
      </c>
      <c r="D380">
        <v>1362</v>
      </c>
      <c r="E380" t="s">
        <v>33</v>
      </c>
      <c r="F380">
        <v>19</v>
      </c>
      <c r="G380" t="str">
        <f>IF(Table2[[#This Row],[DistanceFromHome]]&lt;=5, "short", IF(Table2[[#This Row],[DistanceFromHome]]&lt;=15, "medium", "long"))</f>
        <v>long</v>
      </c>
      <c r="H380">
        <v>3</v>
      </c>
      <c r="I380" t="s">
        <v>54</v>
      </c>
      <c r="J380">
        <v>502</v>
      </c>
      <c r="K380">
        <v>1</v>
      </c>
      <c r="L380" t="s">
        <v>41</v>
      </c>
      <c r="M380">
        <v>67</v>
      </c>
      <c r="N380">
        <v>4</v>
      </c>
      <c r="O380">
        <v>2</v>
      </c>
      <c r="P380" t="s">
        <v>36</v>
      </c>
      <c r="Q380">
        <v>4</v>
      </c>
      <c r="R380" t="s">
        <v>37</v>
      </c>
      <c r="S380">
        <v>5304</v>
      </c>
      <c r="T380">
        <v>4652</v>
      </c>
      <c r="U380">
        <v>8</v>
      </c>
      <c r="V380" t="s">
        <v>31</v>
      </c>
      <c r="W380">
        <v>13</v>
      </c>
      <c r="X380">
        <v>3</v>
      </c>
      <c r="Y380">
        <v>2</v>
      </c>
      <c r="Z380">
        <v>0</v>
      </c>
      <c r="AA380">
        <v>9</v>
      </c>
      <c r="AB380" t="str">
        <f>IF(Table2[[#This Row],[TotalWorkingYears]]&lt;=5,"Early (0-5)",IF(Table2[[#This Row],[TotalWorkingYears]]&lt;=15,"Mid (6-15)","Senior (16+)"))</f>
        <v>Mid (6-15)</v>
      </c>
      <c r="AC380">
        <v>3</v>
      </c>
      <c r="AD380">
        <v>2</v>
      </c>
      <c r="AE380" t="s">
        <v>64</v>
      </c>
      <c r="AF380">
        <v>2</v>
      </c>
      <c r="AG380">
        <v>0</v>
      </c>
      <c r="AH380">
        <v>4</v>
      </c>
    </row>
    <row r="381" spans="1:34" x14ac:dyDescent="0.3">
      <c r="A381" t="s">
        <v>58</v>
      </c>
      <c r="B381">
        <v>0</v>
      </c>
      <c r="C381" t="s">
        <v>32</v>
      </c>
      <c r="D381">
        <v>1311</v>
      </c>
      <c r="E381" t="s">
        <v>40</v>
      </c>
      <c r="F381">
        <v>2</v>
      </c>
      <c r="G381" t="str">
        <f>IF(Table2[[#This Row],[DistanceFromHome]]&lt;=5, "short", IF(Table2[[#This Row],[DistanceFromHome]]&lt;=15, "medium", "long"))</f>
        <v>short</v>
      </c>
      <c r="H381">
        <v>3</v>
      </c>
      <c r="I381" t="s">
        <v>34</v>
      </c>
      <c r="J381">
        <v>505</v>
      </c>
      <c r="K381">
        <v>3</v>
      </c>
      <c r="L381" t="s">
        <v>35</v>
      </c>
      <c r="M381">
        <v>97</v>
      </c>
      <c r="N381">
        <v>3</v>
      </c>
      <c r="O381">
        <v>4</v>
      </c>
      <c r="P381" t="s">
        <v>51</v>
      </c>
      <c r="Q381">
        <v>4</v>
      </c>
      <c r="R381" t="s">
        <v>37</v>
      </c>
      <c r="S381">
        <v>16659</v>
      </c>
      <c r="T381">
        <v>23258</v>
      </c>
      <c r="U381">
        <v>2</v>
      </c>
      <c r="V381" t="s">
        <v>31</v>
      </c>
      <c r="W381">
        <v>13</v>
      </c>
      <c r="X381">
        <v>3</v>
      </c>
      <c r="Y381">
        <v>3</v>
      </c>
      <c r="Z381">
        <v>0</v>
      </c>
      <c r="AA381">
        <v>30</v>
      </c>
      <c r="AB381" t="str">
        <f>IF(Table2[[#This Row],[TotalWorkingYears]]&lt;=5,"Early (0-5)",IF(Table2[[#This Row],[TotalWorkingYears]]&lt;=15,"Mid (6-15)","Senior (16+)"))</f>
        <v>Senior (16+)</v>
      </c>
      <c r="AC381">
        <v>2</v>
      </c>
      <c r="AD381">
        <v>3</v>
      </c>
      <c r="AE381" t="s">
        <v>64</v>
      </c>
      <c r="AF381">
        <v>4</v>
      </c>
      <c r="AG381">
        <v>1</v>
      </c>
      <c r="AH381">
        <v>2</v>
      </c>
    </row>
    <row r="382" spans="1:34" x14ac:dyDescent="0.3">
      <c r="A382" t="s">
        <v>60</v>
      </c>
      <c r="B382">
        <v>0</v>
      </c>
      <c r="C382" t="s">
        <v>32</v>
      </c>
      <c r="D382">
        <v>1371</v>
      </c>
      <c r="E382" t="s">
        <v>33</v>
      </c>
      <c r="F382">
        <v>10</v>
      </c>
      <c r="G382" t="str">
        <f>IF(Table2[[#This Row],[DistanceFromHome]]&lt;=5, "short", IF(Table2[[#This Row],[DistanceFromHome]]&lt;=15, "medium", "long"))</f>
        <v>medium</v>
      </c>
      <c r="H382">
        <v>4</v>
      </c>
      <c r="I382" t="s">
        <v>54</v>
      </c>
      <c r="J382">
        <v>507</v>
      </c>
      <c r="K382">
        <v>4</v>
      </c>
      <c r="L382" t="s">
        <v>35</v>
      </c>
      <c r="M382">
        <v>77</v>
      </c>
      <c r="N382">
        <v>3</v>
      </c>
      <c r="O382">
        <v>2</v>
      </c>
      <c r="P382" t="s">
        <v>36</v>
      </c>
      <c r="Q382">
        <v>3</v>
      </c>
      <c r="R382" t="s">
        <v>47</v>
      </c>
      <c r="S382">
        <v>4260</v>
      </c>
      <c r="T382">
        <v>5915</v>
      </c>
      <c r="U382">
        <v>1</v>
      </c>
      <c r="V382" t="s">
        <v>31</v>
      </c>
      <c r="W382">
        <v>12</v>
      </c>
      <c r="X382">
        <v>3</v>
      </c>
      <c r="Y382">
        <v>4</v>
      </c>
      <c r="Z382">
        <v>1</v>
      </c>
      <c r="AA382">
        <v>5</v>
      </c>
      <c r="AB382" t="str">
        <f>IF(Table2[[#This Row],[TotalWorkingYears]]&lt;=5,"Early (0-5)",IF(Table2[[#This Row],[TotalWorkingYears]]&lt;=15,"Mid (6-15)","Senior (16+)"))</f>
        <v>Early (0-5)</v>
      </c>
      <c r="AC382">
        <v>2</v>
      </c>
      <c r="AD382">
        <v>4</v>
      </c>
      <c r="AE382" t="s">
        <v>64</v>
      </c>
      <c r="AF382">
        <v>2</v>
      </c>
      <c r="AG382">
        <v>0</v>
      </c>
      <c r="AH382">
        <v>3</v>
      </c>
    </row>
    <row r="383" spans="1:34" x14ac:dyDescent="0.3">
      <c r="A383" t="s">
        <v>59</v>
      </c>
      <c r="B383">
        <v>0</v>
      </c>
      <c r="C383" t="s">
        <v>32</v>
      </c>
      <c r="D383">
        <v>202</v>
      </c>
      <c r="E383" t="s">
        <v>33</v>
      </c>
      <c r="F383">
        <v>2</v>
      </c>
      <c r="G383" t="str">
        <f>IF(Table2[[#This Row],[DistanceFromHome]]&lt;=5, "short", IF(Table2[[#This Row],[DistanceFromHome]]&lt;=15, "medium", "long"))</f>
        <v>short</v>
      </c>
      <c r="H383">
        <v>1</v>
      </c>
      <c r="I383" t="s">
        <v>55</v>
      </c>
      <c r="J383">
        <v>508</v>
      </c>
      <c r="K383">
        <v>3</v>
      </c>
      <c r="L383" t="s">
        <v>41</v>
      </c>
      <c r="M383">
        <v>72</v>
      </c>
      <c r="N383">
        <v>3</v>
      </c>
      <c r="O383">
        <v>1</v>
      </c>
      <c r="P383" t="s">
        <v>52</v>
      </c>
      <c r="Q383">
        <v>2</v>
      </c>
      <c r="R383" t="s">
        <v>43</v>
      </c>
      <c r="S383">
        <v>2476</v>
      </c>
      <c r="T383">
        <v>17434</v>
      </c>
      <c r="U383">
        <v>1</v>
      </c>
      <c r="V383" t="s">
        <v>38</v>
      </c>
      <c r="W383">
        <v>18</v>
      </c>
      <c r="X383">
        <v>3</v>
      </c>
      <c r="Y383">
        <v>1</v>
      </c>
      <c r="Z383">
        <v>1</v>
      </c>
      <c r="AA383">
        <v>1</v>
      </c>
      <c r="AB383" t="str">
        <f>IF(Table2[[#This Row],[TotalWorkingYears]]&lt;=5,"Early (0-5)",IF(Table2[[#This Row],[TotalWorkingYears]]&lt;=15,"Mid (6-15)","Senior (16+)"))</f>
        <v>Early (0-5)</v>
      </c>
      <c r="AC383">
        <v>3</v>
      </c>
      <c r="AD383">
        <v>3</v>
      </c>
      <c r="AE383" t="s">
        <v>63</v>
      </c>
      <c r="AF383">
        <v>0</v>
      </c>
      <c r="AG383">
        <v>0</v>
      </c>
      <c r="AH383">
        <v>0</v>
      </c>
    </row>
    <row r="384" spans="1:34" x14ac:dyDescent="0.3">
      <c r="A384" t="s">
        <v>59</v>
      </c>
      <c r="B384">
        <v>1</v>
      </c>
      <c r="C384" t="s">
        <v>39</v>
      </c>
      <c r="D384">
        <v>575</v>
      </c>
      <c r="E384" t="s">
        <v>40</v>
      </c>
      <c r="F384">
        <v>3</v>
      </c>
      <c r="G384" t="str">
        <f>IF(Table2[[#This Row],[DistanceFromHome]]&lt;=5, "short", IF(Table2[[#This Row],[DistanceFromHome]]&lt;=15, "medium", "long"))</f>
        <v>short</v>
      </c>
      <c r="H384">
        <v>1</v>
      </c>
      <c r="I384" t="s">
        <v>55</v>
      </c>
      <c r="J384">
        <v>510</v>
      </c>
      <c r="K384">
        <v>3</v>
      </c>
      <c r="L384" t="s">
        <v>41</v>
      </c>
      <c r="M384">
        <v>73</v>
      </c>
      <c r="N384">
        <v>3</v>
      </c>
      <c r="O384">
        <v>1</v>
      </c>
      <c r="P384" t="s">
        <v>42</v>
      </c>
      <c r="Q384">
        <v>1</v>
      </c>
      <c r="R384" t="s">
        <v>37</v>
      </c>
      <c r="S384">
        <v>3102</v>
      </c>
      <c r="T384">
        <v>6582</v>
      </c>
      <c r="U384">
        <v>0</v>
      </c>
      <c r="V384" t="s">
        <v>38</v>
      </c>
      <c r="W384">
        <v>22</v>
      </c>
      <c r="X384">
        <v>4</v>
      </c>
      <c r="Y384">
        <v>3</v>
      </c>
      <c r="Z384">
        <v>0</v>
      </c>
      <c r="AA384">
        <v>7</v>
      </c>
      <c r="AB384" t="str">
        <f>IF(Table2[[#This Row],[TotalWorkingYears]]&lt;=5,"Early (0-5)",IF(Table2[[#This Row],[TotalWorkingYears]]&lt;=15,"Mid (6-15)","Senior (16+)"))</f>
        <v>Mid (6-15)</v>
      </c>
      <c r="AC384">
        <v>2</v>
      </c>
      <c r="AD384">
        <v>3</v>
      </c>
      <c r="AE384" t="s">
        <v>62</v>
      </c>
      <c r="AF384">
        <v>4</v>
      </c>
      <c r="AG384">
        <v>0</v>
      </c>
      <c r="AH384">
        <v>4</v>
      </c>
    </row>
    <row r="385" spans="1:34" x14ac:dyDescent="0.3">
      <c r="A385" t="s">
        <v>60</v>
      </c>
      <c r="B385">
        <v>0</v>
      </c>
      <c r="C385" t="s">
        <v>32</v>
      </c>
      <c r="D385">
        <v>253</v>
      </c>
      <c r="E385" t="s">
        <v>40</v>
      </c>
      <c r="F385">
        <v>11</v>
      </c>
      <c r="G385" t="str">
        <f>IF(Table2[[#This Row],[DistanceFromHome]]&lt;=5, "short", IF(Table2[[#This Row],[DistanceFromHome]]&lt;=15, "medium", "long"))</f>
        <v>medium</v>
      </c>
      <c r="H385">
        <v>3</v>
      </c>
      <c r="I385" t="s">
        <v>46</v>
      </c>
      <c r="J385">
        <v>511</v>
      </c>
      <c r="K385">
        <v>1</v>
      </c>
      <c r="L385" t="s">
        <v>35</v>
      </c>
      <c r="M385">
        <v>43</v>
      </c>
      <c r="N385">
        <v>3</v>
      </c>
      <c r="O385">
        <v>1</v>
      </c>
      <c r="P385" t="s">
        <v>42</v>
      </c>
      <c r="Q385">
        <v>2</v>
      </c>
      <c r="R385" t="s">
        <v>43</v>
      </c>
      <c r="S385">
        <v>2244</v>
      </c>
      <c r="T385">
        <v>24440</v>
      </c>
      <c r="U385">
        <v>1</v>
      </c>
      <c r="V385" t="s">
        <v>38</v>
      </c>
      <c r="W385">
        <v>13</v>
      </c>
      <c r="X385">
        <v>3</v>
      </c>
      <c r="Y385">
        <v>4</v>
      </c>
      <c r="Z385">
        <v>1</v>
      </c>
      <c r="AA385">
        <v>2</v>
      </c>
      <c r="AB385" t="str">
        <f>IF(Table2[[#This Row],[TotalWorkingYears]]&lt;=5,"Early (0-5)",IF(Table2[[#This Row],[TotalWorkingYears]]&lt;=15,"Mid (6-15)","Senior (16+)"))</f>
        <v>Early (0-5)</v>
      </c>
      <c r="AC385">
        <v>1</v>
      </c>
      <c r="AD385">
        <v>3</v>
      </c>
      <c r="AE385" t="s">
        <v>63</v>
      </c>
      <c r="AF385">
        <v>1</v>
      </c>
      <c r="AG385">
        <v>1</v>
      </c>
      <c r="AH385">
        <v>2</v>
      </c>
    </row>
    <row r="386" spans="1:34" x14ac:dyDescent="0.3">
      <c r="A386" t="s">
        <v>57</v>
      </c>
      <c r="B386">
        <v>0</v>
      </c>
      <c r="C386" t="s">
        <v>32</v>
      </c>
      <c r="D386">
        <v>164</v>
      </c>
      <c r="E386" t="s">
        <v>33</v>
      </c>
      <c r="F386">
        <v>2</v>
      </c>
      <c r="G386" t="str">
        <f>IF(Table2[[#This Row],[DistanceFromHome]]&lt;=5, "short", IF(Table2[[#This Row],[DistanceFromHome]]&lt;=15, "medium", "long"))</f>
        <v>short</v>
      </c>
      <c r="H386">
        <v>2</v>
      </c>
      <c r="I386" t="s">
        <v>46</v>
      </c>
      <c r="J386">
        <v>513</v>
      </c>
      <c r="K386">
        <v>2</v>
      </c>
      <c r="L386" t="s">
        <v>41</v>
      </c>
      <c r="M386">
        <v>61</v>
      </c>
      <c r="N386">
        <v>2</v>
      </c>
      <c r="O386">
        <v>3</v>
      </c>
      <c r="P386" t="s">
        <v>36</v>
      </c>
      <c r="Q386">
        <v>3</v>
      </c>
      <c r="R386" t="s">
        <v>43</v>
      </c>
      <c r="S386">
        <v>7596</v>
      </c>
      <c r="T386">
        <v>3809</v>
      </c>
      <c r="U386">
        <v>1</v>
      </c>
      <c r="V386" t="s">
        <v>38</v>
      </c>
      <c r="W386">
        <v>13</v>
      </c>
      <c r="X386">
        <v>3</v>
      </c>
      <c r="Y386">
        <v>2</v>
      </c>
      <c r="Z386">
        <v>2</v>
      </c>
      <c r="AA386">
        <v>10</v>
      </c>
      <c r="AB386" t="str">
        <f>IF(Table2[[#This Row],[TotalWorkingYears]]&lt;=5,"Early (0-5)",IF(Table2[[#This Row],[TotalWorkingYears]]&lt;=15,"Mid (6-15)","Senior (16+)"))</f>
        <v>Mid (6-15)</v>
      </c>
      <c r="AC386">
        <v>2</v>
      </c>
      <c r="AD386">
        <v>3</v>
      </c>
      <c r="AE386" t="s">
        <v>62</v>
      </c>
      <c r="AF386">
        <v>9</v>
      </c>
      <c r="AG386">
        <v>9</v>
      </c>
      <c r="AH386">
        <v>0</v>
      </c>
    </row>
    <row r="387" spans="1:34" x14ac:dyDescent="0.3">
      <c r="A387" t="s">
        <v>59</v>
      </c>
      <c r="B387">
        <v>1</v>
      </c>
      <c r="C387" t="s">
        <v>39</v>
      </c>
      <c r="D387">
        <v>464</v>
      </c>
      <c r="E387" t="s">
        <v>40</v>
      </c>
      <c r="F387">
        <v>4</v>
      </c>
      <c r="G387" t="str">
        <f>IF(Table2[[#This Row],[DistanceFromHome]]&lt;=5, "short", IF(Table2[[#This Row],[DistanceFromHome]]&lt;=15, "medium", "long"))</f>
        <v>short</v>
      </c>
      <c r="H387">
        <v>3</v>
      </c>
      <c r="I387" t="s">
        <v>55</v>
      </c>
      <c r="J387">
        <v>514</v>
      </c>
      <c r="K387">
        <v>3</v>
      </c>
      <c r="L387" t="s">
        <v>41</v>
      </c>
      <c r="M387">
        <v>40</v>
      </c>
      <c r="N387">
        <v>3</v>
      </c>
      <c r="O387">
        <v>1</v>
      </c>
      <c r="P387" t="s">
        <v>42</v>
      </c>
      <c r="Q387">
        <v>4</v>
      </c>
      <c r="R387" t="s">
        <v>37</v>
      </c>
      <c r="S387">
        <v>2285</v>
      </c>
      <c r="T387">
        <v>3427</v>
      </c>
      <c r="U387">
        <v>9</v>
      </c>
      <c r="V387" t="s">
        <v>31</v>
      </c>
      <c r="W387">
        <v>23</v>
      </c>
      <c r="X387">
        <v>4</v>
      </c>
      <c r="Y387">
        <v>3</v>
      </c>
      <c r="Z387">
        <v>0</v>
      </c>
      <c r="AA387">
        <v>3</v>
      </c>
      <c r="AB387" t="str">
        <f>IF(Table2[[#This Row],[TotalWorkingYears]]&lt;=5,"Early (0-5)",IF(Table2[[#This Row],[TotalWorkingYears]]&lt;=15,"Mid (6-15)","Senior (16+)"))</f>
        <v>Early (0-5)</v>
      </c>
      <c r="AC387">
        <v>4</v>
      </c>
      <c r="AD387">
        <v>3</v>
      </c>
      <c r="AE387" t="s">
        <v>63</v>
      </c>
      <c r="AF387">
        <v>0</v>
      </c>
      <c r="AG387">
        <v>0</v>
      </c>
      <c r="AH387">
        <v>0</v>
      </c>
    </row>
    <row r="388" spans="1:34" x14ac:dyDescent="0.3">
      <c r="A388" t="s">
        <v>57</v>
      </c>
      <c r="B388">
        <v>0</v>
      </c>
      <c r="C388" t="s">
        <v>32</v>
      </c>
      <c r="D388">
        <v>1107</v>
      </c>
      <c r="E388" t="s">
        <v>40</v>
      </c>
      <c r="F388">
        <v>14</v>
      </c>
      <c r="G388" t="str">
        <f>IF(Table2[[#This Row],[DistanceFromHome]]&lt;=5, "short", IF(Table2[[#This Row],[DistanceFromHome]]&lt;=15, "medium", "long"))</f>
        <v>medium</v>
      </c>
      <c r="H388">
        <v>3</v>
      </c>
      <c r="I388" t="s">
        <v>34</v>
      </c>
      <c r="J388">
        <v>515</v>
      </c>
      <c r="K388">
        <v>4</v>
      </c>
      <c r="L388" t="s">
        <v>35</v>
      </c>
      <c r="M388">
        <v>95</v>
      </c>
      <c r="N388">
        <v>3</v>
      </c>
      <c r="O388">
        <v>1</v>
      </c>
      <c r="P388" t="s">
        <v>45</v>
      </c>
      <c r="Q388">
        <v>1</v>
      </c>
      <c r="R388" t="s">
        <v>47</v>
      </c>
      <c r="S388">
        <v>3034</v>
      </c>
      <c r="T388">
        <v>26914</v>
      </c>
      <c r="U388">
        <v>1</v>
      </c>
      <c r="V388" t="s">
        <v>38</v>
      </c>
      <c r="W388">
        <v>12</v>
      </c>
      <c r="X388">
        <v>3</v>
      </c>
      <c r="Y388">
        <v>3</v>
      </c>
      <c r="Z388">
        <v>1</v>
      </c>
      <c r="AA388">
        <v>18</v>
      </c>
      <c r="AB388" t="str">
        <f>IF(Table2[[#This Row],[TotalWorkingYears]]&lt;=5,"Early (0-5)",IF(Table2[[#This Row],[TotalWorkingYears]]&lt;=15,"Mid (6-15)","Senior (16+)"))</f>
        <v>Senior (16+)</v>
      </c>
      <c r="AC388">
        <v>2</v>
      </c>
      <c r="AD388">
        <v>2</v>
      </c>
      <c r="AE388" t="s">
        <v>65</v>
      </c>
      <c r="AF388">
        <v>7</v>
      </c>
      <c r="AG388">
        <v>12</v>
      </c>
      <c r="AH388">
        <v>17</v>
      </c>
    </row>
    <row r="389" spans="1:34" x14ac:dyDescent="0.3">
      <c r="A389" t="s">
        <v>57</v>
      </c>
      <c r="B389">
        <v>0</v>
      </c>
      <c r="C389" t="s">
        <v>32</v>
      </c>
      <c r="D389">
        <v>759</v>
      </c>
      <c r="E389" t="s">
        <v>33</v>
      </c>
      <c r="F389">
        <v>2</v>
      </c>
      <c r="G389" t="str">
        <f>IF(Table2[[#This Row],[DistanceFromHome]]&lt;=5, "short", IF(Table2[[#This Row],[DistanceFromHome]]&lt;=15, "medium", "long"))</f>
        <v>short</v>
      </c>
      <c r="H389">
        <v>2</v>
      </c>
      <c r="I389" t="s">
        <v>54</v>
      </c>
      <c r="J389">
        <v>516</v>
      </c>
      <c r="K389">
        <v>4</v>
      </c>
      <c r="L389" t="s">
        <v>35</v>
      </c>
      <c r="M389">
        <v>46</v>
      </c>
      <c r="N389">
        <v>3</v>
      </c>
      <c r="O389">
        <v>2</v>
      </c>
      <c r="P389" t="s">
        <v>36</v>
      </c>
      <c r="Q389">
        <v>2</v>
      </c>
      <c r="R389" t="s">
        <v>47</v>
      </c>
      <c r="S389">
        <v>5715</v>
      </c>
      <c r="T389">
        <v>22553</v>
      </c>
      <c r="U389">
        <v>7</v>
      </c>
      <c r="V389" t="s">
        <v>38</v>
      </c>
      <c r="W389">
        <v>12</v>
      </c>
      <c r="X389">
        <v>3</v>
      </c>
      <c r="Y389">
        <v>3</v>
      </c>
      <c r="Z389">
        <v>2</v>
      </c>
      <c r="AA389">
        <v>8</v>
      </c>
      <c r="AB389" t="str">
        <f>IF(Table2[[#This Row],[TotalWorkingYears]]&lt;=5,"Early (0-5)",IF(Table2[[#This Row],[TotalWorkingYears]]&lt;=15,"Mid (6-15)","Senior (16+)"))</f>
        <v>Mid (6-15)</v>
      </c>
      <c r="AC389">
        <v>5</v>
      </c>
      <c r="AD389">
        <v>3</v>
      </c>
      <c r="AE389" t="s">
        <v>64</v>
      </c>
      <c r="AF389">
        <v>4</v>
      </c>
      <c r="AG389">
        <v>1</v>
      </c>
      <c r="AH389">
        <v>3</v>
      </c>
    </row>
    <row r="390" spans="1:34" x14ac:dyDescent="0.3">
      <c r="A390" t="s">
        <v>57</v>
      </c>
      <c r="B390">
        <v>0</v>
      </c>
      <c r="C390" t="s">
        <v>32</v>
      </c>
      <c r="D390">
        <v>201</v>
      </c>
      <c r="E390" t="s">
        <v>40</v>
      </c>
      <c r="F390">
        <v>1</v>
      </c>
      <c r="G390" t="str">
        <f>IF(Table2[[#This Row],[DistanceFromHome]]&lt;=5, "short", IF(Table2[[#This Row],[DistanceFromHome]]&lt;=15, "medium", "long"))</f>
        <v>short</v>
      </c>
      <c r="H390">
        <v>4</v>
      </c>
      <c r="I390" t="s">
        <v>34</v>
      </c>
      <c r="J390">
        <v>517</v>
      </c>
      <c r="K390">
        <v>2</v>
      </c>
      <c r="L390" t="s">
        <v>35</v>
      </c>
      <c r="M390">
        <v>95</v>
      </c>
      <c r="N390">
        <v>3</v>
      </c>
      <c r="O390">
        <v>1</v>
      </c>
      <c r="P390" t="s">
        <v>45</v>
      </c>
      <c r="Q390">
        <v>1</v>
      </c>
      <c r="R390" t="s">
        <v>47</v>
      </c>
      <c r="S390">
        <v>2576</v>
      </c>
      <c r="T390">
        <v>20490</v>
      </c>
      <c r="U390">
        <v>3</v>
      </c>
      <c r="V390" t="s">
        <v>38</v>
      </c>
      <c r="W390">
        <v>16</v>
      </c>
      <c r="X390">
        <v>3</v>
      </c>
      <c r="Y390">
        <v>2</v>
      </c>
      <c r="Z390">
        <v>1</v>
      </c>
      <c r="AA390">
        <v>8</v>
      </c>
      <c r="AB390" t="str">
        <f>IF(Table2[[#This Row],[TotalWorkingYears]]&lt;=5,"Early (0-5)",IF(Table2[[#This Row],[TotalWorkingYears]]&lt;=15,"Mid (6-15)","Senior (16+)"))</f>
        <v>Mid (6-15)</v>
      </c>
      <c r="AC390">
        <v>5</v>
      </c>
      <c r="AD390">
        <v>3</v>
      </c>
      <c r="AE390" t="s">
        <v>64</v>
      </c>
      <c r="AF390">
        <v>2</v>
      </c>
      <c r="AG390">
        <v>1</v>
      </c>
      <c r="AH390">
        <v>2</v>
      </c>
    </row>
    <row r="391" spans="1:34" x14ac:dyDescent="0.3">
      <c r="A391" t="s">
        <v>57</v>
      </c>
      <c r="B391">
        <v>0</v>
      </c>
      <c r="C391" t="s">
        <v>32</v>
      </c>
      <c r="D391">
        <v>1305</v>
      </c>
      <c r="E391" t="s">
        <v>40</v>
      </c>
      <c r="F391">
        <v>10</v>
      </c>
      <c r="G391" t="str">
        <f>IF(Table2[[#This Row],[DistanceFromHome]]&lt;=5, "short", IF(Table2[[#This Row],[DistanceFromHome]]&lt;=15, "medium", "long"))</f>
        <v>medium</v>
      </c>
      <c r="H391">
        <v>4</v>
      </c>
      <c r="I391" t="s">
        <v>34</v>
      </c>
      <c r="J391">
        <v>518</v>
      </c>
      <c r="K391">
        <v>3</v>
      </c>
      <c r="L391" t="s">
        <v>41</v>
      </c>
      <c r="M391">
        <v>49</v>
      </c>
      <c r="N391">
        <v>3</v>
      </c>
      <c r="O391">
        <v>2</v>
      </c>
      <c r="P391" t="s">
        <v>48</v>
      </c>
      <c r="Q391">
        <v>2</v>
      </c>
      <c r="R391" t="s">
        <v>37</v>
      </c>
      <c r="S391">
        <v>4197</v>
      </c>
      <c r="T391">
        <v>21123</v>
      </c>
      <c r="U391">
        <v>2</v>
      </c>
      <c r="V391" t="s">
        <v>31</v>
      </c>
      <c r="W391">
        <v>12</v>
      </c>
      <c r="X391">
        <v>3</v>
      </c>
      <c r="Y391">
        <v>4</v>
      </c>
      <c r="Z391">
        <v>0</v>
      </c>
      <c r="AA391">
        <v>18</v>
      </c>
      <c r="AB391" t="str">
        <f>IF(Table2[[#This Row],[TotalWorkingYears]]&lt;=5,"Early (0-5)",IF(Table2[[#This Row],[TotalWorkingYears]]&lt;=15,"Mid (6-15)","Senior (16+)"))</f>
        <v>Senior (16+)</v>
      </c>
      <c r="AC391">
        <v>2</v>
      </c>
      <c r="AD391">
        <v>2</v>
      </c>
      <c r="AE391" t="s">
        <v>63</v>
      </c>
      <c r="AF391">
        <v>0</v>
      </c>
      <c r="AG391">
        <v>0</v>
      </c>
      <c r="AH391">
        <v>1</v>
      </c>
    </row>
    <row r="392" spans="1:34" x14ac:dyDescent="0.3">
      <c r="A392" t="s">
        <v>57</v>
      </c>
      <c r="B392">
        <v>0</v>
      </c>
      <c r="C392" t="s">
        <v>32</v>
      </c>
      <c r="D392">
        <v>982</v>
      </c>
      <c r="E392" t="s">
        <v>40</v>
      </c>
      <c r="F392">
        <v>12</v>
      </c>
      <c r="G392" t="str">
        <f>IF(Table2[[#This Row],[DistanceFromHome]]&lt;=5, "short", IF(Table2[[#This Row],[DistanceFromHome]]&lt;=15, "medium", "long"))</f>
        <v>medium</v>
      </c>
      <c r="H392">
        <v>3</v>
      </c>
      <c r="I392" t="s">
        <v>34</v>
      </c>
      <c r="J392">
        <v>520</v>
      </c>
      <c r="K392">
        <v>1</v>
      </c>
      <c r="L392" t="s">
        <v>41</v>
      </c>
      <c r="M392">
        <v>59</v>
      </c>
      <c r="N392">
        <v>2</v>
      </c>
      <c r="O392">
        <v>4</v>
      </c>
      <c r="P392" t="s">
        <v>53</v>
      </c>
      <c r="Q392">
        <v>2</v>
      </c>
      <c r="R392" t="s">
        <v>47</v>
      </c>
      <c r="S392">
        <v>14336</v>
      </c>
      <c r="T392">
        <v>4345</v>
      </c>
      <c r="U392">
        <v>1</v>
      </c>
      <c r="V392" t="s">
        <v>38</v>
      </c>
      <c r="W392">
        <v>11</v>
      </c>
      <c r="X392">
        <v>3</v>
      </c>
      <c r="Y392">
        <v>3</v>
      </c>
      <c r="Z392">
        <v>1</v>
      </c>
      <c r="AA392">
        <v>25</v>
      </c>
      <c r="AB392" t="str">
        <f>IF(Table2[[#This Row],[TotalWorkingYears]]&lt;=5,"Early (0-5)",IF(Table2[[#This Row],[TotalWorkingYears]]&lt;=15,"Mid (6-15)","Senior (16+)"))</f>
        <v>Senior (16+)</v>
      </c>
      <c r="AC392">
        <v>3</v>
      </c>
      <c r="AD392">
        <v>3</v>
      </c>
      <c r="AE392" t="s">
        <v>65</v>
      </c>
      <c r="AF392">
        <v>10</v>
      </c>
      <c r="AG392">
        <v>3</v>
      </c>
      <c r="AH392">
        <v>9</v>
      </c>
    </row>
    <row r="393" spans="1:34" x14ac:dyDescent="0.3">
      <c r="A393" t="s">
        <v>57</v>
      </c>
      <c r="B393">
        <v>0</v>
      </c>
      <c r="C393" t="s">
        <v>32</v>
      </c>
      <c r="D393">
        <v>555</v>
      </c>
      <c r="E393" t="s">
        <v>40</v>
      </c>
      <c r="F393">
        <v>2</v>
      </c>
      <c r="G393" t="str">
        <f>IF(Table2[[#This Row],[DistanceFromHome]]&lt;=5, "short", IF(Table2[[#This Row],[DistanceFromHome]]&lt;=15, "medium", "long"))</f>
        <v>short</v>
      </c>
      <c r="H393">
        <v>3</v>
      </c>
      <c r="I393" t="s">
        <v>46</v>
      </c>
      <c r="J393">
        <v>521</v>
      </c>
      <c r="K393">
        <v>2</v>
      </c>
      <c r="L393" t="s">
        <v>35</v>
      </c>
      <c r="M393">
        <v>78</v>
      </c>
      <c r="N393">
        <v>2</v>
      </c>
      <c r="O393">
        <v>2</v>
      </c>
      <c r="P393" t="s">
        <v>45</v>
      </c>
      <c r="Q393">
        <v>3</v>
      </c>
      <c r="R393" t="s">
        <v>43</v>
      </c>
      <c r="S393">
        <v>3448</v>
      </c>
      <c r="T393">
        <v>13436</v>
      </c>
      <c r="U393">
        <v>6</v>
      </c>
      <c r="V393" t="s">
        <v>38</v>
      </c>
      <c r="W393">
        <v>22</v>
      </c>
      <c r="X393">
        <v>4</v>
      </c>
      <c r="Y393">
        <v>2</v>
      </c>
      <c r="Z393">
        <v>1</v>
      </c>
      <c r="AA393">
        <v>20</v>
      </c>
      <c r="AB393" t="str">
        <f>IF(Table2[[#This Row],[TotalWorkingYears]]&lt;=5,"Early (0-5)",IF(Table2[[#This Row],[TotalWorkingYears]]&lt;=15,"Mid (6-15)","Senior (16+)"))</f>
        <v>Senior (16+)</v>
      </c>
      <c r="AC393">
        <v>3</v>
      </c>
      <c r="AD393">
        <v>3</v>
      </c>
      <c r="AE393" t="s">
        <v>63</v>
      </c>
      <c r="AF393">
        <v>0</v>
      </c>
      <c r="AG393">
        <v>0</v>
      </c>
      <c r="AH393">
        <v>0</v>
      </c>
    </row>
    <row r="394" spans="1:34" x14ac:dyDescent="0.3">
      <c r="A394" t="s">
        <v>58</v>
      </c>
      <c r="B394">
        <v>0</v>
      </c>
      <c r="C394" t="s">
        <v>32</v>
      </c>
      <c r="D394">
        <v>821</v>
      </c>
      <c r="E394" t="s">
        <v>40</v>
      </c>
      <c r="F394">
        <v>5</v>
      </c>
      <c r="G394" t="str">
        <f>IF(Table2[[#This Row],[DistanceFromHome]]&lt;=5, "short", IF(Table2[[#This Row],[DistanceFromHome]]&lt;=15, "medium", "long"))</f>
        <v>short</v>
      </c>
      <c r="H394">
        <v>2</v>
      </c>
      <c r="I394" t="s">
        <v>46</v>
      </c>
      <c r="J394">
        <v>522</v>
      </c>
      <c r="K394">
        <v>1</v>
      </c>
      <c r="L394" t="s">
        <v>41</v>
      </c>
      <c r="M394">
        <v>86</v>
      </c>
      <c r="N394">
        <v>3</v>
      </c>
      <c r="O394">
        <v>5</v>
      </c>
      <c r="P394" t="s">
        <v>53</v>
      </c>
      <c r="Q394">
        <v>1</v>
      </c>
      <c r="R394" t="s">
        <v>43</v>
      </c>
      <c r="S394">
        <v>19406</v>
      </c>
      <c r="T394">
        <v>8509</v>
      </c>
      <c r="U394">
        <v>4</v>
      </c>
      <c r="V394" t="s">
        <v>38</v>
      </c>
      <c r="W394">
        <v>11</v>
      </c>
      <c r="X394">
        <v>3</v>
      </c>
      <c r="Y394">
        <v>3</v>
      </c>
      <c r="Z394">
        <v>1</v>
      </c>
      <c r="AA394">
        <v>24</v>
      </c>
      <c r="AB394" t="str">
        <f>IF(Table2[[#This Row],[TotalWorkingYears]]&lt;=5,"Early (0-5)",IF(Table2[[#This Row],[TotalWorkingYears]]&lt;=15,"Mid (6-15)","Senior (16+)"))</f>
        <v>Senior (16+)</v>
      </c>
      <c r="AC394">
        <v>4</v>
      </c>
      <c r="AD394">
        <v>2</v>
      </c>
      <c r="AE394" t="s">
        <v>64</v>
      </c>
      <c r="AF394">
        <v>2</v>
      </c>
      <c r="AG394">
        <v>1</v>
      </c>
      <c r="AH394">
        <v>2</v>
      </c>
    </row>
    <row r="395" spans="1:34" x14ac:dyDescent="0.3">
      <c r="A395" t="s">
        <v>59</v>
      </c>
      <c r="B395">
        <v>0</v>
      </c>
      <c r="C395" t="s">
        <v>50</v>
      </c>
      <c r="D395">
        <v>1381</v>
      </c>
      <c r="E395" t="s">
        <v>33</v>
      </c>
      <c r="F395">
        <v>4</v>
      </c>
      <c r="G395" t="str">
        <f>IF(Table2[[#This Row],[DistanceFromHome]]&lt;=5, "short", IF(Table2[[#This Row],[DistanceFromHome]]&lt;=15, "medium", "long"))</f>
        <v>short</v>
      </c>
      <c r="H395">
        <v>4</v>
      </c>
      <c r="I395" t="s">
        <v>54</v>
      </c>
      <c r="J395">
        <v>523</v>
      </c>
      <c r="K395">
        <v>3</v>
      </c>
      <c r="L395" t="s">
        <v>35</v>
      </c>
      <c r="M395">
        <v>72</v>
      </c>
      <c r="N395">
        <v>3</v>
      </c>
      <c r="O395">
        <v>2</v>
      </c>
      <c r="P395" t="s">
        <v>36</v>
      </c>
      <c r="Q395">
        <v>3</v>
      </c>
      <c r="R395" t="s">
        <v>43</v>
      </c>
      <c r="S395">
        <v>6538</v>
      </c>
      <c r="T395">
        <v>12740</v>
      </c>
      <c r="U395">
        <v>9</v>
      </c>
      <c r="V395" t="s">
        <v>38</v>
      </c>
      <c r="W395">
        <v>15</v>
      </c>
      <c r="X395">
        <v>3</v>
      </c>
      <c r="Y395">
        <v>1</v>
      </c>
      <c r="Z395">
        <v>1</v>
      </c>
      <c r="AA395">
        <v>6</v>
      </c>
      <c r="AB395" t="str">
        <f>IF(Table2[[#This Row],[TotalWorkingYears]]&lt;=5,"Early (0-5)",IF(Table2[[#This Row],[TotalWorkingYears]]&lt;=15,"Mid (6-15)","Senior (16+)"))</f>
        <v>Mid (6-15)</v>
      </c>
      <c r="AC395">
        <v>3</v>
      </c>
      <c r="AD395">
        <v>3</v>
      </c>
      <c r="AE395" t="s">
        <v>64</v>
      </c>
      <c r="AF395">
        <v>2</v>
      </c>
      <c r="AG395">
        <v>1</v>
      </c>
      <c r="AH395">
        <v>2</v>
      </c>
    </row>
    <row r="396" spans="1:34" x14ac:dyDescent="0.3">
      <c r="A396" t="s">
        <v>59</v>
      </c>
      <c r="B396">
        <v>0</v>
      </c>
      <c r="C396" t="s">
        <v>32</v>
      </c>
      <c r="D396">
        <v>480</v>
      </c>
      <c r="E396" t="s">
        <v>40</v>
      </c>
      <c r="F396">
        <v>7</v>
      </c>
      <c r="G396" t="str">
        <f>IF(Table2[[#This Row],[DistanceFromHome]]&lt;=5, "short", IF(Table2[[#This Row],[DistanceFromHome]]&lt;=15, "medium", "long"))</f>
        <v>medium</v>
      </c>
      <c r="H396">
        <v>2</v>
      </c>
      <c r="I396" t="s">
        <v>46</v>
      </c>
      <c r="J396">
        <v>524</v>
      </c>
      <c r="K396">
        <v>2</v>
      </c>
      <c r="L396" t="s">
        <v>35</v>
      </c>
      <c r="M396">
        <v>31</v>
      </c>
      <c r="N396">
        <v>3</v>
      </c>
      <c r="O396">
        <v>2</v>
      </c>
      <c r="P396" t="s">
        <v>48</v>
      </c>
      <c r="Q396">
        <v>1</v>
      </c>
      <c r="R396" t="s">
        <v>43</v>
      </c>
      <c r="S396">
        <v>4306</v>
      </c>
      <c r="T396">
        <v>4156</v>
      </c>
      <c r="U396">
        <v>1</v>
      </c>
      <c r="V396" t="s">
        <v>38</v>
      </c>
      <c r="W396">
        <v>12</v>
      </c>
      <c r="X396">
        <v>3</v>
      </c>
      <c r="Y396">
        <v>2</v>
      </c>
      <c r="Z396">
        <v>1</v>
      </c>
      <c r="AA396">
        <v>13</v>
      </c>
      <c r="AB396" t="str">
        <f>IF(Table2[[#This Row],[TotalWorkingYears]]&lt;=5,"Early (0-5)",IF(Table2[[#This Row],[TotalWorkingYears]]&lt;=15,"Mid (6-15)","Senior (16+)"))</f>
        <v>Mid (6-15)</v>
      </c>
      <c r="AC396">
        <v>5</v>
      </c>
      <c r="AD396">
        <v>1</v>
      </c>
      <c r="AE396" t="s">
        <v>65</v>
      </c>
      <c r="AF396">
        <v>10</v>
      </c>
      <c r="AG396">
        <v>3</v>
      </c>
      <c r="AH396">
        <v>12</v>
      </c>
    </row>
    <row r="397" spans="1:34" x14ac:dyDescent="0.3">
      <c r="A397" t="s">
        <v>57</v>
      </c>
      <c r="B397">
        <v>0</v>
      </c>
      <c r="C397" t="s">
        <v>39</v>
      </c>
      <c r="D397">
        <v>313</v>
      </c>
      <c r="E397" t="s">
        <v>40</v>
      </c>
      <c r="F397">
        <v>21</v>
      </c>
      <c r="G397" t="str">
        <f>IF(Table2[[#This Row],[DistanceFromHome]]&lt;=5, "short", IF(Table2[[#This Row],[DistanceFromHome]]&lt;=15, "medium", "long"))</f>
        <v>long</v>
      </c>
      <c r="H397">
        <v>3</v>
      </c>
      <c r="I397" t="s">
        <v>46</v>
      </c>
      <c r="J397">
        <v>525</v>
      </c>
      <c r="K397">
        <v>4</v>
      </c>
      <c r="L397" t="s">
        <v>41</v>
      </c>
      <c r="M397">
        <v>61</v>
      </c>
      <c r="N397">
        <v>3</v>
      </c>
      <c r="O397">
        <v>1</v>
      </c>
      <c r="P397" t="s">
        <v>45</v>
      </c>
      <c r="Q397">
        <v>4</v>
      </c>
      <c r="R397" t="s">
        <v>43</v>
      </c>
      <c r="S397">
        <v>2258</v>
      </c>
      <c r="T397">
        <v>15238</v>
      </c>
      <c r="U397">
        <v>7</v>
      </c>
      <c r="V397" t="s">
        <v>38</v>
      </c>
      <c r="W397">
        <v>20</v>
      </c>
      <c r="X397">
        <v>4</v>
      </c>
      <c r="Y397">
        <v>1</v>
      </c>
      <c r="Z397">
        <v>1</v>
      </c>
      <c r="AA397">
        <v>8</v>
      </c>
      <c r="AB397" t="str">
        <f>IF(Table2[[#This Row],[TotalWorkingYears]]&lt;=5,"Early (0-5)",IF(Table2[[#This Row],[TotalWorkingYears]]&lt;=15,"Mid (6-15)","Senior (16+)"))</f>
        <v>Mid (6-15)</v>
      </c>
      <c r="AC397">
        <v>1</v>
      </c>
      <c r="AD397">
        <v>3</v>
      </c>
      <c r="AE397" t="s">
        <v>64</v>
      </c>
      <c r="AF397">
        <v>2</v>
      </c>
      <c r="AG397">
        <v>1</v>
      </c>
      <c r="AH397">
        <v>2</v>
      </c>
    </row>
    <row r="398" spans="1:34" x14ac:dyDescent="0.3">
      <c r="A398" t="s">
        <v>57</v>
      </c>
      <c r="B398">
        <v>0</v>
      </c>
      <c r="C398" t="s">
        <v>32</v>
      </c>
      <c r="D398">
        <v>1473</v>
      </c>
      <c r="E398" t="s">
        <v>40</v>
      </c>
      <c r="F398">
        <v>8</v>
      </c>
      <c r="G398" t="str">
        <f>IF(Table2[[#This Row],[DistanceFromHome]]&lt;=5, "short", IF(Table2[[#This Row],[DistanceFromHome]]&lt;=15, "medium", "long"))</f>
        <v>medium</v>
      </c>
      <c r="H398">
        <v>4</v>
      </c>
      <c r="I398" t="s">
        <v>44</v>
      </c>
      <c r="J398">
        <v>526</v>
      </c>
      <c r="K398">
        <v>3</v>
      </c>
      <c r="L398" t="s">
        <v>35</v>
      </c>
      <c r="M398">
        <v>74</v>
      </c>
      <c r="N398">
        <v>3</v>
      </c>
      <c r="O398">
        <v>2</v>
      </c>
      <c r="P398" t="s">
        <v>49</v>
      </c>
      <c r="Q398">
        <v>3</v>
      </c>
      <c r="R398" t="s">
        <v>47</v>
      </c>
      <c r="S398">
        <v>4522</v>
      </c>
      <c r="T398">
        <v>2227</v>
      </c>
      <c r="U398">
        <v>4</v>
      </c>
      <c r="V398" t="s">
        <v>31</v>
      </c>
      <c r="W398">
        <v>14</v>
      </c>
      <c r="X398">
        <v>3</v>
      </c>
      <c r="Y398">
        <v>4</v>
      </c>
      <c r="Z398">
        <v>0</v>
      </c>
      <c r="AA398">
        <v>8</v>
      </c>
      <c r="AB398" t="str">
        <f>IF(Table2[[#This Row],[TotalWorkingYears]]&lt;=5,"Early (0-5)",IF(Table2[[#This Row],[TotalWorkingYears]]&lt;=15,"Mid (6-15)","Senior (16+)"))</f>
        <v>Mid (6-15)</v>
      </c>
      <c r="AC398">
        <v>3</v>
      </c>
      <c r="AD398">
        <v>3</v>
      </c>
      <c r="AE398" t="s">
        <v>64</v>
      </c>
      <c r="AF398">
        <v>2</v>
      </c>
      <c r="AG398">
        <v>0</v>
      </c>
      <c r="AH398">
        <v>2</v>
      </c>
    </row>
    <row r="399" spans="1:34" x14ac:dyDescent="0.3">
      <c r="A399" t="s">
        <v>60</v>
      </c>
      <c r="B399">
        <v>0</v>
      </c>
      <c r="C399" t="s">
        <v>32</v>
      </c>
      <c r="D399">
        <v>891</v>
      </c>
      <c r="E399" t="s">
        <v>33</v>
      </c>
      <c r="F399">
        <v>4</v>
      </c>
      <c r="G399" t="str">
        <f>IF(Table2[[#This Row],[DistanceFromHome]]&lt;=5, "short", IF(Table2[[#This Row],[DistanceFromHome]]&lt;=15, "medium", "long"))</f>
        <v>short</v>
      </c>
      <c r="H399">
        <v>2</v>
      </c>
      <c r="I399" t="s">
        <v>34</v>
      </c>
      <c r="J399">
        <v>527</v>
      </c>
      <c r="K399">
        <v>2</v>
      </c>
      <c r="L399" t="s">
        <v>35</v>
      </c>
      <c r="M399">
        <v>99</v>
      </c>
      <c r="N399">
        <v>2</v>
      </c>
      <c r="O399">
        <v>2</v>
      </c>
      <c r="P399" t="s">
        <v>36</v>
      </c>
      <c r="Q399">
        <v>4</v>
      </c>
      <c r="R399" t="s">
        <v>37</v>
      </c>
      <c r="S399">
        <v>4487</v>
      </c>
      <c r="T399">
        <v>12090</v>
      </c>
      <c r="U399">
        <v>1</v>
      </c>
      <c r="V399" t="s">
        <v>31</v>
      </c>
      <c r="W399">
        <v>11</v>
      </c>
      <c r="X399">
        <v>3</v>
      </c>
      <c r="Y399">
        <v>2</v>
      </c>
      <c r="Z399">
        <v>0</v>
      </c>
      <c r="AA399">
        <v>5</v>
      </c>
      <c r="AB399" t="str">
        <f>IF(Table2[[#This Row],[TotalWorkingYears]]&lt;=5,"Early (0-5)",IF(Table2[[#This Row],[TotalWorkingYears]]&lt;=15,"Mid (6-15)","Senior (16+)"))</f>
        <v>Early (0-5)</v>
      </c>
      <c r="AC399">
        <v>3</v>
      </c>
      <c r="AD399">
        <v>3</v>
      </c>
      <c r="AE399" t="s">
        <v>64</v>
      </c>
      <c r="AF399">
        <v>4</v>
      </c>
      <c r="AG399">
        <v>1</v>
      </c>
      <c r="AH399">
        <v>3</v>
      </c>
    </row>
    <row r="400" spans="1:34" x14ac:dyDescent="0.3">
      <c r="A400" t="s">
        <v>57</v>
      </c>
      <c r="B400">
        <v>0</v>
      </c>
      <c r="C400" t="s">
        <v>50</v>
      </c>
      <c r="D400">
        <v>1063</v>
      </c>
      <c r="E400" t="s">
        <v>40</v>
      </c>
      <c r="F400">
        <v>25</v>
      </c>
      <c r="G400" t="str">
        <f>IF(Table2[[#This Row],[DistanceFromHome]]&lt;=5, "short", IF(Table2[[#This Row],[DistanceFromHome]]&lt;=15, "medium", "long"))</f>
        <v>long</v>
      </c>
      <c r="H400">
        <v>5</v>
      </c>
      <c r="I400" t="s">
        <v>46</v>
      </c>
      <c r="J400">
        <v>529</v>
      </c>
      <c r="K400">
        <v>2</v>
      </c>
      <c r="L400" t="s">
        <v>35</v>
      </c>
      <c r="M400">
        <v>72</v>
      </c>
      <c r="N400">
        <v>3</v>
      </c>
      <c r="O400">
        <v>2</v>
      </c>
      <c r="P400" t="s">
        <v>42</v>
      </c>
      <c r="Q400">
        <v>3</v>
      </c>
      <c r="R400" t="s">
        <v>43</v>
      </c>
      <c r="S400">
        <v>4449</v>
      </c>
      <c r="T400">
        <v>23866</v>
      </c>
      <c r="U400">
        <v>3</v>
      </c>
      <c r="V400" t="s">
        <v>31</v>
      </c>
      <c r="W400">
        <v>15</v>
      </c>
      <c r="X400">
        <v>3</v>
      </c>
      <c r="Y400">
        <v>1</v>
      </c>
      <c r="Z400">
        <v>2</v>
      </c>
      <c r="AA400">
        <v>15</v>
      </c>
      <c r="AB400" t="str">
        <f>IF(Table2[[#This Row],[TotalWorkingYears]]&lt;=5,"Early (0-5)",IF(Table2[[#This Row],[TotalWorkingYears]]&lt;=15,"Mid (6-15)","Senior (16+)"))</f>
        <v>Mid (6-15)</v>
      </c>
      <c r="AC400">
        <v>2</v>
      </c>
      <c r="AD400">
        <v>3</v>
      </c>
      <c r="AE400" t="s">
        <v>65</v>
      </c>
      <c r="AF400">
        <v>11</v>
      </c>
      <c r="AG400">
        <v>10</v>
      </c>
      <c r="AH400">
        <v>7</v>
      </c>
    </row>
    <row r="401" spans="1:34" x14ac:dyDescent="0.3">
      <c r="A401" t="s">
        <v>59</v>
      </c>
      <c r="B401">
        <v>0</v>
      </c>
      <c r="C401" t="s">
        <v>32</v>
      </c>
      <c r="D401">
        <v>329</v>
      </c>
      <c r="E401" t="s">
        <v>40</v>
      </c>
      <c r="F401">
        <v>1</v>
      </c>
      <c r="G401" t="str">
        <f>IF(Table2[[#This Row],[DistanceFromHome]]&lt;=5, "short", IF(Table2[[#This Row],[DistanceFromHome]]&lt;=15, "medium", "long"))</f>
        <v>short</v>
      </c>
      <c r="H401">
        <v>2</v>
      </c>
      <c r="I401" t="s">
        <v>34</v>
      </c>
      <c r="J401">
        <v>530</v>
      </c>
      <c r="K401">
        <v>4</v>
      </c>
      <c r="L401" t="s">
        <v>41</v>
      </c>
      <c r="M401">
        <v>98</v>
      </c>
      <c r="N401">
        <v>2</v>
      </c>
      <c r="O401">
        <v>1</v>
      </c>
      <c r="P401" t="s">
        <v>45</v>
      </c>
      <c r="Q401">
        <v>1</v>
      </c>
      <c r="R401" t="s">
        <v>43</v>
      </c>
      <c r="S401">
        <v>2218</v>
      </c>
      <c r="T401">
        <v>16193</v>
      </c>
      <c r="U401">
        <v>1</v>
      </c>
      <c r="V401" t="s">
        <v>38</v>
      </c>
      <c r="W401">
        <v>12</v>
      </c>
      <c r="X401">
        <v>3</v>
      </c>
      <c r="Y401">
        <v>3</v>
      </c>
      <c r="Z401">
        <v>1</v>
      </c>
      <c r="AA401">
        <v>4</v>
      </c>
      <c r="AB401" t="str">
        <f>IF(Table2[[#This Row],[TotalWorkingYears]]&lt;=5,"Early (0-5)",IF(Table2[[#This Row],[TotalWorkingYears]]&lt;=15,"Mid (6-15)","Senior (16+)"))</f>
        <v>Early (0-5)</v>
      </c>
      <c r="AC401">
        <v>3</v>
      </c>
      <c r="AD401">
        <v>3</v>
      </c>
      <c r="AE401" t="s">
        <v>64</v>
      </c>
      <c r="AF401">
        <v>2</v>
      </c>
      <c r="AG401">
        <v>3</v>
      </c>
      <c r="AH401">
        <v>2</v>
      </c>
    </row>
    <row r="402" spans="1:34" x14ac:dyDescent="0.3">
      <c r="A402" t="s">
        <v>57</v>
      </c>
      <c r="B402">
        <v>0</v>
      </c>
      <c r="C402" t="s">
        <v>39</v>
      </c>
      <c r="D402">
        <v>1218</v>
      </c>
      <c r="E402" t="s">
        <v>40</v>
      </c>
      <c r="F402">
        <v>1</v>
      </c>
      <c r="G402" t="str">
        <f>IF(Table2[[#This Row],[DistanceFromHome]]&lt;=5, "short", IF(Table2[[#This Row],[DistanceFromHome]]&lt;=15, "medium", "long"))</f>
        <v>short</v>
      </c>
      <c r="H402">
        <v>1</v>
      </c>
      <c r="I402" t="s">
        <v>34</v>
      </c>
      <c r="J402">
        <v>531</v>
      </c>
      <c r="K402">
        <v>2</v>
      </c>
      <c r="L402" t="s">
        <v>41</v>
      </c>
      <c r="M402">
        <v>52</v>
      </c>
      <c r="N402">
        <v>3</v>
      </c>
      <c r="O402">
        <v>5</v>
      </c>
      <c r="P402" t="s">
        <v>51</v>
      </c>
      <c r="Q402">
        <v>3</v>
      </c>
      <c r="R402" t="s">
        <v>47</v>
      </c>
      <c r="S402">
        <v>19197</v>
      </c>
      <c r="T402">
        <v>8213</v>
      </c>
      <c r="U402">
        <v>1</v>
      </c>
      <c r="V402" t="s">
        <v>31</v>
      </c>
      <c r="W402">
        <v>14</v>
      </c>
      <c r="X402">
        <v>3</v>
      </c>
      <c r="Y402">
        <v>3</v>
      </c>
      <c r="Z402">
        <v>1</v>
      </c>
      <c r="AA402">
        <v>21</v>
      </c>
      <c r="AB402" t="str">
        <f>IF(Table2[[#This Row],[TotalWorkingYears]]&lt;=5,"Early (0-5)",IF(Table2[[#This Row],[TotalWorkingYears]]&lt;=15,"Mid (6-15)","Senior (16+)"))</f>
        <v>Senior (16+)</v>
      </c>
      <c r="AC402">
        <v>3</v>
      </c>
      <c r="AD402">
        <v>3</v>
      </c>
      <c r="AE402" t="s">
        <v>65</v>
      </c>
      <c r="AF402">
        <v>8</v>
      </c>
      <c r="AG402">
        <v>1</v>
      </c>
      <c r="AH402">
        <v>6</v>
      </c>
    </row>
    <row r="403" spans="1:34" x14ac:dyDescent="0.3">
      <c r="A403" t="s">
        <v>58</v>
      </c>
      <c r="B403">
        <v>0</v>
      </c>
      <c r="C403" t="s">
        <v>39</v>
      </c>
      <c r="D403">
        <v>906</v>
      </c>
      <c r="E403" t="s">
        <v>33</v>
      </c>
      <c r="F403">
        <v>6</v>
      </c>
      <c r="G403" t="str">
        <f>IF(Table2[[#This Row],[DistanceFromHome]]&lt;=5, "short", IF(Table2[[#This Row],[DistanceFromHome]]&lt;=15, "medium", "long"))</f>
        <v>medium</v>
      </c>
      <c r="H403">
        <v>3</v>
      </c>
      <c r="I403" t="s">
        <v>34</v>
      </c>
      <c r="J403">
        <v>532</v>
      </c>
      <c r="K403">
        <v>3</v>
      </c>
      <c r="L403" t="s">
        <v>35</v>
      </c>
      <c r="M403">
        <v>86</v>
      </c>
      <c r="N403">
        <v>4</v>
      </c>
      <c r="O403">
        <v>4</v>
      </c>
      <c r="P403" t="s">
        <v>36</v>
      </c>
      <c r="Q403">
        <v>1</v>
      </c>
      <c r="R403" t="s">
        <v>43</v>
      </c>
      <c r="S403">
        <v>13212</v>
      </c>
      <c r="T403">
        <v>18256</v>
      </c>
      <c r="U403">
        <v>9</v>
      </c>
      <c r="V403" t="s">
        <v>38</v>
      </c>
      <c r="W403">
        <v>11</v>
      </c>
      <c r="X403">
        <v>3</v>
      </c>
      <c r="Y403">
        <v>4</v>
      </c>
      <c r="Z403">
        <v>3</v>
      </c>
      <c r="AA403">
        <v>36</v>
      </c>
      <c r="AB403" t="str">
        <f>IF(Table2[[#This Row],[TotalWorkingYears]]&lt;=5,"Early (0-5)",IF(Table2[[#This Row],[TotalWorkingYears]]&lt;=15,"Mid (6-15)","Senior (16+)"))</f>
        <v>Senior (16+)</v>
      </c>
      <c r="AC403">
        <v>0</v>
      </c>
      <c r="AD403">
        <v>2</v>
      </c>
      <c r="AE403" t="s">
        <v>62</v>
      </c>
      <c r="AF403">
        <v>7</v>
      </c>
      <c r="AG403">
        <v>7</v>
      </c>
      <c r="AH403">
        <v>7</v>
      </c>
    </row>
    <row r="404" spans="1:34" x14ac:dyDescent="0.3">
      <c r="A404" t="s">
        <v>59</v>
      </c>
      <c r="B404">
        <v>0</v>
      </c>
      <c r="C404" t="s">
        <v>32</v>
      </c>
      <c r="D404">
        <v>1082</v>
      </c>
      <c r="E404" t="s">
        <v>33</v>
      </c>
      <c r="F404">
        <v>12</v>
      </c>
      <c r="G404" t="str">
        <f>IF(Table2[[#This Row],[DistanceFromHome]]&lt;=5, "short", IF(Table2[[#This Row],[DistanceFromHome]]&lt;=15, "medium", "long"))</f>
        <v>medium</v>
      </c>
      <c r="H404">
        <v>3</v>
      </c>
      <c r="I404" t="s">
        <v>55</v>
      </c>
      <c r="J404">
        <v>533</v>
      </c>
      <c r="K404">
        <v>2</v>
      </c>
      <c r="L404" t="s">
        <v>35</v>
      </c>
      <c r="M404">
        <v>83</v>
      </c>
      <c r="N404">
        <v>3</v>
      </c>
      <c r="O404">
        <v>2</v>
      </c>
      <c r="P404" t="s">
        <v>36</v>
      </c>
      <c r="Q404">
        <v>3</v>
      </c>
      <c r="R404" t="s">
        <v>37</v>
      </c>
      <c r="S404">
        <v>6577</v>
      </c>
      <c r="T404">
        <v>19558</v>
      </c>
      <c r="U404">
        <v>0</v>
      </c>
      <c r="V404" t="s">
        <v>38</v>
      </c>
      <c r="W404">
        <v>11</v>
      </c>
      <c r="X404">
        <v>3</v>
      </c>
      <c r="Y404">
        <v>2</v>
      </c>
      <c r="Z404">
        <v>0</v>
      </c>
      <c r="AA404">
        <v>6</v>
      </c>
      <c r="AB404" t="str">
        <f>IF(Table2[[#This Row],[TotalWorkingYears]]&lt;=5,"Early (0-5)",IF(Table2[[#This Row],[TotalWorkingYears]]&lt;=15,"Mid (6-15)","Senior (16+)"))</f>
        <v>Mid (6-15)</v>
      </c>
      <c r="AC404">
        <v>6</v>
      </c>
      <c r="AD404">
        <v>3</v>
      </c>
      <c r="AE404" t="s">
        <v>64</v>
      </c>
      <c r="AF404">
        <v>4</v>
      </c>
      <c r="AG404">
        <v>4</v>
      </c>
      <c r="AH404">
        <v>4</v>
      </c>
    </row>
    <row r="405" spans="1:34" x14ac:dyDescent="0.3">
      <c r="A405" t="s">
        <v>57</v>
      </c>
      <c r="B405">
        <v>0</v>
      </c>
      <c r="C405" t="s">
        <v>32</v>
      </c>
      <c r="D405">
        <v>645</v>
      </c>
      <c r="E405" t="s">
        <v>33</v>
      </c>
      <c r="F405">
        <v>1</v>
      </c>
      <c r="G405" t="str">
        <f>IF(Table2[[#This Row],[DistanceFromHome]]&lt;=5, "short", IF(Table2[[#This Row],[DistanceFromHome]]&lt;=15, "medium", "long"))</f>
        <v>short</v>
      </c>
      <c r="H405">
        <v>3</v>
      </c>
      <c r="I405" t="s">
        <v>54</v>
      </c>
      <c r="J405">
        <v>534</v>
      </c>
      <c r="K405">
        <v>2</v>
      </c>
      <c r="L405" t="s">
        <v>41</v>
      </c>
      <c r="M405">
        <v>49</v>
      </c>
      <c r="N405">
        <v>4</v>
      </c>
      <c r="O405">
        <v>3</v>
      </c>
      <c r="P405" t="s">
        <v>36</v>
      </c>
      <c r="Q405">
        <v>1</v>
      </c>
      <c r="R405" t="s">
        <v>43</v>
      </c>
      <c r="S405">
        <v>8392</v>
      </c>
      <c r="T405">
        <v>19566</v>
      </c>
      <c r="U405">
        <v>1</v>
      </c>
      <c r="V405" t="s">
        <v>38</v>
      </c>
      <c r="W405">
        <v>16</v>
      </c>
      <c r="X405">
        <v>3</v>
      </c>
      <c r="Y405">
        <v>3</v>
      </c>
      <c r="Z405">
        <v>1</v>
      </c>
      <c r="AA405">
        <v>10</v>
      </c>
      <c r="AB405" t="str">
        <f>IF(Table2[[#This Row],[TotalWorkingYears]]&lt;=5,"Early (0-5)",IF(Table2[[#This Row],[TotalWorkingYears]]&lt;=15,"Mid (6-15)","Senior (16+)"))</f>
        <v>Mid (6-15)</v>
      </c>
      <c r="AC405">
        <v>2</v>
      </c>
      <c r="AD405">
        <v>3</v>
      </c>
      <c r="AE405" t="s">
        <v>62</v>
      </c>
      <c r="AF405">
        <v>7</v>
      </c>
      <c r="AG405">
        <v>0</v>
      </c>
      <c r="AH405">
        <v>7</v>
      </c>
    </row>
    <row r="406" spans="1:34" x14ac:dyDescent="0.3">
      <c r="A406" t="s">
        <v>59</v>
      </c>
      <c r="B406">
        <v>0</v>
      </c>
      <c r="C406" t="s">
        <v>32</v>
      </c>
      <c r="D406">
        <v>1300</v>
      </c>
      <c r="E406" t="s">
        <v>40</v>
      </c>
      <c r="F406">
        <v>17</v>
      </c>
      <c r="G406" t="str">
        <f>IF(Table2[[#This Row],[DistanceFromHome]]&lt;=5, "short", IF(Table2[[#This Row],[DistanceFromHome]]&lt;=15, "medium", "long"))</f>
        <v>long</v>
      </c>
      <c r="H406">
        <v>2</v>
      </c>
      <c r="I406" t="s">
        <v>46</v>
      </c>
      <c r="J406">
        <v>536</v>
      </c>
      <c r="K406">
        <v>3</v>
      </c>
      <c r="L406" t="s">
        <v>41</v>
      </c>
      <c r="M406">
        <v>79</v>
      </c>
      <c r="N406">
        <v>3</v>
      </c>
      <c r="O406">
        <v>2</v>
      </c>
      <c r="P406" t="s">
        <v>45</v>
      </c>
      <c r="Q406">
        <v>1</v>
      </c>
      <c r="R406" t="s">
        <v>47</v>
      </c>
      <c r="S406">
        <v>4558</v>
      </c>
      <c r="T406">
        <v>13535</v>
      </c>
      <c r="U406">
        <v>1</v>
      </c>
      <c r="V406" t="s">
        <v>38</v>
      </c>
      <c r="W406">
        <v>12</v>
      </c>
      <c r="X406">
        <v>3</v>
      </c>
      <c r="Y406">
        <v>4</v>
      </c>
      <c r="Z406">
        <v>1</v>
      </c>
      <c r="AA406">
        <v>10</v>
      </c>
      <c r="AB406" t="str">
        <f>IF(Table2[[#This Row],[TotalWorkingYears]]&lt;=5,"Early (0-5)",IF(Table2[[#This Row],[TotalWorkingYears]]&lt;=15,"Mid (6-15)","Senior (16+)"))</f>
        <v>Mid (6-15)</v>
      </c>
      <c r="AC406">
        <v>2</v>
      </c>
      <c r="AD406">
        <v>3</v>
      </c>
      <c r="AE406" t="s">
        <v>62</v>
      </c>
      <c r="AF406">
        <v>0</v>
      </c>
      <c r="AG406">
        <v>1</v>
      </c>
      <c r="AH406">
        <v>8</v>
      </c>
    </row>
    <row r="407" spans="1:34" x14ac:dyDescent="0.3">
      <c r="A407" t="s">
        <v>60</v>
      </c>
      <c r="B407">
        <v>1</v>
      </c>
      <c r="C407" t="s">
        <v>32</v>
      </c>
      <c r="D407">
        <v>688</v>
      </c>
      <c r="E407" t="s">
        <v>40</v>
      </c>
      <c r="F407">
        <v>3</v>
      </c>
      <c r="G407" t="str">
        <f>IF(Table2[[#This Row],[DistanceFromHome]]&lt;=5, "short", IF(Table2[[#This Row],[DistanceFromHome]]&lt;=15, "medium", "long"))</f>
        <v>short</v>
      </c>
      <c r="H407">
        <v>3</v>
      </c>
      <c r="I407" t="s">
        <v>46</v>
      </c>
      <c r="J407">
        <v>538</v>
      </c>
      <c r="K407">
        <v>1</v>
      </c>
      <c r="L407" t="s">
        <v>41</v>
      </c>
      <c r="M407">
        <v>91</v>
      </c>
      <c r="N407">
        <v>3</v>
      </c>
      <c r="O407">
        <v>1</v>
      </c>
      <c r="P407" t="s">
        <v>45</v>
      </c>
      <c r="Q407">
        <v>1</v>
      </c>
      <c r="R407" t="s">
        <v>43</v>
      </c>
      <c r="S407">
        <v>4031</v>
      </c>
      <c r="T407">
        <v>9396</v>
      </c>
      <c r="U407">
        <v>5</v>
      </c>
      <c r="V407" t="s">
        <v>38</v>
      </c>
      <c r="W407">
        <v>13</v>
      </c>
      <c r="X407">
        <v>3</v>
      </c>
      <c r="Y407">
        <v>3</v>
      </c>
      <c r="Z407">
        <v>1</v>
      </c>
      <c r="AA407">
        <v>6</v>
      </c>
      <c r="AB407" t="str">
        <f>IF(Table2[[#This Row],[TotalWorkingYears]]&lt;=5,"Early (0-5)",IF(Table2[[#This Row],[TotalWorkingYears]]&lt;=15,"Mid (6-15)","Senior (16+)"))</f>
        <v>Mid (6-15)</v>
      </c>
      <c r="AC407">
        <v>5</v>
      </c>
      <c r="AD407">
        <v>3</v>
      </c>
      <c r="AE407" t="s">
        <v>63</v>
      </c>
      <c r="AF407">
        <v>2</v>
      </c>
      <c r="AG407">
        <v>0</v>
      </c>
      <c r="AH407">
        <v>2</v>
      </c>
    </row>
    <row r="408" spans="1:34" x14ac:dyDescent="0.3">
      <c r="A408" t="s">
        <v>58</v>
      </c>
      <c r="B408">
        <v>0</v>
      </c>
      <c r="C408" t="s">
        <v>32</v>
      </c>
      <c r="D408">
        <v>319</v>
      </c>
      <c r="E408" t="s">
        <v>40</v>
      </c>
      <c r="F408">
        <v>3</v>
      </c>
      <c r="G408" t="str">
        <f>IF(Table2[[#This Row],[DistanceFromHome]]&lt;=5, "short", IF(Table2[[#This Row],[DistanceFromHome]]&lt;=15, "medium", "long"))</f>
        <v>short</v>
      </c>
      <c r="H408">
        <v>3</v>
      </c>
      <c r="I408" t="s">
        <v>46</v>
      </c>
      <c r="J408">
        <v>543</v>
      </c>
      <c r="K408">
        <v>4</v>
      </c>
      <c r="L408" t="s">
        <v>41</v>
      </c>
      <c r="M408">
        <v>39</v>
      </c>
      <c r="N408">
        <v>2</v>
      </c>
      <c r="O408">
        <v>3</v>
      </c>
      <c r="P408" t="s">
        <v>48</v>
      </c>
      <c r="Q408">
        <v>3</v>
      </c>
      <c r="R408" t="s">
        <v>43</v>
      </c>
      <c r="S408">
        <v>7969</v>
      </c>
      <c r="T408">
        <v>19609</v>
      </c>
      <c r="U408">
        <v>2</v>
      </c>
      <c r="V408" t="s">
        <v>31</v>
      </c>
      <c r="W408">
        <v>14</v>
      </c>
      <c r="X408">
        <v>3</v>
      </c>
      <c r="Y408">
        <v>3</v>
      </c>
      <c r="Z408">
        <v>0</v>
      </c>
      <c r="AA408">
        <v>28</v>
      </c>
      <c r="AB408" t="str">
        <f>IF(Table2[[#This Row],[TotalWorkingYears]]&lt;=5,"Early (0-5)",IF(Table2[[#This Row],[TotalWorkingYears]]&lt;=15,"Mid (6-15)","Senior (16+)"))</f>
        <v>Senior (16+)</v>
      </c>
      <c r="AC408">
        <v>4</v>
      </c>
      <c r="AD408">
        <v>3</v>
      </c>
      <c r="AE408" t="s">
        <v>64</v>
      </c>
      <c r="AF408">
        <v>4</v>
      </c>
      <c r="AG408">
        <v>0</v>
      </c>
      <c r="AH408">
        <v>4</v>
      </c>
    </row>
    <row r="409" spans="1:34" x14ac:dyDescent="0.3">
      <c r="A409" t="s">
        <v>57</v>
      </c>
      <c r="B409">
        <v>0</v>
      </c>
      <c r="C409" t="s">
        <v>32</v>
      </c>
      <c r="D409">
        <v>192</v>
      </c>
      <c r="E409" t="s">
        <v>40</v>
      </c>
      <c r="F409">
        <v>10</v>
      </c>
      <c r="G409" t="str">
        <f>IF(Table2[[#This Row],[DistanceFromHome]]&lt;=5, "short", IF(Table2[[#This Row],[DistanceFromHome]]&lt;=15, "medium", "long"))</f>
        <v>medium</v>
      </c>
      <c r="H409">
        <v>2</v>
      </c>
      <c r="I409" t="s">
        <v>34</v>
      </c>
      <c r="J409">
        <v>544</v>
      </c>
      <c r="K409">
        <v>1</v>
      </c>
      <c r="L409" t="s">
        <v>41</v>
      </c>
      <c r="M409">
        <v>69</v>
      </c>
      <c r="N409">
        <v>3</v>
      </c>
      <c r="O409">
        <v>1</v>
      </c>
      <c r="P409" t="s">
        <v>42</v>
      </c>
      <c r="Q409">
        <v>4</v>
      </c>
      <c r="R409" t="s">
        <v>43</v>
      </c>
      <c r="S409">
        <v>2654</v>
      </c>
      <c r="T409">
        <v>9655</v>
      </c>
      <c r="U409">
        <v>3</v>
      </c>
      <c r="V409" t="s">
        <v>38</v>
      </c>
      <c r="W409">
        <v>21</v>
      </c>
      <c r="X409">
        <v>4</v>
      </c>
      <c r="Y409">
        <v>4</v>
      </c>
      <c r="Z409">
        <v>2</v>
      </c>
      <c r="AA409">
        <v>8</v>
      </c>
      <c r="AB409" t="str">
        <f>IF(Table2[[#This Row],[TotalWorkingYears]]&lt;=5,"Early (0-5)",IF(Table2[[#This Row],[TotalWorkingYears]]&lt;=15,"Mid (6-15)","Senior (16+)"))</f>
        <v>Mid (6-15)</v>
      </c>
      <c r="AC409">
        <v>3</v>
      </c>
      <c r="AD409">
        <v>2</v>
      </c>
      <c r="AE409" t="s">
        <v>63</v>
      </c>
      <c r="AF409">
        <v>2</v>
      </c>
      <c r="AG409">
        <v>0</v>
      </c>
      <c r="AH409">
        <v>2</v>
      </c>
    </row>
    <row r="410" spans="1:34" x14ac:dyDescent="0.3">
      <c r="A410" t="s">
        <v>58</v>
      </c>
      <c r="B410">
        <v>0</v>
      </c>
      <c r="C410" t="s">
        <v>32</v>
      </c>
      <c r="D410">
        <v>1490</v>
      </c>
      <c r="E410" t="s">
        <v>40</v>
      </c>
      <c r="F410">
        <v>4</v>
      </c>
      <c r="G410" t="str">
        <f>IF(Table2[[#This Row],[DistanceFromHome]]&lt;=5, "short", IF(Table2[[#This Row],[DistanceFromHome]]&lt;=15, "medium", "long"))</f>
        <v>short</v>
      </c>
      <c r="H410">
        <v>2</v>
      </c>
      <c r="I410" t="s">
        <v>34</v>
      </c>
      <c r="J410">
        <v>546</v>
      </c>
      <c r="K410">
        <v>4</v>
      </c>
      <c r="L410" t="s">
        <v>35</v>
      </c>
      <c r="M410">
        <v>30</v>
      </c>
      <c r="N410">
        <v>3</v>
      </c>
      <c r="O410">
        <v>4</v>
      </c>
      <c r="P410" t="s">
        <v>51</v>
      </c>
      <c r="Q410">
        <v>4</v>
      </c>
      <c r="R410" t="s">
        <v>43</v>
      </c>
      <c r="S410">
        <v>16555</v>
      </c>
      <c r="T410">
        <v>10310</v>
      </c>
      <c r="U410">
        <v>2</v>
      </c>
      <c r="V410" t="s">
        <v>38</v>
      </c>
      <c r="W410">
        <v>13</v>
      </c>
      <c r="X410">
        <v>3</v>
      </c>
      <c r="Y410">
        <v>4</v>
      </c>
      <c r="Z410">
        <v>0</v>
      </c>
      <c r="AA410">
        <v>31</v>
      </c>
      <c r="AB410" t="str">
        <f>IF(Table2[[#This Row],[TotalWorkingYears]]&lt;=5,"Early (0-5)",IF(Table2[[#This Row],[TotalWorkingYears]]&lt;=15,"Mid (6-15)","Senior (16+)"))</f>
        <v>Senior (16+)</v>
      </c>
      <c r="AC410">
        <v>2</v>
      </c>
      <c r="AD410">
        <v>1</v>
      </c>
      <c r="AE410" t="s">
        <v>64</v>
      </c>
      <c r="AF410">
        <v>2</v>
      </c>
      <c r="AG410">
        <v>1</v>
      </c>
      <c r="AH410">
        <v>4</v>
      </c>
    </row>
    <row r="411" spans="1:34" x14ac:dyDescent="0.3">
      <c r="A411" t="s">
        <v>57</v>
      </c>
      <c r="B411">
        <v>0</v>
      </c>
      <c r="C411" t="s">
        <v>39</v>
      </c>
      <c r="D411">
        <v>532</v>
      </c>
      <c r="E411" t="s">
        <v>40</v>
      </c>
      <c r="F411">
        <v>29</v>
      </c>
      <c r="G411" t="str">
        <f>IF(Table2[[#This Row],[DistanceFromHome]]&lt;=5, "short", IF(Table2[[#This Row],[DistanceFromHome]]&lt;=15, "medium", "long"))</f>
        <v>long</v>
      </c>
      <c r="H411">
        <v>2</v>
      </c>
      <c r="I411" t="s">
        <v>34</v>
      </c>
      <c r="J411">
        <v>547</v>
      </c>
      <c r="K411">
        <v>1</v>
      </c>
      <c r="L411" t="s">
        <v>35</v>
      </c>
      <c r="M411">
        <v>92</v>
      </c>
      <c r="N411">
        <v>3</v>
      </c>
      <c r="O411">
        <v>2</v>
      </c>
      <c r="P411" t="s">
        <v>42</v>
      </c>
      <c r="Q411">
        <v>3</v>
      </c>
      <c r="R411" t="s">
        <v>47</v>
      </c>
      <c r="S411">
        <v>4556</v>
      </c>
      <c r="T411">
        <v>12932</v>
      </c>
      <c r="U411">
        <v>2</v>
      </c>
      <c r="V411" t="s">
        <v>38</v>
      </c>
      <c r="W411">
        <v>11</v>
      </c>
      <c r="X411">
        <v>3</v>
      </c>
      <c r="Y411">
        <v>2</v>
      </c>
      <c r="Z411">
        <v>1</v>
      </c>
      <c r="AA411">
        <v>19</v>
      </c>
      <c r="AB411" t="str">
        <f>IF(Table2[[#This Row],[TotalWorkingYears]]&lt;=5,"Early (0-5)",IF(Table2[[#This Row],[TotalWorkingYears]]&lt;=15,"Mid (6-15)","Senior (16+)"))</f>
        <v>Senior (16+)</v>
      </c>
      <c r="AC411">
        <v>3</v>
      </c>
      <c r="AD411">
        <v>3</v>
      </c>
      <c r="AE411" t="s">
        <v>64</v>
      </c>
      <c r="AF411">
        <v>4</v>
      </c>
      <c r="AG411">
        <v>0</v>
      </c>
      <c r="AH411">
        <v>2</v>
      </c>
    </row>
    <row r="412" spans="1:34" x14ac:dyDescent="0.3">
      <c r="A412" t="s">
        <v>59</v>
      </c>
      <c r="B412">
        <v>0</v>
      </c>
      <c r="C412" t="s">
        <v>32</v>
      </c>
      <c r="D412">
        <v>317</v>
      </c>
      <c r="E412" t="s">
        <v>40</v>
      </c>
      <c r="F412">
        <v>2</v>
      </c>
      <c r="G412" t="str">
        <f>IF(Table2[[#This Row],[DistanceFromHome]]&lt;=5, "short", IF(Table2[[#This Row],[DistanceFromHome]]&lt;=15, "medium", "long"))</f>
        <v>short</v>
      </c>
      <c r="H412">
        <v>3</v>
      </c>
      <c r="I412" t="s">
        <v>34</v>
      </c>
      <c r="J412">
        <v>548</v>
      </c>
      <c r="K412">
        <v>3</v>
      </c>
      <c r="L412" t="s">
        <v>35</v>
      </c>
      <c r="M412">
        <v>43</v>
      </c>
      <c r="N412">
        <v>1</v>
      </c>
      <c r="O412">
        <v>2</v>
      </c>
      <c r="P412" t="s">
        <v>48</v>
      </c>
      <c r="Q412">
        <v>4</v>
      </c>
      <c r="R412" t="s">
        <v>37</v>
      </c>
      <c r="S412">
        <v>6091</v>
      </c>
      <c r="T412">
        <v>24793</v>
      </c>
      <c r="U412">
        <v>2</v>
      </c>
      <c r="V412" t="s">
        <v>38</v>
      </c>
      <c r="W412">
        <v>20</v>
      </c>
      <c r="X412">
        <v>4</v>
      </c>
      <c r="Y412">
        <v>3</v>
      </c>
      <c r="Z412">
        <v>0</v>
      </c>
      <c r="AA412">
        <v>11</v>
      </c>
      <c r="AB412" t="str">
        <f>IF(Table2[[#This Row],[TotalWorkingYears]]&lt;=5,"Early (0-5)",IF(Table2[[#This Row],[TotalWorkingYears]]&lt;=15,"Mid (6-15)","Senior (16+)"))</f>
        <v>Mid (6-15)</v>
      </c>
      <c r="AC412">
        <v>2</v>
      </c>
      <c r="AD412">
        <v>3</v>
      </c>
      <c r="AE412" t="s">
        <v>64</v>
      </c>
      <c r="AF412">
        <v>4</v>
      </c>
      <c r="AG412">
        <v>0</v>
      </c>
      <c r="AH412">
        <v>2</v>
      </c>
    </row>
    <row r="413" spans="1:34" x14ac:dyDescent="0.3">
      <c r="A413" t="s">
        <v>58</v>
      </c>
      <c r="B413">
        <v>0</v>
      </c>
      <c r="C413" t="s">
        <v>32</v>
      </c>
      <c r="D413">
        <v>422</v>
      </c>
      <c r="E413" t="s">
        <v>40</v>
      </c>
      <c r="F413">
        <v>7</v>
      </c>
      <c r="G413" t="str">
        <f>IF(Table2[[#This Row],[DistanceFromHome]]&lt;=5, "short", IF(Table2[[#This Row],[DistanceFromHome]]&lt;=15, "medium", "long"))</f>
        <v>medium</v>
      </c>
      <c r="H413">
        <v>3</v>
      </c>
      <c r="I413" t="s">
        <v>34</v>
      </c>
      <c r="J413">
        <v>549</v>
      </c>
      <c r="K413">
        <v>1</v>
      </c>
      <c r="L413" t="s">
        <v>35</v>
      </c>
      <c r="M413">
        <v>41</v>
      </c>
      <c r="N413">
        <v>3</v>
      </c>
      <c r="O413">
        <v>5</v>
      </c>
      <c r="P413" t="s">
        <v>51</v>
      </c>
      <c r="Q413">
        <v>1</v>
      </c>
      <c r="R413" t="s">
        <v>43</v>
      </c>
      <c r="S413">
        <v>19566</v>
      </c>
      <c r="T413">
        <v>3854</v>
      </c>
      <c r="U413">
        <v>5</v>
      </c>
      <c r="V413" t="s">
        <v>38</v>
      </c>
      <c r="W413">
        <v>11</v>
      </c>
      <c r="X413">
        <v>3</v>
      </c>
      <c r="Y413">
        <v>4</v>
      </c>
      <c r="Z413">
        <v>0</v>
      </c>
      <c r="AA413">
        <v>33</v>
      </c>
      <c r="AB413" t="str">
        <f>IF(Table2[[#This Row],[TotalWorkingYears]]&lt;=5,"Early (0-5)",IF(Table2[[#This Row],[TotalWorkingYears]]&lt;=15,"Mid (6-15)","Senior (16+)"))</f>
        <v>Senior (16+)</v>
      </c>
      <c r="AC413">
        <v>5</v>
      </c>
      <c r="AD413">
        <v>1</v>
      </c>
      <c r="AE413" t="s">
        <v>65</v>
      </c>
      <c r="AF413">
        <v>8</v>
      </c>
      <c r="AG413">
        <v>11</v>
      </c>
      <c r="AH413">
        <v>10</v>
      </c>
    </row>
    <row r="414" spans="1:34" x14ac:dyDescent="0.3">
      <c r="A414" t="s">
        <v>58</v>
      </c>
      <c r="B414">
        <v>0</v>
      </c>
      <c r="C414" t="s">
        <v>32</v>
      </c>
      <c r="D414">
        <v>1485</v>
      </c>
      <c r="E414" t="s">
        <v>40</v>
      </c>
      <c r="F414">
        <v>18</v>
      </c>
      <c r="G414" t="str">
        <f>IF(Table2[[#This Row],[DistanceFromHome]]&lt;=5, "short", IF(Table2[[#This Row],[DistanceFromHome]]&lt;=15, "medium", "long"))</f>
        <v>long</v>
      </c>
      <c r="H414">
        <v>3</v>
      </c>
      <c r="I414" t="s">
        <v>46</v>
      </c>
      <c r="J414">
        <v>550</v>
      </c>
      <c r="K414">
        <v>3</v>
      </c>
      <c r="L414" t="s">
        <v>35</v>
      </c>
      <c r="M414">
        <v>87</v>
      </c>
      <c r="N414">
        <v>3</v>
      </c>
      <c r="O414">
        <v>2</v>
      </c>
      <c r="P414" t="s">
        <v>48</v>
      </c>
      <c r="Q414">
        <v>3</v>
      </c>
      <c r="R414" t="s">
        <v>47</v>
      </c>
      <c r="S414">
        <v>4810</v>
      </c>
      <c r="T414">
        <v>26314</v>
      </c>
      <c r="U414">
        <v>2</v>
      </c>
      <c r="V414" t="s">
        <v>38</v>
      </c>
      <c r="W414">
        <v>14</v>
      </c>
      <c r="X414">
        <v>3</v>
      </c>
      <c r="Y414">
        <v>3</v>
      </c>
      <c r="Z414">
        <v>1</v>
      </c>
      <c r="AA414">
        <v>19</v>
      </c>
      <c r="AB414" t="str">
        <f>IF(Table2[[#This Row],[TotalWorkingYears]]&lt;=5,"Early (0-5)",IF(Table2[[#This Row],[TotalWorkingYears]]&lt;=15,"Mid (6-15)","Senior (16+)"))</f>
        <v>Senior (16+)</v>
      </c>
      <c r="AC414">
        <v>5</v>
      </c>
      <c r="AD414">
        <v>2</v>
      </c>
      <c r="AE414" t="s">
        <v>62</v>
      </c>
      <c r="AF414">
        <v>7</v>
      </c>
      <c r="AG414">
        <v>0</v>
      </c>
      <c r="AH414">
        <v>8</v>
      </c>
    </row>
    <row r="415" spans="1:34" x14ac:dyDescent="0.3">
      <c r="A415" t="s">
        <v>57</v>
      </c>
      <c r="B415">
        <v>0</v>
      </c>
      <c r="C415" t="s">
        <v>39</v>
      </c>
      <c r="D415">
        <v>1368</v>
      </c>
      <c r="E415" t="s">
        <v>40</v>
      </c>
      <c r="F415">
        <v>28</v>
      </c>
      <c r="G415" t="str">
        <f>IF(Table2[[#This Row],[DistanceFromHome]]&lt;=5, "short", IF(Table2[[#This Row],[DistanceFromHome]]&lt;=15, "medium", "long"))</f>
        <v>long</v>
      </c>
      <c r="H415">
        <v>4</v>
      </c>
      <c r="I415" t="s">
        <v>55</v>
      </c>
      <c r="J415">
        <v>551</v>
      </c>
      <c r="K415">
        <v>4</v>
      </c>
      <c r="L415" t="s">
        <v>35</v>
      </c>
      <c r="M415">
        <v>88</v>
      </c>
      <c r="N415">
        <v>2</v>
      </c>
      <c r="O415">
        <v>2</v>
      </c>
      <c r="P415" t="s">
        <v>49</v>
      </c>
      <c r="Q415">
        <v>4</v>
      </c>
      <c r="R415" t="s">
        <v>43</v>
      </c>
      <c r="S415">
        <v>4523</v>
      </c>
      <c r="T415">
        <v>4386</v>
      </c>
      <c r="U415">
        <v>0</v>
      </c>
      <c r="V415" t="s">
        <v>38</v>
      </c>
      <c r="W415">
        <v>11</v>
      </c>
      <c r="X415">
        <v>3</v>
      </c>
      <c r="Y415">
        <v>4</v>
      </c>
      <c r="Z415">
        <v>3</v>
      </c>
      <c r="AA415">
        <v>7</v>
      </c>
      <c r="AB415" t="str">
        <f>IF(Table2[[#This Row],[TotalWorkingYears]]&lt;=5,"Early (0-5)",IF(Table2[[#This Row],[TotalWorkingYears]]&lt;=15,"Mid (6-15)","Senior (16+)"))</f>
        <v>Mid (6-15)</v>
      </c>
      <c r="AC415">
        <v>4</v>
      </c>
      <c r="AD415">
        <v>4</v>
      </c>
      <c r="AE415" t="s">
        <v>62</v>
      </c>
      <c r="AF415">
        <v>5</v>
      </c>
      <c r="AG415">
        <v>0</v>
      </c>
      <c r="AH415">
        <v>4</v>
      </c>
    </row>
    <row r="416" spans="1:34" x14ac:dyDescent="0.3">
      <c r="A416" t="s">
        <v>60</v>
      </c>
      <c r="B416">
        <v>1</v>
      </c>
      <c r="C416" t="s">
        <v>32</v>
      </c>
      <c r="D416">
        <v>1448</v>
      </c>
      <c r="E416" t="s">
        <v>33</v>
      </c>
      <c r="F416">
        <v>1</v>
      </c>
      <c r="G416" t="str">
        <f>IF(Table2[[#This Row],[DistanceFromHome]]&lt;=5, "short", IF(Table2[[#This Row],[DistanceFromHome]]&lt;=15, "medium", "long"))</f>
        <v>short</v>
      </c>
      <c r="H416">
        <v>1</v>
      </c>
      <c r="I416" t="s">
        <v>55</v>
      </c>
      <c r="J416">
        <v>554</v>
      </c>
      <c r="K416">
        <v>1</v>
      </c>
      <c r="L416" t="s">
        <v>35</v>
      </c>
      <c r="M416">
        <v>62</v>
      </c>
      <c r="N416">
        <v>3</v>
      </c>
      <c r="O416">
        <v>1</v>
      </c>
      <c r="P416" t="s">
        <v>52</v>
      </c>
      <c r="Q416">
        <v>2</v>
      </c>
      <c r="R416" t="s">
        <v>37</v>
      </c>
      <c r="S416">
        <v>3202</v>
      </c>
      <c r="T416">
        <v>21972</v>
      </c>
      <c r="U416">
        <v>1</v>
      </c>
      <c r="V416" t="s">
        <v>31</v>
      </c>
      <c r="W416">
        <v>16</v>
      </c>
      <c r="X416">
        <v>3</v>
      </c>
      <c r="Y416">
        <v>2</v>
      </c>
      <c r="Z416">
        <v>0</v>
      </c>
      <c r="AA416">
        <v>6</v>
      </c>
      <c r="AB416" t="str">
        <f>IF(Table2[[#This Row],[TotalWorkingYears]]&lt;=5,"Early (0-5)",IF(Table2[[#This Row],[TotalWorkingYears]]&lt;=15,"Mid (6-15)","Senior (16+)"))</f>
        <v>Mid (6-15)</v>
      </c>
      <c r="AC416">
        <v>4</v>
      </c>
      <c r="AD416">
        <v>3</v>
      </c>
      <c r="AE416" t="s">
        <v>64</v>
      </c>
      <c r="AF416">
        <v>3</v>
      </c>
      <c r="AG416">
        <v>1</v>
      </c>
      <c r="AH416">
        <v>4</v>
      </c>
    </row>
    <row r="417" spans="1:34" x14ac:dyDescent="0.3">
      <c r="A417" t="s">
        <v>59</v>
      </c>
      <c r="B417">
        <v>1</v>
      </c>
      <c r="C417" t="s">
        <v>39</v>
      </c>
      <c r="D417">
        <v>296</v>
      </c>
      <c r="E417" t="s">
        <v>33</v>
      </c>
      <c r="F417">
        <v>6</v>
      </c>
      <c r="G417" t="str">
        <f>IF(Table2[[#This Row],[DistanceFromHome]]&lt;=5, "short", IF(Table2[[#This Row],[DistanceFromHome]]&lt;=15, "medium", "long"))</f>
        <v>medium</v>
      </c>
      <c r="H417">
        <v>2</v>
      </c>
      <c r="I417" t="s">
        <v>54</v>
      </c>
      <c r="J417">
        <v>555</v>
      </c>
      <c r="K417">
        <v>4</v>
      </c>
      <c r="L417" t="s">
        <v>35</v>
      </c>
      <c r="M417">
        <v>33</v>
      </c>
      <c r="N417">
        <v>1</v>
      </c>
      <c r="O417">
        <v>1</v>
      </c>
      <c r="P417" t="s">
        <v>52</v>
      </c>
      <c r="Q417">
        <v>3</v>
      </c>
      <c r="R417" t="s">
        <v>47</v>
      </c>
      <c r="S417">
        <v>2351</v>
      </c>
      <c r="T417">
        <v>12253</v>
      </c>
      <c r="U417">
        <v>0</v>
      </c>
      <c r="V417" t="s">
        <v>38</v>
      </c>
      <c r="W417">
        <v>16</v>
      </c>
      <c r="X417">
        <v>3</v>
      </c>
      <c r="Y417">
        <v>4</v>
      </c>
      <c r="Z417">
        <v>1</v>
      </c>
      <c r="AA417">
        <v>3</v>
      </c>
      <c r="AB417" t="str">
        <f>IF(Table2[[#This Row],[TotalWorkingYears]]&lt;=5,"Early (0-5)",IF(Table2[[#This Row],[TotalWorkingYears]]&lt;=15,"Mid (6-15)","Senior (16+)"))</f>
        <v>Early (0-5)</v>
      </c>
      <c r="AC417">
        <v>3</v>
      </c>
      <c r="AD417">
        <v>2</v>
      </c>
      <c r="AE417" t="s">
        <v>63</v>
      </c>
      <c r="AF417">
        <v>2</v>
      </c>
      <c r="AG417">
        <v>1</v>
      </c>
      <c r="AH417">
        <v>0</v>
      </c>
    </row>
    <row r="418" spans="1:34" x14ac:dyDescent="0.3">
      <c r="A418" t="s">
        <v>57</v>
      </c>
      <c r="B418">
        <v>0</v>
      </c>
      <c r="C418" t="s">
        <v>39</v>
      </c>
      <c r="D418">
        <v>1490</v>
      </c>
      <c r="E418" t="s">
        <v>40</v>
      </c>
      <c r="F418">
        <v>2</v>
      </c>
      <c r="G418" t="str">
        <f>IF(Table2[[#This Row],[DistanceFromHome]]&lt;=5, "short", IF(Table2[[#This Row],[DistanceFromHome]]&lt;=15, "medium", "long"))</f>
        <v>short</v>
      </c>
      <c r="H418">
        <v>2</v>
      </c>
      <c r="I418" t="s">
        <v>34</v>
      </c>
      <c r="J418">
        <v>556</v>
      </c>
      <c r="K418">
        <v>4</v>
      </c>
      <c r="L418" t="s">
        <v>41</v>
      </c>
      <c r="M418">
        <v>42</v>
      </c>
      <c r="N418">
        <v>3</v>
      </c>
      <c r="O418">
        <v>1</v>
      </c>
      <c r="P418" t="s">
        <v>45</v>
      </c>
      <c r="Q418">
        <v>4</v>
      </c>
      <c r="R418" t="s">
        <v>43</v>
      </c>
      <c r="S418">
        <v>1702</v>
      </c>
      <c r="T418">
        <v>12106</v>
      </c>
      <c r="U418">
        <v>1</v>
      </c>
      <c r="V418" t="s">
        <v>31</v>
      </c>
      <c r="W418">
        <v>23</v>
      </c>
      <c r="X418">
        <v>4</v>
      </c>
      <c r="Y418">
        <v>3</v>
      </c>
      <c r="Z418">
        <v>1</v>
      </c>
      <c r="AA418">
        <v>1</v>
      </c>
      <c r="AB418" t="str">
        <f>IF(Table2[[#This Row],[TotalWorkingYears]]&lt;=5,"Early (0-5)",IF(Table2[[#This Row],[TotalWorkingYears]]&lt;=15,"Mid (6-15)","Senior (16+)"))</f>
        <v>Early (0-5)</v>
      </c>
      <c r="AC418">
        <v>3</v>
      </c>
      <c r="AD418">
        <v>3</v>
      </c>
      <c r="AE418" t="s">
        <v>63</v>
      </c>
      <c r="AF418">
        <v>0</v>
      </c>
      <c r="AG418">
        <v>0</v>
      </c>
      <c r="AH418">
        <v>0</v>
      </c>
    </row>
    <row r="419" spans="1:34" x14ac:dyDescent="0.3">
      <c r="A419" t="s">
        <v>57</v>
      </c>
      <c r="B419">
        <v>0</v>
      </c>
      <c r="C419" t="s">
        <v>32</v>
      </c>
      <c r="D419">
        <v>1398</v>
      </c>
      <c r="E419" t="s">
        <v>33</v>
      </c>
      <c r="F419">
        <v>2</v>
      </c>
      <c r="G419" t="str">
        <f>IF(Table2[[#This Row],[DistanceFromHome]]&lt;=5, "short", IF(Table2[[#This Row],[DistanceFromHome]]&lt;=15, "medium", "long"))</f>
        <v>short</v>
      </c>
      <c r="H419">
        <v>4</v>
      </c>
      <c r="I419" t="s">
        <v>34</v>
      </c>
      <c r="J419">
        <v>558</v>
      </c>
      <c r="K419">
        <v>3</v>
      </c>
      <c r="L419" t="s">
        <v>35</v>
      </c>
      <c r="M419">
        <v>79</v>
      </c>
      <c r="N419">
        <v>3</v>
      </c>
      <c r="O419">
        <v>5</v>
      </c>
      <c r="P419" t="s">
        <v>51</v>
      </c>
      <c r="Q419">
        <v>3</v>
      </c>
      <c r="R419" t="s">
        <v>43</v>
      </c>
      <c r="S419">
        <v>18041</v>
      </c>
      <c r="T419">
        <v>13022</v>
      </c>
      <c r="U419">
        <v>0</v>
      </c>
      <c r="V419" t="s">
        <v>38</v>
      </c>
      <c r="W419">
        <v>14</v>
      </c>
      <c r="X419">
        <v>3</v>
      </c>
      <c r="Y419">
        <v>4</v>
      </c>
      <c r="Z419">
        <v>0</v>
      </c>
      <c r="AA419">
        <v>21</v>
      </c>
      <c r="AB419" t="str">
        <f>IF(Table2[[#This Row],[TotalWorkingYears]]&lt;=5,"Early (0-5)",IF(Table2[[#This Row],[TotalWorkingYears]]&lt;=15,"Mid (6-15)","Senior (16+)"))</f>
        <v>Senior (16+)</v>
      </c>
      <c r="AC419">
        <v>2</v>
      </c>
      <c r="AD419">
        <v>3</v>
      </c>
      <c r="AE419" t="s">
        <v>65</v>
      </c>
      <c r="AF419">
        <v>15</v>
      </c>
      <c r="AG419">
        <v>1</v>
      </c>
      <c r="AH419">
        <v>12</v>
      </c>
    </row>
    <row r="420" spans="1:34" x14ac:dyDescent="0.3">
      <c r="A420" t="s">
        <v>59</v>
      </c>
      <c r="B420">
        <v>0</v>
      </c>
      <c r="C420" t="s">
        <v>32</v>
      </c>
      <c r="D420">
        <v>1349</v>
      </c>
      <c r="E420" t="s">
        <v>40</v>
      </c>
      <c r="F420">
        <v>23</v>
      </c>
      <c r="G420" t="str">
        <f>IF(Table2[[#This Row],[DistanceFromHome]]&lt;=5, "short", IF(Table2[[#This Row],[DistanceFromHome]]&lt;=15, "medium", "long"))</f>
        <v>long</v>
      </c>
      <c r="H420">
        <v>3</v>
      </c>
      <c r="I420" t="s">
        <v>34</v>
      </c>
      <c r="J420">
        <v>560</v>
      </c>
      <c r="K420">
        <v>1</v>
      </c>
      <c r="L420" t="s">
        <v>35</v>
      </c>
      <c r="M420">
        <v>90</v>
      </c>
      <c r="N420">
        <v>3</v>
      </c>
      <c r="O420">
        <v>1</v>
      </c>
      <c r="P420" t="s">
        <v>42</v>
      </c>
      <c r="Q420">
        <v>4</v>
      </c>
      <c r="R420" t="s">
        <v>47</v>
      </c>
      <c r="S420">
        <v>2886</v>
      </c>
      <c r="T420">
        <v>3032</v>
      </c>
      <c r="U420">
        <v>1</v>
      </c>
      <c r="V420" t="s">
        <v>38</v>
      </c>
      <c r="W420">
        <v>22</v>
      </c>
      <c r="X420">
        <v>4</v>
      </c>
      <c r="Y420">
        <v>2</v>
      </c>
      <c r="Z420">
        <v>2</v>
      </c>
      <c r="AA420">
        <v>3</v>
      </c>
      <c r="AB420" t="str">
        <f>IF(Table2[[#This Row],[TotalWorkingYears]]&lt;=5,"Early (0-5)",IF(Table2[[#This Row],[TotalWorkingYears]]&lt;=15,"Mid (6-15)","Senior (16+)"))</f>
        <v>Early (0-5)</v>
      </c>
      <c r="AC420">
        <v>3</v>
      </c>
      <c r="AD420">
        <v>1</v>
      </c>
      <c r="AE420" t="s">
        <v>64</v>
      </c>
      <c r="AF420">
        <v>2</v>
      </c>
      <c r="AG420">
        <v>0</v>
      </c>
      <c r="AH420">
        <v>2</v>
      </c>
    </row>
    <row r="421" spans="1:34" x14ac:dyDescent="0.3">
      <c r="A421" t="s">
        <v>59</v>
      </c>
      <c r="B421">
        <v>0</v>
      </c>
      <c r="C421" t="s">
        <v>50</v>
      </c>
      <c r="D421">
        <v>1400</v>
      </c>
      <c r="E421" t="s">
        <v>40</v>
      </c>
      <c r="F421">
        <v>3</v>
      </c>
      <c r="G421" t="str">
        <f>IF(Table2[[#This Row],[DistanceFromHome]]&lt;=5, "short", IF(Table2[[#This Row],[DistanceFromHome]]&lt;=15, "medium", "long"))</f>
        <v>short</v>
      </c>
      <c r="H421">
        <v>3</v>
      </c>
      <c r="I421" t="s">
        <v>34</v>
      </c>
      <c r="J421">
        <v>562</v>
      </c>
      <c r="K421">
        <v>3</v>
      </c>
      <c r="L421" t="s">
        <v>41</v>
      </c>
      <c r="M421">
        <v>53</v>
      </c>
      <c r="N421">
        <v>3</v>
      </c>
      <c r="O421">
        <v>1</v>
      </c>
      <c r="P421" t="s">
        <v>45</v>
      </c>
      <c r="Q421">
        <v>4</v>
      </c>
      <c r="R421" t="s">
        <v>43</v>
      </c>
      <c r="S421">
        <v>2097</v>
      </c>
      <c r="T421">
        <v>16734</v>
      </c>
      <c r="U421">
        <v>4</v>
      </c>
      <c r="V421" t="s">
        <v>38</v>
      </c>
      <c r="W421">
        <v>15</v>
      </c>
      <c r="X421">
        <v>3</v>
      </c>
      <c r="Y421">
        <v>3</v>
      </c>
      <c r="Z421">
        <v>1</v>
      </c>
      <c r="AA421">
        <v>9</v>
      </c>
      <c r="AB421" t="str">
        <f>IF(Table2[[#This Row],[TotalWorkingYears]]&lt;=5,"Early (0-5)",IF(Table2[[#This Row],[TotalWorkingYears]]&lt;=15,"Mid (6-15)","Senior (16+)"))</f>
        <v>Mid (6-15)</v>
      </c>
      <c r="AC421">
        <v>3</v>
      </c>
      <c r="AD421">
        <v>1</v>
      </c>
      <c r="AE421" t="s">
        <v>64</v>
      </c>
      <c r="AF421">
        <v>3</v>
      </c>
      <c r="AG421">
        <v>1</v>
      </c>
      <c r="AH421">
        <v>4</v>
      </c>
    </row>
    <row r="422" spans="1:34" x14ac:dyDescent="0.3">
      <c r="A422" t="s">
        <v>59</v>
      </c>
      <c r="B422">
        <v>0</v>
      </c>
      <c r="C422" t="s">
        <v>32</v>
      </c>
      <c r="D422">
        <v>986</v>
      </c>
      <c r="E422" t="s">
        <v>40</v>
      </c>
      <c r="F422">
        <v>3</v>
      </c>
      <c r="G422" t="str">
        <f>IF(Table2[[#This Row],[DistanceFromHome]]&lt;=5, "short", IF(Table2[[#This Row],[DistanceFromHome]]&lt;=15, "medium", "long"))</f>
        <v>short</v>
      </c>
      <c r="H422">
        <v>4</v>
      </c>
      <c r="I422" t="s">
        <v>46</v>
      </c>
      <c r="J422">
        <v>564</v>
      </c>
      <c r="K422">
        <v>2</v>
      </c>
      <c r="L422" t="s">
        <v>41</v>
      </c>
      <c r="M422">
        <v>93</v>
      </c>
      <c r="N422">
        <v>2</v>
      </c>
      <c r="O422">
        <v>3</v>
      </c>
      <c r="P422" t="s">
        <v>53</v>
      </c>
      <c r="Q422">
        <v>3</v>
      </c>
      <c r="R422" t="s">
        <v>43</v>
      </c>
      <c r="S422">
        <v>11935</v>
      </c>
      <c r="T422">
        <v>21526</v>
      </c>
      <c r="U422">
        <v>1</v>
      </c>
      <c r="V422" t="s">
        <v>38</v>
      </c>
      <c r="W422">
        <v>18</v>
      </c>
      <c r="X422">
        <v>3</v>
      </c>
      <c r="Y422">
        <v>3</v>
      </c>
      <c r="Z422">
        <v>0</v>
      </c>
      <c r="AA422">
        <v>10</v>
      </c>
      <c r="AB422" t="str">
        <f>IF(Table2[[#This Row],[TotalWorkingYears]]&lt;=5,"Early (0-5)",IF(Table2[[#This Row],[TotalWorkingYears]]&lt;=15,"Mid (6-15)","Senior (16+)"))</f>
        <v>Mid (6-15)</v>
      </c>
      <c r="AC422">
        <v>2</v>
      </c>
      <c r="AD422">
        <v>3</v>
      </c>
      <c r="AE422" t="s">
        <v>62</v>
      </c>
      <c r="AF422">
        <v>2</v>
      </c>
      <c r="AG422">
        <v>0</v>
      </c>
      <c r="AH422">
        <v>7</v>
      </c>
    </row>
    <row r="423" spans="1:34" x14ac:dyDescent="0.3">
      <c r="A423" t="s">
        <v>59</v>
      </c>
      <c r="B423">
        <v>1</v>
      </c>
      <c r="C423" t="s">
        <v>32</v>
      </c>
      <c r="D423">
        <v>408</v>
      </c>
      <c r="E423" t="s">
        <v>40</v>
      </c>
      <c r="F423">
        <v>25</v>
      </c>
      <c r="G423" t="str">
        <f>IF(Table2[[#This Row],[DistanceFromHome]]&lt;=5, "short", IF(Table2[[#This Row],[DistanceFromHome]]&lt;=15, "medium", "long"))</f>
        <v>long</v>
      </c>
      <c r="H423">
        <v>5</v>
      </c>
      <c r="I423" t="s">
        <v>55</v>
      </c>
      <c r="J423">
        <v>565</v>
      </c>
      <c r="K423">
        <v>3</v>
      </c>
      <c r="L423" t="s">
        <v>35</v>
      </c>
      <c r="M423">
        <v>71</v>
      </c>
      <c r="N423">
        <v>2</v>
      </c>
      <c r="O423">
        <v>1</v>
      </c>
      <c r="P423" t="s">
        <v>42</v>
      </c>
      <c r="Q423">
        <v>2</v>
      </c>
      <c r="R423" t="s">
        <v>43</v>
      </c>
      <c r="S423">
        <v>2546</v>
      </c>
      <c r="T423">
        <v>18300</v>
      </c>
      <c r="U423">
        <v>5</v>
      </c>
      <c r="V423" t="s">
        <v>38</v>
      </c>
      <c r="W423">
        <v>16</v>
      </c>
      <c r="X423">
        <v>3</v>
      </c>
      <c r="Y423">
        <v>2</v>
      </c>
      <c r="Z423">
        <v>0</v>
      </c>
      <c r="AA423">
        <v>6</v>
      </c>
      <c r="AB423" t="str">
        <f>IF(Table2[[#This Row],[TotalWorkingYears]]&lt;=5,"Early (0-5)",IF(Table2[[#This Row],[TotalWorkingYears]]&lt;=15,"Mid (6-15)","Senior (16+)"))</f>
        <v>Mid (6-15)</v>
      </c>
      <c r="AC423">
        <v>2</v>
      </c>
      <c r="AD423">
        <v>4</v>
      </c>
      <c r="AE423" t="s">
        <v>63</v>
      </c>
      <c r="AF423">
        <v>2</v>
      </c>
      <c r="AG423">
        <v>1</v>
      </c>
      <c r="AH423">
        <v>1</v>
      </c>
    </row>
    <row r="424" spans="1:34" x14ac:dyDescent="0.3">
      <c r="A424" t="s">
        <v>60</v>
      </c>
      <c r="B424">
        <v>1</v>
      </c>
      <c r="C424" t="s">
        <v>32</v>
      </c>
      <c r="D424">
        <v>489</v>
      </c>
      <c r="E424" t="s">
        <v>56</v>
      </c>
      <c r="F424">
        <v>2</v>
      </c>
      <c r="G424" t="str">
        <f>IF(Table2[[#This Row],[DistanceFromHome]]&lt;=5, "short", IF(Table2[[#This Row],[DistanceFromHome]]&lt;=15, "medium", "long"))</f>
        <v>short</v>
      </c>
      <c r="H424">
        <v>2</v>
      </c>
      <c r="I424" t="s">
        <v>55</v>
      </c>
      <c r="J424">
        <v>566</v>
      </c>
      <c r="K424">
        <v>1</v>
      </c>
      <c r="L424" t="s">
        <v>41</v>
      </c>
      <c r="M424">
        <v>52</v>
      </c>
      <c r="N424">
        <v>2</v>
      </c>
      <c r="O424">
        <v>1</v>
      </c>
      <c r="P424" t="s">
        <v>56</v>
      </c>
      <c r="Q424">
        <v>4</v>
      </c>
      <c r="R424" t="s">
        <v>37</v>
      </c>
      <c r="S424">
        <v>2564</v>
      </c>
      <c r="T424">
        <v>18437</v>
      </c>
      <c r="U424">
        <v>1</v>
      </c>
      <c r="V424" t="s">
        <v>38</v>
      </c>
      <c r="W424">
        <v>12</v>
      </c>
      <c r="X424">
        <v>3</v>
      </c>
      <c r="Y424">
        <v>3</v>
      </c>
      <c r="Z424">
        <v>0</v>
      </c>
      <c r="AA424">
        <v>1</v>
      </c>
      <c r="AB424" t="str">
        <f>IF(Table2[[#This Row],[TotalWorkingYears]]&lt;=5,"Early (0-5)",IF(Table2[[#This Row],[TotalWorkingYears]]&lt;=15,"Mid (6-15)","Senior (16+)"))</f>
        <v>Early (0-5)</v>
      </c>
      <c r="AC424">
        <v>3</v>
      </c>
      <c r="AD424">
        <v>4</v>
      </c>
      <c r="AE424" t="s">
        <v>63</v>
      </c>
      <c r="AF424">
        <v>0</v>
      </c>
      <c r="AG424">
        <v>0</v>
      </c>
      <c r="AH424">
        <v>0</v>
      </c>
    </row>
    <row r="425" spans="1:34" x14ac:dyDescent="0.3">
      <c r="A425" t="s">
        <v>59</v>
      </c>
      <c r="B425">
        <v>0</v>
      </c>
      <c r="C425" t="s">
        <v>50</v>
      </c>
      <c r="D425">
        <v>1398</v>
      </c>
      <c r="E425" t="s">
        <v>33</v>
      </c>
      <c r="F425">
        <v>22</v>
      </c>
      <c r="G425" t="str">
        <f>IF(Table2[[#This Row],[DistanceFromHome]]&lt;=5, "short", IF(Table2[[#This Row],[DistanceFromHome]]&lt;=15, "medium", "long"))</f>
        <v>long</v>
      </c>
      <c r="H425">
        <v>4</v>
      </c>
      <c r="I425" t="s">
        <v>44</v>
      </c>
      <c r="J425">
        <v>567</v>
      </c>
      <c r="K425">
        <v>3</v>
      </c>
      <c r="L425" t="s">
        <v>35</v>
      </c>
      <c r="M425">
        <v>69</v>
      </c>
      <c r="N425">
        <v>3</v>
      </c>
      <c r="O425">
        <v>3</v>
      </c>
      <c r="P425" t="s">
        <v>36</v>
      </c>
      <c r="Q425">
        <v>1</v>
      </c>
      <c r="R425" t="s">
        <v>43</v>
      </c>
      <c r="S425">
        <v>8412</v>
      </c>
      <c r="T425">
        <v>2890</v>
      </c>
      <c r="U425">
        <v>0</v>
      </c>
      <c r="V425" t="s">
        <v>38</v>
      </c>
      <c r="W425">
        <v>11</v>
      </c>
      <c r="X425">
        <v>3</v>
      </c>
      <c r="Y425">
        <v>3</v>
      </c>
      <c r="Z425">
        <v>0</v>
      </c>
      <c r="AA425">
        <v>10</v>
      </c>
      <c r="AB425" t="str">
        <f>IF(Table2[[#This Row],[TotalWorkingYears]]&lt;=5,"Early (0-5)",IF(Table2[[#This Row],[TotalWorkingYears]]&lt;=15,"Mid (6-15)","Senior (16+)"))</f>
        <v>Mid (6-15)</v>
      </c>
      <c r="AC425">
        <v>3</v>
      </c>
      <c r="AD425">
        <v>3</v>
      </c>
      <c r="AE425" t="s">
        <v>62</v>
      </c>
      <c r="AF425">
        <v>8</v>
      </c>
      <c r="AG425">
        <v>7</v>
      </c>
      <c r="AH425">
        <v>8</v>
      </c>
    </row>
    <row r="426" spans="1:34" x14ac:dyDescent="0.3">
      <c r="A426" t="s">
        <v>58</v>
      </c>
      <c r="B426">
        <v>0</v>
      </c>
      <c r="C426" t="s">
        <v>32</v>
      </c>
      <c r="D426">
        <v>210</v>
      </c>
      <c r="E426" t="s">
        <v>33</v>
      </c>
      <c r="F426">
        <v>29</v>
      </c>
      <c r="G426" t="str">
        <f>IF(Table2[[#This Row],[DistanceFromHome]]&lt;=5, "short", IF(Table2[[#This Row],[DistanceFromHome]]&lt;=15, "medium", "long"))</f>
        <v>long</v>
      </c>
      <c r="H426">
        <v>3</v>
      </c>
      <c r="I426" t="s">
        <v>54</v>
      </c>
      <c r="J426">
        <v>568</v>
      </c>
      <c r="K426">
        <v>1</v>
      </c>
      <c r="L426" t="s">
        <v>41</v>
      </c>
      <c r="M426">
        <v>56</v>
      </c>
      <c r="N426">
        <v>2</v>
      </c>
      <c r="O426">
        <v>4</v>
      </c>
      <c r="P426" t="s">
        <v>51</v>
      </c>
      <c r="Q426">
        <v>4</v>
      </c>
      <c r="R426" t="s">
        <v>47</v>
      </c>
      <c r="S426">
        <v>14118</v>
      </c>
      <c r="T426">
        <v>22102</v>
      </c>
      <c r="U426">
        <v>3</v>
      </c>
      <c r="V426" t="s">
        <v>38</v>
      </c>
      <c r="W426">
        <v>12</v>
      </c>
      <c r="X426">
        <v>3</v>
      </c>
      <c r="Y426">
        <v>3</v>
      </c>
      <c r="Z426">
        <v>1</v>
      </c>
      <c r="AA426">
        <v>32</v>
      </c>
      <c r="AB426" t="str">
        <f>IF(Table2[[#This Row],[TotalWorkingYears]]&lt;=5,"Early (0-5)",IF(Table2[[#This Row],[TotalWorkingYears]]&lt;=15,"Mid (6-15)","Senior (16+)"))</f>
        <v>Senior (16+)</v>
      </c>
      <c r="AC426">
        <v>3</v>
      </c>
      <c r="AD426">
        <v>2</v>
      </c>
      <c r="AE426" t="s">
        <v>63</v>
      </c>
      <c r="AF426">
        <v>0</v>
      </c>
      <c r="AG426">
        <v>0</v>
      </c>
      <c r="AH426">
        <v>0</v>
      </c>
    </row>
    <row r="427" spans="1:34" x14ac:dyDescent="0.3">
      <c r="A427" t="s">
        <v>58</v>
      </c>
      <c r="B427">
        <v>0</v>
      </c>
      <c r="C427" t="s">
        <v>32</v>
      </c>
      <c r="D427">
        <v>1099</v>
      </c>
      <c r="E427" t="s">
        <v>40</v>
      </c>
      <c r="F427">
        <v>29</v>
      </c>
      <c r="G427" t="str">
        <f>IF(Table2[[#This Row],[DistanceFromHome]]&lt;=5, "short", IF(Table2[[#This Row],[DistanceFromHome]]&lt;=15, "medium", "long"))</f>
        <v>long</v>
      </c>
      <c r="H427">
        <v>4</v>
      </c>
      <c r="I427" t="s">
        <v>34</v>
      </c>
      <c r="J427">
        <v>569</v>
      </c>
      <c r="K427">
        <v>2</v>
      </c>
      <c r="L427" t="s">
        <v>41</v>
      </c>
      <c r="M427">
        <v>88</v>
      </c>
      <c r="N427">
        <v>2</v>
      </c>
      <c r="O427">
        <v>4</v>
      </c>
      <c r="P427" t="s">
        <v>51</v>
      </c>
      <c r="Q427">
        <v>3</v>
      </c>
      <c r="R427" t="s">
        <v>43</v>
      </c>
      <c r="S427">
        <v>17046</v>
      </c>
      <c r="T427">
        <v>9314</v>
      </c>
      <c r="U427">
        <v>0</v>
      </c>
      <c r="V427" t="s">
        <v>38</v>
      </c>
      <c r="W427">
        <v>15</v>
      </c>
      <c r="X427">
        <v>3</v>
      </c>
      <c r="Y427">
        <v>2</v>
      </c>
      <c r="Z427">
        <v>1</v>
      </c>
      <c r="AA427">
        <v>28</v>
      </c>
      <c r="AB427" t="str">
        <f>IF(Table2[[#This Row],[TotalWorkingYears]]&lt;=5,"Early (0-5)",IF(Table2[[#This Row],[TotalWorkingYears]]&lt;=15,"Mid (6-15)","Senior (16+)"))</f>
        <v>Senior (16+)</v>
      </c>
      <c r="AC427">
        <v>2</v>
      </c>
      <c r="AD427">
        <v>3</v>
      </c>
      <c r="AE427" t="s">
        <v>65</v>
      </c>
      <c r="AF427">
        <v>10</v>
      </c>
      <c r="AG427">
        <v>15</v>
      </c>
      <c r="AH427">
        <v>7</v>
      </c>
    </row>
    <row r="428" spans="1:34" x14ac:dyDescent="0.3">
      <c r="A428" t="s">
        <v>59</v>
      </c>
      <c r="B428">
        <v>0</v>
      </c>
      <c r="C428" t="s">
        <v>50</v>
      </c>
      <c r="D428">
        <v>1116</v>
      </c>
      <c r="E428" t="s">
        <v>40</v>
      </c>
      <c r="F428">
        <v>2</v>
      </c>
      <c r="G428" t="str">
        <f>IF(Table2[[#This Row],[DistanceFromHome]]&lt;=5, "short", IF(Table2[[#This Row],[DistanceFromHome]]&lt;=15, "medium", "long"))</f>
        <v>short</v>
      </c>
      <c r="H428">
        <v>3</v>
      </c>
      <c r="I428" t="s">
        <v>46</v>
      </c>
      <c r="J428">
        <v>571</v>
      </c>
      <c r="K428">
        <v>3</v>
      </c>
      <c r="L428" t="s">
        <v>35</v>
      </c>
      <c r="M428">
        <v>49</v>
      </c>
      <c r="N428">
        <v>3</v>
      </c>
      <c r="O428">
        <v>1</v>
      </c>
      <c r="P428" t="s">
        <v>45</v>
      </c>
      <c r="Q428">
        <v>4</v>
      </c>
      <c r="R428" t="s">
        <v>37</v>
      </c>
      <c r="S428">
        <v>2564</v>
      </c>
      <c r="T428">
        <v>7181</v>
      </c>
      <c r="U428">
        <v>0</v>
      </c>
      <c r="V428" t="s">
        <v>38</v>
      </c>
      <c r="W428">
        <v>14</v>
      </c>
      <c r="X428">
        <v>3</v>
      </c>
      <c r="Y428">
        <v>3</v>
      </c>
      <c r="Z428">
        <v>0</v>
      </c>
      <c r="AA428">
        <v>12</v>
      </c>
      <c r="AB428" t="str">
        <f>IF(Table2[[#This Row],[TotalWorkingYears]]&lt;=5,"Early (0-5)",IF(Table2[[#This Row],[TotalWorkingYears]]&lt;=15,"Mid (6-15)","Senior (16+)"))</f>
        <v>Mid (6-15)</v>
      </c>
      <c r="AC428">
        <v>2</v>
      </c>
      <c r="AD428">
        <v>2</v>
      </c>
      <c r="AE428" t="s">
        <v>65</v>
      </c>
      <c r="AF428">
        <v>7</v>
      </c>
      <c r="AG428">
        <v>6</v>
      </c>
      <c r="AH428">
        <v>7</v>
      </c>
    </row>
    <row r="429" spans="1:34" x14ac:dyDescent="0.3">
      <c r="A429" t="s">
        <v>58</v>
      </c>
      <c r="B429">
        <v>0</v>
      </c>
      <c r="C429" t="s">
        <v>39</v>
      </c>
      <c r="D429">
        <v>1499</v>
      </c>
      <c r="E429" t="s">
        <v>33</v>
      </c>
      <c r="F429">
        <v>28</v>
      </c>
      <c r="G429" t="str">
        <f>IF(Table2[[#This Row],[DistanceFromHome]]&lt;=5, "short", IF(Table2[[#This Row],[DistanceFromHome]]&lt;=15, "medium", "long"))</f>
        <v>long</v>
      </c>
      <c r="H429">
        <v>3</v>
      </c>
      <c r="I429" t="s">
        <v>54</v>
      </c>
      <c r="J429">
        <v>573</v>
      </c>
      <c r="K429">
        <v>3</v>
      </c>
      <c r="L429" t="s">
        <v>35</v>
      </c>
      <c r="M429">
        <v>80</v>
      </c>
      <c r="N429">
        <v>2</v>
      </c>
      <c r="O429">
        <v>3</v>
      </c>
      <c r="P429" t="s">
        <v>36</v>
      </c>
      <c r="Q429">
        <v>1</v>
      </c>
      <c r="R429" t="s">
        <v>43</v>
      </c>
      <c r="S429">
        <v>10266</v>
      </c>
      <c r="T429">
        <v>2845</v>
      </c>
      <c r="U429">
        <v>4</v>
      </c>
      <c r="V429" t="s">
        <v>38</v>
      </c>
      <c r="W429">
        <v>19</v>
      </c>
      <c r="X429">
        <v>3</v>
      </c>
      <c r="Y429">
        <v>4</v>
      </c>
      <c r="Z429">
        <v>0</v>
      </c>
      <c r="AA429">
        <v>22</v>
      </c>
      <c r="AB429" t="str">
        <f>IF(Table2[[#This Row],[TotalWorkingYears]]&lt;=5,"Early (0-5)",IF(Table2[[#This Row],[TotalWorkingYears]]&lt;=15,"Mid (6-15)","Senior (16+)"))</f>
        <v>Senior (16+)</v>
      </c>
      <c r="AC429">
        <v>5</v>
      </c>
      <c r="AD429">
        <v>4</v>
      </c>
      <c r="AE429" t="s">
        <v>65</v>
      </c>
      <c r="AF429">
        <v>13</v>
      </c>
      <c r="AG429">
        <v>13</v>
      </c>
      <c r="AH429">
        <v>11</v>
      </c>
    </row>
    <row r="430" spans="1:34" x14ac:dyDescent="0.3">
      <c r="A430" t="s">
        <v>58</v>
      </c>
      <c r="B430">
        <v>0</v>
      </c>
      <c r="C430" t="s">
        <v>32</v>
      </c>
      <c r="D430">
        <v>983</v>
      </c>
      <c r="E430" t="s">
        <v>40</v>
      </c>
      <c r="F430">
        <v>2</v>
      </c>
      <c r="G430" t="str">
        <f>IF(Table2[[#This Row],[DistanceFromHome]]&lt;=5, "short", IF(Table2[[#This Row],[DistanceFromHome]]&lt;=15, "medium", "long"))</f>
        <v>short</v>
      </c>
      <c r="H430">
        <v>2</v>
      </c>
      <c r="I430" t="s">
        <v>46</v>
      </c>
      <c r="J430">
        <v>574</v>
      </c>
      <c r="K430">
        <v>1</v>
      </c>
      <c r="L430" t="s">
        <v>35</v>
      </c>
      <c r="M430">
        <v>65</v>
      </c>
      <c r="N430">
        <v>3</v>
      </c>
      <c r="O430">
        <v>2</v>
      </c>
      <c r="P430" t="s">
        <v>48</v>
      </c>
      <c r="Q430">
        <v>4</v>
      </c>
      <c r="R430" t="s">
        <v>47</v>
      </c>
      <c r="S430">
        <v>5070</v>
      </c>
      <c r="T430">
        <v>7389</v>
      </c>
      <c r="U430">
        <v>5</v>
      </c>
      <c r="V430" t="s">
        <v>38</v>
      </c>
      <c r="W430">
        <v>13</v>
      </c>
      <c r="X430">
        <v>3</v>
      </c>
      <c r="Y430">
        <v>3</v>
      </c>
      <c r="Z430">
        <v>3</v>
      </c>
      <c r="AA430">
        <v>20</v>
      </c>
      <c r="AB430" t="str">
        <f>IF(Table2[[#This Row],[TotalWorkingYears]]&lt;=5,"Early (0-5)",IF(Table2[[#This Row],[TotalWorkingYears]]&lt;=15,"Mid (6-15)","Senior (16+)"))</f>
        <v>Senior (16+)</v>
      </c>
      <c r="AC430">
        <v>2</v>
      </c>
      <c r="AD430">
        <v>3</v>
      </c>
      <c r="AE430" t="s">
        <v>64</v>
      </c>
      <c r="AF430">
        <v>0</v>
      </c>
      <c r="AG430">
        <v>0</v>
      </c>
      <c r="AH430">
        <v>4</v>
      </c>
    </row>
    <row r="431" spans="1:34" x14ac:dyDescent="0.3">
      <c r="A431" t="s">
        <v>58</v>
      </c>
      <c r="B431">
        <v>0</v>
      </c>
      <c r="C431" t="s">
        <v>32</v>
      </c>
      <c r="D431">
        <v>1009</v>
      </c>
      <c r="E431" t="s">
        <v>40</v>
      </c>
      <c r="F431">
        <v>2</v>
      </c>
      <c r="G431" t="str">
        <f>IF(Table2[[#This Row],[DistanceFromHome]]&lt;=5, "short", IF(Table2[[#This Row],[DistanceFromHome]]&lt;=15, "medium", "long"))</f>
        <v>short</v>
      </c>
      <c r="H431">
        <v>3</v>
      </c>
      <c r="I431" t="s">
        <v>34</v>
      </c>
      <c r="J431">
        <v>575</v>
      </c>
      <c r="K431">
        <v>1</v>
      </c>
      <c r="L431" t="s">
        <v>41</v>
      </c>
      <c r="M431">
        <v>51</v>
      </c>
      <c r="N431">
        <v>3</v>
      </c>
      <c r="O431">
        <v>4</v>
      </c>
      <c r="P431" t="s">
        <v>53</v>
      </c>
      <c r="Q431">
        <v>3</v>
      </c>
      <c r="R431" t="s">
        <v>43</v>
      </c>
      <c r="S431">
        <v>17861</v>
      </c>
      <c r="T431">
        <v>2288</v>
      </c>
      <c r="U431">
        <v>6</v>
      </c>
      <c r="V431" t="s">
        <v>38</v>
      </c>
      <c r="W431">
        <v>13</v>
      </c>
      <c r="X431">
        <v>3</v>
      </c>
      <c r="Y431">
        <v>3</v>
      </c>
      <c r="Z431">
        <v>0</v>
      </c>
      <c r="AA431">
        <v>26</v>
      </c>
      <c r="AB431" t="str">
        <f>IF(Table2[[#This Row],[TotalWorkingYears]]&lt;=5,"Early (0-5)",IF(Table2[[#This Row],[TotalWorkingYears]]&lt;=15,"Mid (6-15)","Senior (16+)"))</f>
        <v>Senior (16+)</v>
      </c>
      <c r="AC431">
        <v>2</v>
      </c>
      <c r="AD431">
        <v>1</v>
      </c>
      <c r="AE431" t="s">
        <v>64</v>
      </c>
      <c r="AF431">
        <v>2</v>
      </c>
      <c r="AG431">
        <v>0</v>
      </c>
      <c r="AH431">
        <v>1</v>
      </c>
    </row>
    <row r="432" spans="1:34" x14ac:dyDescent="0.3">
      <c r="A432" t="s">
        <v>59</v>
      </c>
      <c r="B432">
        <v>0</v>
      </c>
      <c r="C432" t="s">
        <v>32</v>
      </c>
      <c r="D432">
        <v>144</v>
      </c>
      <c r="E432" t="s">
        <v>40</v>
      </c>
      <c r="F432">
        <v>22</v>
      </c>
      <c r="G432" t="str">
        <f>IF(Table2[[#This Row],[DistanceFromHome]]&lt;=5, "short", IF(Table2[[#This Row],[DistanceFromHome]]&lt;=15, "medium", "long"))</f>
        <v>long</v>
      </c>
      <c r="H432">
        <v>3</v>
      </c>
      <c r="I432" t="s">
        <v>34</v>
      </c>
      <c r="J432">
        <v>577</v>
      </c>
      <c r="K432">
        <v>4</v>
      </c>
      <c r="L432" t="s">
        <v>41</v>
      </c>
      <c r="M432">
        <v>46</v>
      </c>
      <c r="N432">
        <v>1</v>
      </c>
      <c r="O432">
        <v>1</v>
      </c>
      <c r="P432" t="s">
        <v>45</v>
      </c>
      <c r="Q432">
        <v>3</v>
      </c>
      <c r="R432" t="s">
        <v>37</v>
      </c>
      <c r="S432">
        <v>4230</v>
      </c>
      <c r="T432">
        <v>19225</v>
      </c>
      <c r="U432">
        <v>0</v>
      </c>
      <c r="V432" t="s">
        <v>38</v>
      </c>
      <c r="W432">
        <v>15</v>
      </c>
      <c r="X432">
        <v>3</v>
      </c>
      <c r="Y432">
        <v>3</v>
      </c>
      <c r="Z432">
        <v>0</v>
      </c>
      <c r="AA432">
        <v>6</v>
      </c>
      <c r="AB432" t="str">
        <f>IF(Table2[[#This Row],[TotalWorkingYears]]&lt;=5,"Early (0-5)",IF(Table2[[#This Row],[TotalWorkingYears]]&lt;=15,"Mid (6-15)","Senior (16+)"))</f>
        <v>Mid (6-15)</v>
      </c>
      <c r="AC432">
        <v>2</v>
      </c>
      <c r="AD432">
        <v>3</v>
      </c>
      <c r="AE432" t="s">
        <v>64</v>
      </c>
      <c r="AF432">
        <v>4</v>
      </c>
      <c r="AG432">
        <v>4</v>
      </c>
      <c r="AH432">
        <v>3</v>
      </c>
    </row>
    <row r="433" spans="1:34" x14ac:dyDescent="0.3">
      <c r="A433" t="s">
        <v>58</v>
      </c>
      <c r="B433">
        <v>0</v>
      </c>
      <c r="C433" t="s">
        <v>32</v>
      </c>
      <c r="D433">
        <v>548</v>
      </c>
      <c r="E433" t="s">
        <v>40</v>
      </c>
      <c r="F433">
        <v>8</v>
      </c>
      <c r="G433" t="str">
        <f>IF(Table2[[#This Row],[DistanceFromHome]]&lt;=5, "short", IF(Table2[[#This Row],[DistanceFromHome]]&lt;=15, "medium", "long"))</f>
        <v>medium</v>
      </c>
      <c r="H433">
        <v>4</v>
      </c>
      <c r="I433" t="s">
        <v>34</v>
      </c>
      <c r="J433">
        <v>578</v>
      </c>
      <c r="K433">
        <v>3</v>
      </c>
      <c r="L433" t="s">
        <v>35</v>
      </c>
      <c r="M433">
        <v>42</v>
      </c>
      <c r="N433">
        <v>3</v>
      </c>
      <c r="O433">
        <v>2</v>
      </c>
      <c r="P433" t="s">
        <v>45</v>
      </c>
      <c r="Q433">
        <v>3</v>
      </c>
      <c r="R433" t="s">
        <v>37</v>
      </c>
      <c r="S433">
        <v>3780</v>
      </c>
      <c r="T433">
        <v>23428</v>
      </c>
      <c r="U433">
        <v>7</v>
      </c>
      <c r="V433" t="s">
        <v>38</v>
      </c>
      <c r="W433">
        <v>11</v>
      </c>
      <c r="X433">
        <v>3</v>
      </c>
      <c r="Y433">
        <v>3</v>
      </c>
      <c r="Z433">
        <v>0</v>
      </c>
      <c r="AA433">
        <v>19</v>
      </c>
      <c r="AB433" t="str">
        <f>IF(Table2[[#This Row],[TotalWorkingYears]]&lt;=5,"Early (0-5)",IF(Table2[[#This Row],[TotalWorkingYears]]&lt;=15,"Mid (6-15)","Senior (16+)"))</f>
        <v>Senior (16+)</v>
      </c>
      <c r="AC433">
        <v>3</v>
      </c>
      <c r="AD433">
        <v>3</v>
      </c>
      <c r="AE433" t="s">
        <v>63</v>
      </c>
      <c r="AF433">
        <v>0</v>
      </c>
      <c r="AG433">
        <v>0</v>
      </c>
      <c r="AH433">
        <v>0</v>
      </c>
    </row>
    <row r="434" spans="1:34" x14ac:dyDescent="0.3">
      <c r="A434" t="s">
        <v>59</v>
      </c>
      <c r="B434">
        <v>0</v>
      </c>
      <c r="C434" t="s">
        <v>32</v>
      </c>
      <c r="D434">
        <v>1303</v>
      </c>
      <c r="E434" t="s">
        <v>40</v>
      </c>
      <c r="F434">
        <v>2</v>
      </c>
      <c r="G434" t="str">
        <f>IF(Table2[[#This Row],[DistanceFromHome]]&lt;=5, "short", IF(Table2[[#This Row],[DistanceFromHome]]&lt;=15, "medium", "long"))</f>
        <v>short</v>
      </c>
      <c r="H434">
        <v>4</v>
      </c>
      <c r="I434" t="s">
        <v>34</v>
      </c>
      <c r="J434">
        <v>579</v>
      </c>
      <c r="K434">
        <v>4</v>
      </c>
      <c r="L434" t="s">
        <v>41</v>
      </c>
      <c r="M434">
        <v>62</v>
      </c>
      <c r="N434">
        <v>2</v>
      </c>
      <c r="O434">
        <v>1</v>
      </c>
      <c r="P434" t="s">
        <v>42</v>
      </c>
      <c r="Q434">
        <v>3</v>
      </c>
      <c r="R434" t="s">
        <v>47</v>
      </c>
      <c r="S434">
        <v>2768</v>
      </c>
      <c r="T434">
        <v>8416</v>
      </c>
      <c r="U434">
        <v>3</v>
      </c>
      <c r="V434" t="s">
        <v>38</v>
      </c>
      <c r="W434">
        <v>12</v>
      </c>
      <c r="X434">
        <v>3</v>
      </c>
      <c r="Y434">
        <v>3</v>
      </c>
      <c r="Z434">
        <v>1</v>
      </c>
      <c r="AA434">
        <v>14</v>
      </c>
      <c r="AB434" t="str">
        <f>IF(Table2[[#This Row],[TotalWorkingYears]]&lt;=5,"Early (0-5)",IF(Table2[[#This Row],[TotalWorkingYears]]&lt;=15,"Mid (6-15)","Senior (16+)"))</f>
        <v>Mid (6-15)</v>
      </c>
      <c r="AC434">
        <v>3</v>
      </c>
      <c r="AD434">
        <v>3</v>
      </c>
      <c r="AE434" t="s">
        <v>62</v>
      </c>
      <c r="AF434">
        <v>3</v>
      </c>
      <c r="AG434">
        <v>5</v>
      </c>
      <c r="AH434">
        <v>7</v>
      </c>
    </row>
    <row r="435" spans="1:34" x14ac:dyDescent="0.3">
      <c r="A435" t="s">
        <v>58</v>
      </c>
      <c r="B435">
        <v>0</v>
      </c>
      <c r="C435" t="s">
        <v>32</v>
      </c>
      <c r="D435">
        <v>1125</v>
      </c>
      <c r="E435" t="s">
        <v>33</v>
      </c>
      <c r="F435">
        <v>10</v>
      </c>
      <c r="G435" t="str">
        <f>IF(Table2[[#This Row],[DistanceFromHome]]&lt;=5, "short", IF(Table2[[#This Row],[DistanceFromHome]]&lt;=15, "medium", "long"))</f>
        <v>medium</v>
      </c>
      <c r="H435">
        <v>3</v>
      </c>
      <c r="I435" t="s">
        <v>54</v>
      </c>
      <c r="J435">
        <v>580</v>
      </c>
      <c r="K435">
        <v>3</v>
      </c>
      <c r="L435" t="s">
        <v>35</v>
      </c>
      <c r="M435">
        <v>94</v>
      </c>
      <c r="N435">
        <v>2</v>
      </c>
      <c r="O435">
        <v>3</v>
      </c>
      <c r="P435" t="s">
        <v>36</v>
      </c>
      <c r="Q435">
        <v>4</v>
      </c>
      <c r="R435" t="s">
        <v>43</v>
      </c>
      <c r="S435">
        <v>9071</v>
      </c>
      <c r="T435">
        <v>11563</v>
      </c>
      <c r="U435">
        <v>2</v>
      </c>
      <c r="V435" t="s">
        <v>31</v>
      </c>
      <c r="W435">
        <v>19</v>
      </c>
      <c r="X435">
        <v>3</v>
      </c>
      <c r="Y435">
        <v>3</v>
      </c>
      <c r="Z435">
        <v>1</v>
      </c>
      <c r="AA435">
        <v>15</v>
      </c>
      <c r="AB435" t="str">
        <f>IF(Table2[[#This Row],[TotalWorkingYears]]&lt;=5,"Early (0-5)",IF(Table2[[#This Row],[TotalWorkingYears]]&lt;=15,"Mid (6-15)","Senior (16+)"))</f>
        <v>Mid (6-15)</v>
      </c>
      <c r="AC435">
        <v>3</v>
      </c>
      <c r="AD435">
        <v>3</v>
      </c>
      <c r="AE435" t="s">
        <v>64</v>
      </c>
      <c r="AF435">
        <v>2</v>
      </c>
      <c r="AG435">
        <v>1</v>
      </c>
      <c r="AH435">
        <v>2</v>
      </c>
    </row>
    <row r="436" spans="1:34" x14ac:dyDescent="0.3">
      <c r="A436" t="s">
        <v>59</v>
      </c>
      <c r="B436">
        <v>0</v>
      </c>
      <c r="C436" t="s">
        <v>32</v>
      </c>
      <c r="D436">
        <v>1274</v>
      </c>
      <c r="E436" t="s">
        <v>40</v>
      </c>
      <c r="F436">
        <v>9</v>
      </c>
      <c r="G436" t="str">
        <f>IF(Table2[[#This Row],[DistanceFromHome]]&lt;=5, "short", IF(Table2[[#This Row],[DistanceFromHome]]&lt;=15, "medium", "long"))</f>
        <v>medium</v>
      </c>
      <c r="H436">
        <v>1</v>
      </c>
      <c r="I436" t="s">
        <v>34</v>
      </c>
      <c r="J436">
        <v>581</v>
      </c>
      <c r="K436">
        <v>3</v>
      </c>
      <c r="L436" t="s">
        <v>41</v>
      </c>
      <c r="M436">
        <v>33</v>
      </c>
      <c r="N436">
        <v>3</v>
      </c>
      <c r="O436">
        <v>3</v>
      </c>
      <c r="P436" t="s">
        <v>48</v>
      </c>
      <c r="Q436">
        <v>2</v>
      </c>
      <c r="R436" t="s">
        <v>47</v>
      </c>
      <c r="S436">
        <v>10648</v>
      </c>
      <c r="T436">
        <v>14394</v>
      </c>
      <c r="U436">
        <v>1</v>
      </c>
      <c r="V436" t="s">
        <v>38</v>
      </c>
      <c r="W436">
        <v>25</v>
      </c>
      <c r="X436">
        <v>4</v>
      </c>
      <c r="Y436">
        <v>4</v>
      </c>
      <c r="Z436">
        <v>1</v>
      </c>
      <c r="AA436">
        <v>13</v>
      </c>
      <c r="AB436" t="str">
        <f>IF(Table2[[#This Row],[TotalWorkingYears]]&lt;=5,"Early (0-5)",IF(Table2[[#This Row],[TotalWorkingYears]]&lt;=15,"Mid (6-15)","Senior (16+)"))</f>
        <v>Mid (6-15)</v>
      </c>
      <c r="AC436">
        <v>6</v>
      </c>
      <c r="AD436">
        <v>4</v>
      </c>
      <c r="AE436" t="s">
        <v>65</v>
      </c>
      <c r="AF436">
        <v>8</v>
      </c>
      <c r="AG436">
        <v>0</v>
      </c>
      <c r="AH436">
        <v>8</v>
      </c>
    </row>
    <row r="437" spans="1:34" x14ac:dyDescent="0.3">
      <c r="A437" t="s">
        <v>59</v>
      </c>
      <c r="B437">
        <v>1</v>
      </c>
      <c r="C437" t="s">
        <v>32</v>
      </c>
      <c r="D437">
        <v>1277</v>
      </c>
      <c r="E437" t="s">
        <v>40</v>
      </c>
      <c r="F437">
        <v>15</v>
      </c>
      <c r="G437" t="str">
        <f>IF(Table2[[#This Row],[DistanceFromHome]]&lt;=5, "short", IF(Table2[[#This Row],[DistanceFromHome]]&lt;=15, "medium", "long"))</f>
        <v>medium</v>
      </c>
      <c r="H437">
        <v>1</v>
      </c>
      <c r="I437" t="s">
        <v>46</v>
      </c>
      <c r="J437">
        <v>582</v>
      </c>
      <c r="K437">
        <v>2</v>
      </c>
      <c r="L437" t="s">
        <v>41</v>
      </c>
      <c r="M437">
        <v>56</v>
      </c>
      <c r="N437">
        <v>3</v>
      </c>
      <c r="O437">
        <v>3</v>
      </c>
      <c r="P437" t="s">
        <v>51</v>
      </c>
      <c r="Q437">
        <v>3</v>
      </c>
      <c r="R437" t="s">
        <v>43</v>
      </c>
      <c r="S437">
        <v>13610</v>
      </c>
      <c r="T437">
        <v>24619</v>
      </c>
      <c r="U437">
        <v>7</v>
      </c>
      <c r="V437" t="s">
        <v>31</v>
      </c>
      <c r="W437">
        <v>12</v>
      </c>
      <c r="X437">
        <v>3</v>
      </c>
      <c r="Y437">
        <v>4</v>
      </c>
      <c r="Z437">
        <v>0</v>
      </c>
      <c r="AA437">
        <v>15</v>
      </c>
      <c r="AB437" t="str">
        <f>IF(Table2[[#This Row],[TotalWorkingYears]]&lt;=5,"Early (0-5)",IF(Table2[[#This Row],[TotalWorkingYears]]&lt;=15,"Mid (6-15)","Senior (16+)"))</f>
        <v>Mid (6-15)</v>
      </c>
      <c r="AC437">
        <v>2</v>
      </c>
      <c r="AD437">
        <v>4</v>
      </c>
      <c r="AE437" t="s">
        <v>62</v>
      </c>
      <c r="AF437">
        <v>6</v>
      </c>
      <c r="AG437">
        <v>7</v>
      </c>
      <c r="AH437">
        <v>7</v>
      </c>
    </row>
    <row r="438" spans="1:34" x14ac:dyDescent="0.3">
      <c r="A438" t="s">
        <v>59</v>
      </c>
      <c r="B438">
        <v>1</v>
      </c>
      <c r="C438" t="s">
        <v>32</v>
      </c>
      <c r="D438">
        <v>587</v>
      </c>
      <c r="E438" t="s">
        <v>40</v>
      </c>
      <c r="F438">
        <v>10</v>
      </c>
      <c r="G438" t="str">
        <f>IF(Table2[[#This Row],[DistanceFromHome]]&lt;=5, "short", IF(Table2[[#This Row],[DistanceFromHome]]&lt;=15, "medium", "long"))</f>
        <v>medium</v>
      </c>
      <c r="H438">
        <v>1</v>
      </c>
      <c r="I438" t="s">
        <v>46</v>
      </c>
      <c r="J438">
        <v>584</v>
      </c>
      <c r="K438">
        <v>1</v>
      </c>
      <c r="L438" t="s">
        <v>41</v>
      </c>
      <c r="M438">
        <v>38</v>
      </c>
      <c r="N438">
        <v>1</v>
      </c>
      <c r="O438">
        <v>1</v>
      </c>
      <c r="P438" t="s">
        <v>45</v>
      </c>
      <c r="Q438">
        <v>4</v>
      </c>
      <c r="R438" t="s">
        <v>47</v>
      </c>
      <c r="S438">
        <v>3408</v>
      </c>
      <c r="T438">
        <v>6705</v>
      </c>
      <c r="U438">
        <v>7</v>
      </c>
      <c r="V438" t="s">
        <v>38</v>
      </c>
      <c r="W438">
        <v>13</v>
      </c>
      <c r="X438">
        <v>3</v>
      </c>
      <c r="Y438">
        <v>1</v>
      </c>
      <c r="Z438">
        <v>3</v>
      </c>
      <c r="AA438">
        <v>8</v>
      </c>
      <c r="AB438" t="str">
        <f>IF(Table2[[#This Row],[TotalWorkingYears]]&lt;=5,"Early (0-5)",IF(Table2[[#This Row],[TotalWorkingYears]]&lt;=15,"Mid (6-15)","Senior (16+)"))</f>
        <v>Mid (6-15)</v>
      </c>
      <c r="AC438">
        <v>2</v>
      </c>
      <c r="AD438">
        <v>3</v>
      </c>
      <c r="AE438" t="s">
        <v>64</v>
      </c>
      <c r="AF438">
        <v>3</v>
      </c>
      <c r="AG438">
        <v>1</v>
      </c>
      <c r="AH438">
        <v>3</v>
      </c>
    </row>
    <row r="439" spans="1:34" x14ac:dyDescent="0.3">
      <c r="A439" t="s">
        <v>59</v>
      </c>
      <c r="B439">
        <v>0</v>
      </c>
      <c r="C439" t="s">
        <v>32</v>
      </c>
      <c r="D439">
        <v>413</v>
      </c>
      <c r="E439" t="s">
        <v>33</v>
      </c>
      <c r="F439">
        <v>7</v>
      </c>
      <c r="G439" t="str">
        <f>IF(Table2[[#This Row],[DistanceFromHome]]&lt;=5, "short", IF(Table2[[#This Row],[DistanceFromHome]]&lt;=15, "medium", "long"))</f>
        <v>medium</v>
      </c>
      <c r="H439">
        <v>1</v>
      </c>
      <c r="I439" t="s">
        <v>54</v>
      </c>
      <c r="J439">
        <v>585</v>
      </c>
      <c r="K439">
        <v>4</v>
      </c>
      <c r="L439" t="s">
        <v>41</v>
      </c>
      <c r="M439">
        <v>57</v>
      </c>
      <c r="N439">
        <v>3</v>
      </c>
      <c r="O439">
        <v>1</v>
      </c>
      <c r="P439" t="s">
        <v>52</v>
      </c>
      <c r="Q439">
        <v>2</v>
      </c>
      <c r="R439" t="s">
        <v>37</v>
      </c>
      <c r="S439">
        <v>2983</v>
      </c>
      <c r="T439">
        <v>18398</v>
      </c>
      <c r="U439">
        <v>0</v>
      </c>
      <c r="V439" t="s">
        <v>38</v>
      </c>
      <c r="W439">
        <v>14</v>
      </c>
      <c r="X439">
        <v>3</v>
      </c>
      <c r="Y439">
        <v>1</v>
      </c>
      <c r="Z439">
        <v>0</v>
      </c>
      <c r="AA439">
        <v>4</v>
      </c>
      <c r="AB439" t="str">
        <f>IF(Table2[[#This Row],[TotalWorkingYears]]&lt;=5,"Early (0-5)",IF(Table2[[#This Row],[TotalWorkingYears]]&lt;=15,"Mid (6-15)","Senior (16+)"))</f>
        <v>Early (0-5)</v>
      </c>
      <c r="AC439">
        <v>3</v>
      </c>
      <c r="AD439">
        <v>3</v>
      </c>
      <c r="AE439" t="s">
        <v>64</v>
      </c>
      <c r="AF439">
        <v>2</v>
      </c>
      <c r="AG439">
        <v>1</v>
      </c>
      <c r="AH439">
        <v>2</v>
      </c>
    </row>
    <row r="440" spans="1:34" x14ac:dyDescent="0.3">
      <c r="A440" t="s">
        <v>59</v>
      </c>
      <c r="B440">
        <v>0</v>
      </c>
      <c r="C440" t="s">
        <v>32</v>
      </c>
      <c r="D440">
        <v>1276</v>
      </c>
      <c r="E440" t="s">
        <v>40</v>
      </c>
      <c r="F440">
        <v>16</v>
      </c>
      <c r="G440" t="str">
        <f>IF(Table2[[#This Row],[DistanceFromHome]]&lt;=5, "short", IF(Table2[[#This Row],[DistanceFromHome]]&lt;=15, "medium", "long"))</f>
        <v>long</v>
      </c>
      <c r="H440">
        <v>3</v>
      </c>
      <c r="I440" t="s">
        <v>34</v>
      </c>
      <c r="J440">
        <v>586</v>
      </c>
      <c r="K440">
        <v>4</v>
      </c>
      <c r="L440" t="s">
        <v>41</v>
      </c>
      <c r="M440">
        <v>72</v>
      </c>
      <c r="N440">
        <v>3</v>
      </c>
      <c r="O440">
        <v>3</v>
      </c>
      <c r="P440" t="s">
        <v>49</v>
      </c>
      <c r="Q440">
        <v>3</v>
      </c>
      <c r="R440" t="s">
        <v>43</v>
      </c>
      <c r="S440">
        <v>7632</v>
      </c>
      <c r="T440">
        <v>14295</v>
      </c>
      <c r="U440">
        <v>4</v>
      </c>
      <c r="V440" t="s">
        <v>31</v>
      </c>
      <c r="W440">
        <v>12</v>
      </c>
      <c r="X440">
        <v>3</v>
      </c>
      <c r="Y440">
        <v>3</v>
      </c>
      <c r="Z440">
        <v>0</v>
      </c>
      <c r="AA440">
        <v>10</v>
      </c>
      <c r="AB440" t="str">
        <f>IF(Table2[[#This Row],[TotalWorkingYears]]&lt;=5,"Early (0-5)",IF(Table2[[#This Row],[TotalWorkingYears]]&lt;=15,"Mid (6-15)","Senior (16+)"))</f>
        <v>Mid (6-15)</v>
      </c>
      <c r="AC440">
        <v>2</v>
      </c>
      <c r="AD440">
        <v>3</v>
      </c>
      <c r="AE440" t="s">
        <v>62</v>
      </c>
      <c r="AF440">
        <v>7</v>
      </c>
      <c r="AG440">
        <v>0</v>
      </c>
      <c r="AH440">
        <v>0</v>
      </c>
    </row>
    <row r="441" spans="1:34" x14ac:dyDescent="0.3">
      <c r="A441" t="s">
        <v>59</v>
      </c>
      <c r="B441">
        <v>1</v>
      </c>
      <c r="C441" t="s">
        <v>39</v>
      </c>
      <c r="D441">
        <v>534</v>
      </c>
      <c r="E441" t="s">
        <v>40</v>
      </c>
      <c r="F441">
        <v>20</v>
      </c>
      <c r="G441" t="str">
        <f>IF(Table2[[#This Row],[DistanceFromHome]]&lt;=5, "short", IF(Table2[[#This Row],[DistanceFromHome]]&lt;=15, "medium", "long"))</f>
        <v>long</v>
      </c>
      <c r="H441">
        <v>3</v>
      </c>
      <c r="I441" t="s">
        <v>34</v>
      </c>
      <c r="J441">
        <v>587</v>
      </c>
      <c r="K441">
        <v>1</v>
      </c>
      <c r="L441" t="s">
        <v>41</v>
      </c>
      <c r="M441">
        <v>66</v>
      </c>
      <c r="N441">
        <v>3</v>
      </c>
      <c r="O441">
        <v>3</v>
      </c>
      <c r="P441" t="s">
        <v>49</v>
      </c>
      <c r="Q441">
        <v>3</v>
      </c>
      <c r="R441" t="s">
        <v>43</v>
      </c>
      <c r="S441">
        <v>9824</v>
      </c>
      <c r="T441">
        <v>22908</v>
      </c>
      <c r="U441">
        <v>3</v>
      </c>
      <c r="V441" t="s">
        <v>38</v>
      </c>
      <c r="W441">
        <v>12</v>
      </c>
      <c r="X441">
        <v>3</v>
      </c>
      <c r="Y441">
        <v>1</v>
      </c>
      <c r="Z441">
        <v>0</v>
      </c>
      <c r="AA441">
        <v>12</v>
      </c>
      <c r="AB441" t="str">
        <f>IF(Table2[[#This Row],[TotalWorkingYears]]&lt;=5,"Early (0-5)",IF(Table2[[#This Row],[TotalWorkingYears]]&lt;=15,"Mid (6-15)","Senior (16+)"))</f>
        <v>Mid (6-15)</v>
      </c>
      <c r="AC441">
        <v>2</v>
      </c>
      <c r="AD441">
        <v>3</v>
      </c>
      <c r="AE441" t="s">
        <v>63</v>
      </c>
      <c r="AF441">
        <v>0</v>
      </c>
      <c r="AG441">
        <v>0</v>
      </c>
      <c r="AH441">
        <v>0</v>
      </c>
    </row>
    <row r="442" spans="1:34" x14ac:dyDescent="0.3">
      <c r="A442" t="s">
        <v>59</v>
      </c>
      <c r="B442">
        <v>1</v>
      </c>
      <c r="C442" t="s">
        <v>39</v>
      </c>
      <c r="D442">
        <v>988</v>
      </c>
      <c r="E442" t="s">
        <v>56</v>
      </c>
      <c r="F442">
        <v>23</v>
      </c>
      <c r="G442" t="str">
        <f>IF(Table2[[#This Row],[DistanceFromHome]]&lt;=5, "short", IF(Table2[[#This Row],[DistanceFromHome]]&lt;=15, "medium", "long"))</f>
        <v>long</v>
      </c>
      <c r="H442">
        <v>3</v>
      </c>
      <c r="I442" t="s">
        <v>56</v>
      </c>
      <c r="J442">
        <v>590</v>
      </c>
      <c r="K442">
        <v>2</v>
      </c>
      <c r="L442" t="s">
        <v>35</v>
      </c>
      <c r="M442">
        <v>43</v>
      </c>
      <c r="N442">
        <v>3</v>
      </c>
      <c r="O442">
        <v>3</v>
      </c>
      <c r="P442" t="s">
        <v>56</v>
      </c>
      <c r="Q442">
        <v>1</v>
      </c>
      <c r="R442" t="s">
        <v>47</v>
      </c>
      <c r="S442">
        <v>9950</v>
      </c>
      <c r="T442">
        <v>11533</v>
      </c>
      <c r="U442">
        <v>9</v>
      </c>
      <c r="V442" t="s">
        <v>31</v>
      </c>
      <c r="W442">
        <v>15</v>
      </c>
      <c r="X442">
        <v>3</v>
      </c>
      <c r="Y442">
        <v>3</v>
      </c>
      <c r="Z442">
        <v>3</v>
      </c>
      <c r="AA442">
        <v>11</v>
      </c>
      <c r="AB442" t="str">
        <f>IF(Table2[[#This Row],[TotalWorkingYears]]&lt;=5,"Early (0-5)",IF(Table2[[#This Row],[TotalWorkingYears]]&lt;=15,"Mid (6-15)","Senior (16+)"))</f>
        <v>Mid (6-15)</v>
      </c>
      <c r="AC442">
        <v>2</v>
      </c>
      <c r="AD442">
        <v>3</v>
      </c>
      <c r="AE442" t="s">
        <v>64</v>
      </c>
      <c r="AF442">
        <v>2</v>
      </c>
      <c r="AG442">
        <v>0</v>
      </c>
      <c r="AH442">
        <v>2</v>
      </c>
    </row>
    <row r="443" spans="1:34" x14ac:dyDescent="0.3">
      <c r="A443" t="s">
        <v>57</v>
      </c>
      <c r="B443">
        <v>0</v>
      </c>
      <c r="C443" t="s">
        <v>39</v>
      </c>
      <c r="D443">
        <v>1474</v>
      </c>
      <c r="E443" t="s">
        <v>40</v>
      </c>
      <c r="F443">
        <v>5</v>
      </c>
      <c r="G443" t="str">
        <f>IF(Table2[[#This Row],[DistanceFromHome]]&lt;=5, "short", IF(Table2[[#This Row],[DistanceFromHome]]&lt;=15, "medium", "long"))</f>
        <v>short</v>
      </c>
      <c r="H443">
        <v>2</v>
      </c>
      <c r="I443" t="s">
        <v>44</v>
      </c>
      <c r="J443">
        <v>591</v>
      </c>
      <c r="K443">
        <v>2</v>
      </c>
      <c r="L443" t="s">
        <v>41</v>
      </c>
      <c r="M443">
        <v>97</v>
      </c>
      <c r="N443">
        <v>3</v>
      </c>
      <c r="O443">
        <v>1</v>
      </c>
      <c r="P443" t="s">
        <v>45</v>
      </c>
      <c r="Q443">
        <v>3</v>
      </c>
      <c r="R443" t="s">
        <v>43</v>
      </c>
      <c r="S443">
        <v>2093</v>
      </c>
      <c r="T443">
        <v>9260</v>
      </c>
      <c r="U443">
        <v>4</v>
      </c>
      <c r="V443" t="s">
        <v>38</v>
      </c>
      <c r="W443">
        <v>17</v>
      </c>
      <c r="X443">
        <v>3</v>
      </c>
      <c r="Y443">
        <v>4</v>
      </c>
      <c r="Z443">
        <v>1</v>
      </c>
      <c r="AA443">
        <v>8</v>
      </c>
      <c r="AB443" t="str">
        <f>IF(Table2[[#This Row],[TotalWorkingYears]]&lt;=5,"Early (0-5)",IF(Table2[[#This Row],[TotalWorkingYears]]&lt;=15,"Mid (6-15)","Senior (16+)"))</f>
        <v>Mid (6-15)</v>
      </c>
      <c r="AC443">
        <v>4</v>
      </c>
      <c r="AD443">
        <v>3</v>
      </c>
      <c r="AE443" t="s">
        <v>63</v>
      </c>
      <c r="AF443">
        <v>2</v>
      </c>
      <c r="AG443">
        <v>2</v>
      </c>
      <c r="AH443">
        <v>0</v>
      </c>
    </row>
    <row r="444" spans="1:34" x14ac:dyDescent="0.3">
      <c r="A444" t="s">
        <v>57</v>
      </c>
      <c r="B444">
        <v>0</v>
      </c>
      <c r="C444" t="s">
        <v>50</v>
      </c>
      <c r="D444">
        <v>635</v>
      </c>
      <c r="E444" t="s">
        <v>33</v>
      </c>
      <c r="F444">
        <v>10</v>
      </c>
      <c r="G444" t="str">
        <f>IF(Table2[[#This Row],[DistanceFromHome]]&lt;=5, "short", IF(Table2[[#This Row],[DistanceFromHome]]&lt;=15, "medium", "long"))</f>
        <v>medium</v>
      </c>
      <c r="H444">
        <v>4</v>
      </c>
      <c r="I444" t="s">
        <v>46</v>
      </c>
      <c r="J444">
        <v>592</v>
      </c>
      <c r="K444">
        <v>2</v>
      </c>
      <c r="L444" t="s">
        <v>41</v>
      </c>
      <c r="M444">
        <v>32</v>
      </c>
      <c r="N444">
        <v>3</v>
      </c>
      <c r="O444">
        <v>3</v>
      </c>
      <c r="P444" t="s">
        <v>36</v>
      </c>
      <c r="Q444">
        <v>4</v>
      </c>
      <c r="R444" t="s">
        <v>37</v>
      </c>
      <c r="S444">
        <v>9980</v>
      </c>
      <c r="T444">
        <v>15318</v>
      </c>
      <c r="U444">
        <v>1</v>
      </c>
      <c r="V444" t="s">
        <v>38</v>
      </c>
      <c r="W444">
        <v>14</v>
      </c>
      <c r="X444">
        <v>3</v>
      </c>
      <c r="Y444">
        <v>4</v>
      </c>
      <c r="Z444">
        <v>0</v>
      </c>
      <c r="AA444">
        <v>10</v>
      </c>
      <c r="AB444" t="str">
        <f>IF(Table2[[#This Row],[TotalWorkingYears]]&lt;=5,"Early (0-5)",IF(Table2[[#This Row],[TotalWorkingYears]]&lt;=15,"Mid (6-15)","Senior (16+)"))</f>
        <v>Mid (6-15)</v>
      </c>
      <c r="AC444">
        <v>3</v>
      </c>
      <c r="AD444">
        <v>2</v>
      </c>
      <c r="AE444" t="s">
        <v>62</v>
      </c>
      <c r="AF444">
        <v>3</v>
      </c>
      <c r="AG444">
        <v>9</v>
      </c>
      <c r="AH444">
        <v>7</v>
      </c>
    </row>
    <row r="445" spans="1:34" x14ac:dyDescent="0.3">
      <c r="A445" t="s">
        <v>60</v>
      </c>
      <c r="B445">
        <v>1</v>
      </c>
      <c r="C445" t="s">
        <v>39</v>
      </c>
      <c r="D445">
        <v>1368</v>
      </c>
      <c r="E445" t="s">
        <v>40</v>
      </c>
      <c r="F445">
        <v>4</v>
      </c>
      <c r="G445" t="str">
        <f>IF(Table2[[#This Row],[DistanceFromHome]]&lt;=5, "short", IF(Table2[[#This Row],[DistanceFromHome]]&lt;=15, "medium", "long"))</f>
        <v>short</v>
      </c>
      <c r="H445">
        <v>1</v>
      </c>
      <c r="I445" t="s">
        <v>55</v>
      </c>
      <c r="J445">
        <v>593</v>
      </c>
      <c r="K445">
        <v>3</v>
      </c>
      <c r="L445" t="s">
        <v>41</v>
      </c>
      <c r="M445">
        <v>99</v>
      </c>
      <c r="N445">
        <v>2</v>
      </c>
      <c r="O445">
        <v>1</v>
      </c>
      <c r="P445" t="s">
        <v>45</v>
      </c>
      <c r="Q445">
        <v>3</v>
      </c>
      <c r="R445" t="s">
        <v>37</v>
      </c>
      <c r="S445">
        <v>3894</v>
      </c>
      <c r="T445">
        <v>9129</v>
      </c>
      <c r="U445">
        <v>5</v>
      </c>
      <c r="V445" t="s">
        <v>38</v>
      </c>
      <c r="W445">
        <v>16</v>
      </c>
      <c r="X445">
        <v>3</v>
      </c>
      <c r="Y445">
        <v>3</v>
      </c>
      <c r="Z445">
        <v>0</v>
      </c>
      <c r="AA445">
        <v>4</v>
      </c>
      <c r="AB445" t="str">
        <f>IF(Table2[[#This Row],[TotalWorkingYears]]&lt;=5,"Early (0-5)",IF(Table2[[#This Row],[TotalWorkingYears]]&lt;=15,"Mid (6-15)","Senior (16+)"))</f>
        <v>Early (0-5)</v>
      </c>
      <c r="AC445">
        <v>3</v>
      </c>
      <c r="AD445">
        <v>3</v>
      </c>
      <c r="AE445" t="s">
        <v>63</v>
      </c>
      <c r="AF445">
        <v>2</v>
      </c>
      <c r="AG445">
        <v>1</v>
      </c>
      <c r="AH445">
        <v>2</v>
      </c>
    </row>
    <row r="446" spans="1:34" x14ac:dyDescent="0.3">
      <c r="A446" t="s">
        <v>58</v>
      </c>
      <c r="B446">
        <v>0</v>
      </c>
      <c r="C446" t="s">
        <v>32</v>
      </c>
      <c r="D446">
        <v>163</v>
      </c>
      <c r="E446" t="s">
        <v>33</v>
      </c>
      <c r="F446">
        <v>2</v>
      </c>
      <c r="G446" t="str">
        <f>IF(Table2[[#This Row],[DistanceFromHome]]&lt;=5, "short", IF(Table2[[#This Row],[DistanceFromHome]]&lt;=15, "medium", "long"))</f>
        <v>short</v>
      </c>
      <c r="H446">
        <v>5</v>
      </c>
      <c r="I446" t="s">
        <v>54</v>
      </c>
      <c r="J446">
        <v>595</v>
      </c>
      <c r="K446">
        <v>2</v>
      </c>
      <c r="L446" t="s">
        <v>35</v>
      </c>
      <c r="M446">
        <v>37</v>
      </c>
      <c r="N446">
        <v>3</v>
      </c>
      <c r="O446">
        <v>2</v>
      </c>
      <c r="P446" t="s">
        <v>36</v>
      </c>
      <c r="Q446">
        <v>4</v>
      </c>
      <c r="R446" t="s">
        <v>43</v>
      </c>
      <c r="S446">
        <v>4051</v>
      </c>
      <c r="T446">
        <v>19658</v>
      </c>
      <c r="U446">
        <v>2</v>
      </c>
      <c r="V446" t="s">
        <v>38</v>
      </c>
      <c r="W446">
        <v>14</v>
      </c>
      <c r="X446">
        <v>3</v>
      </c>
      <c r="Y446">
        <v>1</v>
      </c>
      <c r="Z446">
        <v>1</v>
      </c>
      <c r="AA446">
        <v>14</v>
      </c>
      <c r="AB446" t="str">
        <f>IF(Table2[[#This Row],[TotalWorkingYears]]&lt;=5,"Early (0-5)",IF(Table2[[#This Row],[TotalWorkingYears]]&lt;=15,"Mid (6-15)","Senior (16+)"))</f>
        <v>Mid (6-15)</v>
      </c>
      <c r="AC446">
        <v>2</v>
      </c>
      <c r="AD446">
        <v>3</v>
      </c>
      <c r="AE446" t="s">
        <v>62</v>
      </c>
      <c r="AF446">
        <v>7</v>
      </c>
      <c r="AG446">
        <v>6</v>
      </c>
      <c r="AH446">
        <v>7</v>
      </c>
    </row>
    <row r="447" spans="1:34" x14ac:dyDescent="0.3">
      <c r="A447" t="s">
        <v>58</v>
      </c>
      <c r="B447">
        <v>0</v>
      </c>
      <c r="C447" t="s">
        <v>32</v>
      </c>
      <c r="D447">
        <v>1117</v>
      </c>
      <c r="E447" t="s">
        <v>33</v>
      </c>
      <c r="F447">
        <v>18</v>
      </c>
      <c r="G447" t="str">
        <f>IF(Table2[[#This Row],[DistanceFromHome]]&lt;=5, "short", IF(Table2[[#This Row],[DistanceFromHome]]&lt;=15, "medium", "long"))</f>
        <v>long</v>
      </c>
      <c r="H447">
        <v>5</v>
      </c>
      <c r="I447" t="s">
        <v>34</v>
      </c>
      <c r="J447">
        <v>597</v>
      </c>
      <c r="K447">
        <v>1</v>
      </c>
      <c r="L447" t="s">
        <v>35</v>
      </c>
      <c r="M447">
        <v>83</v>
      </c>
      <c r="N447">
        <v>3</v>
      </c>
      <c r="O447">
        <v>4</v>
      </c>
      <c r="P447" t="s">
        <v>51</v>
      </c>
      <c r="Q447">
        <v>2</v>
      </c>
      <c r="R447" t="s">
        <v>37</v>
      </c>
      <c r="S447">
        <v>16835</v>
      </c>
      <c r="T447">
        <v>9873</v>
      </c>
      <c r="U447">
        <v>3</v>
      </c>
      <c r="V447" t="s">
        <v>38</v>
      </c>
      <c r="W447">
        <v>23</v>
      </c>
      <c r="X447">
        <v>4</v>
      </c>
      <c r="Y447">
        <v>4</v>
      </c>
      <c r="Z447">
        <v>0</v>
      </c>
      <c r="AA447">
        <v>37</v>
      </c>
      <c r="AB447" t="str">
        <f>IF(Table2[[#This Row],[TotalWorkingYears]]&lt;=5,"Early (0-5)",IF(Table2[[#This Row],[TotalWorkingYears]]&lt;=15,"Mid (6-15)","Senior (16+)"))</f>
        <v>Senior (16+)</v>
      </c>
      <c r="AC447">
        <v>2</v>
      </c>
      <c r="AD447">
        <v>3</v>
      </c>
      <c r="AE447" t="s">
        <v>62</v>
      </c>
      <c r="AF447">
        <v>9</v>
      </c>
      <c r="AG447">
        <v>7</v>
      </c>
      <c r="AH447">
        <v>7</v>
      </c>
    </row>
    <row r="448" spans="1:34" x14ac:dyDescent="0.3">
      <c r="A448" t="s">
        <v>57</v>
      </c>
      <c r="B448">
        <v>0</v>
      </c>
      <c r="C448" t="s">
        <v>50</v>
      </c>
      <c r="D448">
        <v>267</v>
      </c>
      <c r="E448" t="s">
        <v>33</v>
      </c>
      <c r="F448">
        <v>10</v>
      </c>
      <c r="G448" t="str">
        <f>IF(Table2[[#This Row],[DistanceFromHome]]&lt;=5, "short", IF(Table2[[#This Row],[DistanceFromHome]]&lt;=15, "medium", "long"))</f>
        <v>medium</v>
      </c>
      <c r="H448">
        <v>2</v>
      </c>
      <c r="I448" t="s">
        <v>34</v>
      </c>
      <c r="J448">
        <v>599</v>
      </c>
      <c r="K448">
        <v>4</v>
      </c>
      <c r="L448" t="s">
        <v>41</v>
      </c>
      <c r="M448">
        <v>56</v>
      </c>
      <c r="N448">
        <v>3</v>
      </c>
      <c r="O448">
        <v>2</v>
      </c>
      <c r="P448" t="s">
        <v>36</v>
      </c>
      <c r="Q448">
        <v>4</v>
      </c>
      <c r="R448" t="s">
        <v>37</v>
      </c>
      <c r="S448">
        <v>6230</v>
      </c>
      <c r="T448">
        <v>13430</v>
      </c>
      <c r="U448">
        <v>7</v>
      </c>
      <c r="V448" t="s">
        <v>38</v>
      </c>
      <c r="W448">
        <v>14</v>
      </c>
      <c r="X448">
        <v>3</v>
      </c>
      <c r="Y448">
        <v>4</v>
      </c>
      <c r="Z448">
        <v>0</v>
      </c>
      <c r="AA448">
        <v>16</v>
      </c>
      <c r="AB448" t="str">
        <f>IF(Table2[[#This Row],[TotalWorkingYears]]&lt;=5,"Early (0-5)",IF(Table2[[#This Row],[TotalWorkingYears]]&lt;=15,"Mid (6-15)","Senior (16+)"))</f>
        <v>Senior (16+)</v>
      </c>
      <c r="AC448">
        <v>3</v>
      </c>
      <c r="AD448">
        <v>3</v>
      </c>
      <c r="AE448" t="s">
        <v>65</v>
      </c>
      <c r="AF448">
        <v>3</v>
      </c>
      <c r="AG448">
        <v>1</v>
      </c>
      <c r="AH448">
        <v>10</v>
      </c>
    </row>
    <row r="449" spans="1:34" x14ac:dyDescent="0.3">
      <c r="A449" t="s">
        <v>59</v>
      </c>
      <c r="B449">
        <v>0</v>
      </c>
      <c r="C449" t="s">
        <v>32</v>
      </c>
      <c r="D449">
        <v>619</v>
      </c>
      <c r="E449" t="s">
        <v>33</v>
      </c>
      <c r="F449">
        <v>1</v>
      </c>
      <c r="G449" t="str">
        <f>IF(Table2[[#This Row],[DistanceFromHome]]&lt;=5, "short", IF(Table2[[#This Row],[DistanceFromHome]]&lt;=15, "medium", "long"))</f>
        <v>short</v>
      </c>
      <c r="H449">
        <v>3</v>
      </c>
      <c r="I449" t="s">
        <v>54</v>
      </c>
      <c r="J449">
        <v>600</v>
      </c>
      <c r="K449">
        <v>2</v>
      </c>
      <c r="L449" t="s">
        <v>41</v>
      </c>
      <c r="M449">
        <v>85</v>
      </c>
      <c r="N449">
        <v>3</v>
      </c>
      <c r="O449">
        <v>2</v>
      </c>
      <c r="P449" t="s">
        <v>36</v>
      </c>
      <c r="Q449">
        <v>3</v>
      </c>
      <c r="R449" t="s">
        <v>43</v>
      </c>
      <c r="S449">
        <v>4717</v>
      </c>
      <c r="T449">
        <v>18659</v>
      </c>
      <c r="U449">
        <v>9</v>
      </c>
      <c r="V449" t="s">
        <v>38</v>
      </c>
      <c r="W449">
        <v>11</v>
      </c>
      <c r="X449">
        <v>3</v>
      </c>
      <c r="Y449">
        <v>3</v>
      </c>
      <c r="Z449">
        <v>0</v>
      </c>
      <c r="AA449">
        <v>15</v>
      </c>
      <c r="AB449" t="str">
        <f>IF(Table2[[#This Row],[TotalWorkingYears]]&lt;=5,"Early (0-5)",IF(Table2[[#This Row],[TotalWorkingYears]]&lt;=15,"Mid (6-15)","Senior (16+)"))</f>
        <v>Mid (6-15)</v>
      </c>
      <c r="AC449">
        <v>2</v>
      </c>
      <c r="AD449">
        <v>3</v>
      </c>
      <c r="AE449" t="s">
        <v>65</v>
      </c>
      <c r="AF449">
        <v>9</v>
      </c>
      <c r="AG449">
        <v>6</v>
      </c>
      <c r="AH449">
        <v>9</v>
      </c>
    </row>
    <row r="450" spans="1:34" x14ac:dyDescent="0.3">
      <c r="A450" t="s">
        <v>57</v>
      </c>
      <c r="B450">
        <v>0</v>
      </c>
      <c r="C450" t="s">
        <v>32</v>
      </c>
      <c r="D450">
        <v>302</v>
      </c>
      <c r="E450" t="s">
        <v>40</v>
      </c>
      <c r="F450">
        <v>6</v>
      </c>
      <c r="G450" t="str">
        <f>IF(Table2[[#This Row],[DistanceFromHome]]&lt;=5, "short", IF(Table2[[#This Row],[DistanceFromHome]]&lt;=15, "medium", "long"))</f>
        <v>medium</v>
      </c>
      <c r="H450">
        <v>3</v>
      </c>
      <c r="I450" t="s">
        <v>34</v>
      </c>
      <c r="J450">
        <v>601</v>
      </c>
      <c r="K450">
        <v>2</v>
      </c>
      <c r="L450" t="s">
        <v>35</v>
      </c>
      <c r="M450">
        <v>75</v>
      </c>
      <c r="N450">
        <v>3</v>
      </c>
      <c r="O450">
        <v>4</v>
      </c>
      <c r="P450" t="s">
        <v>48</v>
      </c>
      <c r="Q450">
        <v>3</v>
      </c>
      <c r="R450" t="s">
        <v>37</v>
      </c>
      <c r="S450">
        <v>13237</v>
      </c>
      <c r="T450">
        <v>20364</v>
      </c>
      <c r="U450">
        <v>7</v>
      </c>
      <c r="V450" t="s">
        <v>38</v>
      </c>
      <c r="W450">
        <v>15</v>
      </c>
      <c r="X450">
        <v>3</v>
      </c>
      <c r="Y450">
        <v>3</v>
      </c>
      <c r="Z450">
        <v>0</v>
      </c>
      <c r="AA450">
        <v>22</v>
      </c>
      <c r="AB450" t="str">
        <f>IF(Table2[[#This Row],[TotalWorkingYears]]&lt;=5,"Early (0-5)",IF(Table2[[#This Row],[TotalWorkingYears]]&lt;=15,"Mid (6-15)","Senior (16+)"))</f>
        <v>Senior (16+)</v>
      </c>
      <c r="AC450">
        <v>3</v>
      </c>
      <c r="AD450">
        <v>3</v>
      </c>
      <c r="AE450" t="s">
        <v>65</v>
      </c>
      <c r="AF450">
        <v>6</v>
      </c>
      <c r="AG450">
        <v>5</v>
      </c>
      <c r="AH450">
        <v>13</v>
      </c>
    </row>
    <row r="451" spans="1:34" x14ac:dyDescent="0.3">
      <c r="A451" t="s">
        <v>57</v>
      </c>
      <c r="B451">
        <v>0</v>
      </c>
      <c r="C451" t="s">
        <v>39</v>
      </c>
      <c r="D451">
        <v>443</v>
      </c>
      <c r="E451" t="s">
        <v>40</v>
      </c>
      <c r="F451">
        <v>8</v>
      </c>
      <c r="G451" t="str">
        <f>IF(Table2[[#This Row],[DistanceFromHome]]&lt;=5, "short", IF(Table2[[#This Row],[DistanceFromHome]]&lt;=15, "medium", "long"))</f>
        <v>medium</v>
      </c>
      <c r="H451">
        <v>1</v>
      </c>
      <c r="I451" t="s">
        <v>34</v>
      </c>
      <c r="J451">
        <v>602</v>
      </c>
      <c r="K451">
        <v>3</v>
      </c>
      <c r="L451" t="s">
        <v>35</v>
      </c>
      <c r="M451">
        <v>48</v>
      </c>
      <c r="N451">
        <v>3</v>
      </c>
      <c r="O451">
        <v>1</v>
      </c>
      <c r="P451" t="s">
        <v>45</v>
      </c>
      <c r="Q451">
        <v>3</v>
      </c>
      <c r="R451" t="s">
        <v>43</v>
      </c>
      <c r="S451">
        <v>3755</v>
      </c>
      <c r="T451">
        <v>17872</v>
      </c>
      <c r="U451">
        <v>1</v>
      </c>
      <c r="V451" t="s">
        <v>38</v>
      </c>
      <c r="W451">
        <v>11</v>
      </c>
      <c r="X451">
        <v>3</v>
      </c>
      <c r="Y451">
        <v>1</v>
      </c>
      <c r="Z451">
        <v>1</v>
      </c>
      <c r="AA451">
        <v>8</v>
      </c>
      <c r="AB451" t="str">
        <f>IF(Table2[[#This Row],[TotalWorkingYears]]&lt;=5,"Early (0-5)",IF(Table2[[#This Row],[TotalWorkingYears]]&lt;=15,"Mid (6-15)","Senior (16+)"))</f>
        <v>Mid (6-15)</v>
      </c>
      <c r="AC451">
        <v>3</v>
      </c>
      <c r="AD451">
        <v>3</v>
      </c>
      <c r="AE451" t="s">
        <v>62</v>
      </c>
      <c r="AF451">
        <v>3</v>
      </c>
      <c r="AG451">
        <v>0</v>
      </c>
      <c r="AH451">
        <v>7</v>
      </c>
    </row>
    <row r="452" spans="1:34" x14ac:dyDescent="0.3">
      <c r="A452" t="s">
        <v>59</v>
      </c>
      <c r="B452">
        <v>0</v>
      </c>
      <c r="C452" t="s">
        <v>32</v>
      </c>
      <c r="D452">
        <v>828</v>
      </c>
      <c r="E452" t="s">
        <v>33</v>
      </c>
      <c r="F452">
        <v>2</v>
      </c>
      <c r="G452" t="str">
        <f>IF(Table2[[#This Row],[DistanceFromHome]]&lt;=5, "short", IF(Table2[[#This Row],[DistanceFromHome]]&lt;=15, "medium", "long"))</f>
        <v>short</v>
      </c>
      <c r="H452">
        <v>1</v>
      </c>
      <c r="I452" t="s">
        <v>34</v>
      </c>
      <c r="J452">
        <v>604</v>
      </c>
      <c r="K452">
        <v>2</v>
      </c>
      <c r="L452" t="s">
        <v>41</v>
      </c>
      <c r="M452">
        <v>77</v>
      </c>
      <c r="N452">
        <v>3</v>
      </c>
      <c r="O452">
        <v>2</v>
      </c>
      <c r="P452" t="s">
        <v>36</v>
      </c>
      <c r="Q452">
        <v>4</v>
      </c>
      <c r="R452" t="s">
        <v>37</v>
      </c>
      <c r="S452">
        <v>6582</v>
      </c>
      <c r="T452">
        <v>8346</v>
      </c>
      <c r="U452">
        <v>4</v>
      </c>
      <c r="V452" t="s">
        <v>31</v>
      </c>
      <c r="W452">
        <v>13</v>
      </c>
      <c r="X452">
        <v>3</v>
      </c>
      <c r="Y452">
        <v>3</v>
      </c>
      <c r="Z452">
        <v>0</v>
      </c>
      <c r="AA452">
        <v>10</v>
      </c>
      <c r="AB452" t="str">
        <f>IF(Table2[[#This Row],[TotalWorkingYears]]&lt;=5,"Early (0-5)",IF(Table2[[#This Row],[TotalWorkingYears]]&lt;=15,"Mid (6-15)","Senior (16+)"))</f>
        <v>Mid (6-15)</v>
      </c>
      <c r="AC452">
        <v>2</v>
      </c>
      <c r="AD452">
        <v>4</v>
      </c>
      <c r="AE452" t="s">
        <v>62</v>
      </c>
      <c r="AF452">
        <v>5</v>
      </c>
      <c r="AG452">
        <v>0</v>
      </c>
      <c r="AH452">
        <v>5</v>
      </c>
    </row>
    <row r="453" spans="1:34" x14ac:dyDescent="0.3">
      <c r="A453" t="s">
        <v>57</v>
      </c>
      <c r="B453">
        <v>0</v>
      </c>
      <c r="C453" t="s">
        <v>32</v>
      </c>
      <c r="D453">
        <v>319</v>
      </c>
      <c r="E453" t="s">
        <v>40</v>
      </c>
      <c r="F453">
        <v>24</v>
      </c>
      <c r="G453" t="str">
        <f>IF(Table2[[#This Row],[DistanceFromHome]]&lt;=5, "short", IF(Table2[[#This Row],[DistanceFromHome]]&lt;=15, "medium", "long"))</f>
        <v>long</v>
      </c>
      <c r="H453">
        <v>3</v>
      </c>
      <c r="I453" t="s">
        <v>46</v>
      </c>
      <c r="J453">
        <v>605</v>
      </c>
      <c r="K453">
        <v>4</v>
      </c>
      <c r="L453" t="s">
        <v>41</v>
      </c>
      <c r="M453">
        <v>56</v>
      </c>
      <c r="N453">
        <v>3</v>
      </c>
      <c r="O453">
        <v>3</v>
      </c>
      <c r="P453" t="s">
        <v>48</v>
      </c>
      <c r="Q453">
        <v>1</v>
      </c>
      <c r="R453" t="s">
        <v>43</v>
      </c>
      <c r="S453">
        <v>7406</v>
      </c>
      <c r="T453">
        <v>6950</v>
      </c>
      <c r="U453">
        <v>1</v>
      </c>
      <c r="V453" t="s">
        <v>31</v>
      </c>
      <c r="W453">
        <v>21</v>
      </c>
      <c r="X453">
        <v>4</v>
      </c>
      <c r="Y453">
        <v>4</v>
      </c>
      <c r="Z453">
        <v>1</v>
      </c>
      <c r="AA453">
        <v>10</v>
      </c>
      <c r="AB453" t="str">
        <f>IF(Table2[[#This Row],[TotalWorkingYears]]&lt;=5,"Early (0-5)",IF(Table2[[#This Row],[TotalWorkingYears]]&lt;=15,"Mid (6-15)","Senior (16+)"))</f>
        <v>Mid (6-15)</v>
      </c>
      <c r="AC453">
        <v>5</v>
      </c>
      <c r="AD453">
        <v>2</v>
      </c>
      <c r="AE453" t="s">
        <v>62</v>
      </c>
      <c r="AF453">
        <v>9</v>
      </c>
      <c r="AG453">
        <v>5</v>
      </c>
      <c r="AH453">
        <v>8</v>
      </c>
    </row>
    <row r="454" spans="1:34" x14ac:dyDescent="0.3">
      <c r="A454" t="s">
        <v>57</v>
      </c>
      <c r="B454">
        <v>0</v>
      </c>
      <c r="C454" t="s">
        <v>32</v>
      </c>
      <c r="D454">
        <v>561</v>
      </c>
      <c r="E454" t="s">
        <v>33</v>
      </c>
      <c r="F454">
        <v>2</v>
      </c>
      <c r="G454" t="str">
        <f>IF(Table2[[#This Row],[DistanceFromHome]]&lt;=5, "short", IF(Table2[[#This Row],[DistanceFromHome]]&lt;=15, "medium", "long"))</f>
        <v>short</v>
      </c>
      <c r="H454">
        <v>3</v>
      </c>
      <c r="I454" t="s">
        <v>44</v>
      </c>
      <c r="J454">
        <v>606</v>
      </c>
      <c r="K454">
        <v>4</v>
      </c>
      <c r="L454" t="s">
        <v>41</v>
      </c>
      <c r="M454">
        <v>61</v>
      </c>
      <c r="N454">
        <v>3</v>
      </c>
      <c r="O454">
        <v>2</v>
      </c>
      <c r="P454" t="s">
        <v>36</v>
      </c>
      <c r="Q454">
        <v>2</v>
      </c>
      <c r="R454" t="s">
        <v>43</v>
      </c>
      <c r="S454">
        <v>4805</v>
      </c>
      <c r="T454">
        <v>16177</v>
      </c>
      <c r="U454">
        <v>0</v>
      </c>
      <c r="V454" t="s">
        <v>38</v>
      </c>
      <c r="W454">
        <v>19</v>
      </c>
      <c r="X454">
        <v>3</v>
      </c>
      <c r="Y454">
        <v>2</v>
      </c>
      <c r="Z454">
        <v>1</v>
      </c>
      <c r="AA454">
        <v>9</v>
      </c>
      <c r="AB454" t="str">
        <f>IF(Table2[[#This Row],[TotalWorkingYears]]&lt;=5,"Early (0-5)",IF(Table2[[#This Row],[TotalWorkingYears]]&lt;=15,"Mid (6-15)","Senior (16+)"))</f>
        <v>Mid (6-15)</v>
      </c>
      <c r="AC454">
        <v>3</v>
      </c>
      <c r="AD454">
        <v>4</v>
      </c>
      <c r="AE454" t="s">
        <v>62</v>
      </c>
      <c r="AF454">
        <v>7</v>
      </c>
      <c r="AG454">
        <v>3</v>
      </c>
      <c r="AH454">
        <v>7</v>
      </c>
    </row>
    <row r="455" spans="1:34" x14ac:dyDescent="0.3">
      <c r="A455" t="s">
        <v>59</v>
      </c>
      <c r="B455">
        <v>1</v>
      </c>
      <c r="C455" t="s">
        <v>39</v>
      </c>
      <c r="D455">
        <v>426</v>
      </c>
      <c r="E455" t="s">
        <v>56</v>
      </c>
      <c r="F455">
        <v>17</v>
      </c>
      <c r="G455" t="str">
        <f>IF(Table2[[#This Row],[DistanceFromHome]]&lt;=5, "short", IF(Table2[[#This Row],[DistanceFromHome]]&lt;=15, "medium", "long"))</f>
        <v>long</v>
      </c>
      <c r="H455">
        <v>4</v>
      </c>
      <c r="I455" t="s">
        <v>34</v>
      </c>
      <c r="J455">
        <v>608</v>
      </c>
      <c r="K455">
        <v>2</v>
      </c>
      <c r="L455" t="s">
        <v>35</v>
      </c>
      <c r="M455">
        <v>58</v>
      </c>
      <c r="N455">
        <v>3</v>
      </c>
      <c r="O455">
        <v>1</v>
      </c>
      <c r="P455" t="s">
        <v>56</v>
      </c>
      <c r="Q455">
        <v>3</v>
      </c>
      <c r="R455" t="s">
        <v>47</v>
      </c>
      <c r="S455">
        <v>2741</v>
      </c>
      <c r="T455">
        <v>22808</v>
      </c>
      <c r="U455">
        <v>0</v>
      </c>
      <c r="V455" t="s">
        <v>31</v>
      </c>
      <c r="W455">
        <v>11</v>
      </c>
      <c r="X455">
        <v>3</v>
      </c>
      <c r="Y455">
        <v>2</v>
      </c>
      <c r="Z455">
        <v>1</v>
      </c>
      <c r="AA455">
        <v>8</v>
      </c>
      <c r="AB455" t="str">
        <f>IF(Table2[[#This Row],[TotalWorkingYears]]&lt;=5,"Early (0-5)",IF(Table2[[#This Row],[TotalWorkingYears]]&lt;=15,"Mid (6-15)","Senior (16+)"))</f>
        <v>Mid (6-15)</v>
      </c>
      <c r="AC455">
        <v>2</v>
      </c>
      <c r="AD455">
        <v>2</v>
      </c>
      <c r="AE455" t="s">
        <v>62</v>
      </c>
      <c r="AF455">
        <v>7</v>
      </c>
      <c r="AG455">
        <v>1</v>
      </c>
      <c r="AH455">
        <v>0</v>
      </c>
    </row>
    <row r="456" spans="1:34" x14ac:dyDescent="0.3">
      <c r="A456" t="s">
        <v>59</v>
      </c>
      <c r="B456">
        <v>0</v>
      </c>
      <c r="C456" t="s">
        <v>32</v>
      </c>
      <c r="D456">
        <v>232</v>
      </c>
      <c r="E456" t="s">
        <v>40</v>
      </c>
      <c r="F456">
        <v>19</v>
      </c>
      <c r="G456" t="str">
        <f>IF(Table2[[#This Row],[DistanceFromHome]]&lt;=5, "short", IF(Table2[[#This Row],[DistanceFromHome]]&lt;=15, "medium", "long"))</f>
        <v>long</v>
      </c>
      <c r="H456">
        <v>3</v>
      </c>
      <c r="I456" t="s">
        <v>55</v>
      </c>
      <c r="J456">
        <v>611</v>
      </c>
      <c r="K456">
        <v>4</v>
      </c>
      <c r="L456" t="s">
        <v>41</v>
      </c>
      <c r="M456">
        <v>34</v>
      </c>
      <c r="N456">
        <v>3</v>
      </c>
      <c r="O456">
        <v>2</v>
      </c>
      <c r="P456" t="s">
        <v>48</v>
      </c>
      <c r="Q456">
        <v>4</v>
      </c>
      <c r="R456" t="s">
        <v>47</v>
      </c>
      <c r="S456">
        <v>4262</v>
      </c>
      <c r="T456">
        <v>22645</v>
      </c>
      <c r="U456">
        <v>4</v>
      </c>
      <c r="V456" t="s">
        <v>38</v>
      </c>
      <c r="W456">
        <v>12</v>
      </c>
      <c r="X456">
        <v>3</v>
      </c>
      <c r="Y456">
        <v>2</v>
      </c>
      <c r="Z456">
        <v>2</v>
      </c>
      <c r="AA456">
        <v>8</v>
      </c>
      <c r="AB456" t="str">
        <f>IF(Table2[[#This Row],[TotalWorkingYears]]&lt;=5,"Early (0-5)",IF(Table2[[#This Row],[TotalWorkingYears]]&lt;=15,"Mid (6-15)","Senior (16+)"))</f>
        <v>Mid (6-15)</v>
      </c>
      <c r="AC456">
        <v>2</v>
      </c>
      <c r="AD456">
        <v>4</v>
      </c>
      <c r="AE456" t="s">
        <v>64</v>
      </c>
      <c r="AF456">
        <v>2</v>
      </c>
      <c r="AG456">
        <v>1</v>
      </c>
      <c r="AH456">
        <v>2</v>
      </c>
    </row>
    <row r="457" spans="1:34" x14ac:dyDescent="0.3">
      <c r="A457" t="s">
        <v>59</v>
      </c>
      <c r="B457">
        <v>0</v>
      </c>
      <c r="C457" t="s">
        <v>32</v>
      </c>
      <c r="D457">
        <v>922</v>
      </c>
      <c r="E457" t="s">
        <v>40</v>
      </c>
      <c r="F457">
        <v>1</v>
      </c>
      <c r="G457" t="str">
        <f>IF(Table2[[#This Row],[DistanceFromHome]]&lt;=5, "short", IF(Table2[[#This Row],[DistanceFromHome]]&lt;=15, "medium", "long"))</f>
        <v>short</v>
      </c>
      <c r="H457">
        <v>5</v>
      </c>
      <c r="I457" t="s">
        <v>46</v>
      </c>
      <c r="J457">
        <v>612</v>
      </c>
      <c r="K457">
        <v>1</v>
      </c>
      <c r="L457" t="s">
        <v>35</v>
      </c>
      <c r="M457">
        <v>95</v>
      </c>
      <c r="N457">
        <v>4</v>
      </c>
      <c r="O457">
        <v>4</v>
      </c>
      <c r="P457" t="s">
        <v>53</v>
      </c>
      <c r="Q457">
        <v>3</v>
      </c>
      <c r="R457" t="s">
        <v>47</v>
      </c>
      <c r="S457">
        <v>16184</v>
      </c>
      <c r="T457">
        <v>22578</v>
      </c>
      <c r="U457">
        <v>4</v>
      </c>
      <c r="V457" t="s">
        <v>38</v>
      </c>
      <c r="W457">
        <v>19</v>
      </c>
      <c r="X457">
        <v>3</v>
      </c>
      <c r="Y457">
        <v>3</v>
      </c>
      <c r="Z457">
        <v>1</v>
      </c>
      <c r="AA457">
        <v>10</v>
      </c>
      <c r="AB457" t="str">
        <f>IF(Table2[[#This Row],[TotalWorkingYears]]&lt;=5,"Early (0-5)",IF(Table2[[#This Row],[TotalWorkingYears]]&lt;=15,"Mid (6-15)","Senior (16+)"))</f>
        <v>Mid (6-15)</v>
      </c>
      <c r="AC457">
        <v>2</v>
      </c>
      <c r="AD457">
        <v>3</v>
      </c>
      <c r="AE457" t="s">
        <v>62</v>
      </c>
      <c r="AF457">
        <v>1</v>
      </c>
      <c r="AG457">
        <v>0</v>
      </c>
      <c r="AH457">
        <v>5</v>
      </c>
    </row>
    <row r="458" spans="1:34" x14ac:dyDescent="0.3">
      <c r="A458" t="s">
        <v>59</v>
      </c>
      <c r="B458">
        <v>0</v>
      </c>
      <c r="C458" t="s">
        <v>32</v>
      </c>
      <c r="D458">
        <v>688</v>
      </c>
      <c r="E458" t="s">
        <v>33</v>
      </c>
      <c r="F458">
        <v>7</v>
      </c>
      <c r="G458" t="str">
        <f>IF(Table2[[#This Row],[DistanceFromHome]]&lt;=5, "short", IF(Table2[[#This Row],[DistanceFromHome]]&lt;=15, "medium", "long"))</f>
        <v>medium</v>
      </c>
      <c r="H458">
        <v>3</v>
      </c>
      <c r="I458" t="s">
        <v>34</v>
      </c>
      <c r="J458">
        <v>613</v>
      </c>
      <c r="K458">
        <v>3</v>
      </c>
      <c r="L458" t="s">
        <v>41</v>
      </c>
      <c r="M458">
        <v>44</v>
      </c>
      <c r="N458">
        <v>2</v>
      </c>
      <c r="O458">
        <v>3</v>
      </c>
      <c r="P458" t="s">
        <v>51</v>
      </c>
      <c r="Q458">
        <v>4</v>
      </c>
      <c r="R458" t="s">
        <v>47</v>
      </c>
      <c r="S458">
        <v>11557</v>
      </c>
      <c r="T458">
        <v>25291</v>
      </c>
      <c r="U458">
        <v>9</v>
      </c>
      <c r="V458" t="s">
        <v>38</v>
      </c>
      <c r="W458">
        <v>21</v>
      </c>
      <c r="X458">
        <v>4</v>
      </c>
      <c r="Y458">
        <v>3</v>
      </c>
      <c r="Z458">
        <v>1</v>
      </c>
      <c r="AA458">
        <v>10</v>
      </c>
      <c r="AB458" t="str">
        <f>IF(Table2[[#This Row],[TotalWorkingYears]]&lt;=5,"Early (0-5)",IF(Table2[[#This Row],[TotalWorkingYears]]&lt;=15,"Mid (6-15)","Senior (16+)"))</f>
        <v>Mid (6-15)</v>
      </c>
      <c r="AC458">
        <v>3</v>
      </c>
      <c r="AD458">
        <v>2</v>
      </c>
      <c r="AE458" t="s">
        <v>64</v>
      </c>
      <c r="AF458">
        <v>4</v>
      </c>
      <c r="AG458">
        <v>0</v>
      </c>
      <c r="AH458">
        <v>1</v>
      </c>
    </row>
    <row r="459" spans="1:34" x14ac:dyDescent="0.3">
      <c r="A459" t="s">
        <v>60</v>
      </c>
      <c r="B459">
        <v>1</v>
      </c>
      <c r="C459" t="s">
        <v>39</v>
      </c>
      <c r="D459">
        <v>1306</v>
      </c>
      <c r="E459" t="s">
        <v>33</v>
      </c>
      <c r="F459">
        <v>5</v>
      </c>
      <c r="G459" t="str">
        <f>IF(Table2[[#This Row],[DistanceFromHome]]&lt;=5, "short", IF(Table2[[#This Row],[DistanceFromHome]]&lt;=15, "medium", "long"))</f>
        <v>short</v>
      </c>
      <c r="H459">
        <v>3</v>
      </c>
      <c r="I459" t="s">
        <v>54</v>
      </c>
      <c r="J459">
        <v>614</v>
      </c>
      <c r="K459">
        <v>2</v>
      </c>
      <c r="L459" t="s">
        <v>41</v>
      </c>
      <c r="M459">
        <v>69</v>
      </c>
      <c r="N459">
        <v>3</v>
      </c>
      <c r="O459">
        <v>1</v>
      </c>
      <c r="P459" t="s">
        <v>52</v>
      </c>
      <c r="Q459">
        <v>2</v>
      </c>
      <c r="R459" t="s">
        <v>37</v>
      </c>
      <c r="S459">
        <v>1878</v>
      </c>
      <c r="T459">
        <v>8059</v>
      </c>
      <c r="U459">
        <v>1</v>
      </c>
      <c r="V459" t="s">
        <v>31</v>
      </c>
      <c r="W459">
        <v>14</v>
      </c>
      <c r="X459">
        <v>3</v>
      </c>
      <c r="Y459">
        <v>4</v>
      </c>
      <c r="Z459">
        <v>0</v>
      </c>
      <c r="AA459">
        <v>0</v>
      </c>
      <c r="AB459" t="str">
        <f>IF(Table2[[#This Row],[TotalWorkingYears]]&lt;=5,"Early (0-5)",IF(Table2[[#This Row],[TotalWorkingYears]]&lt;=15,"Mid (6-15)","Senior (16+)"))</f>
        <v>Early (0-5)</v>
      </c>
      <c r="AC459">
        <v>3</v>
      </c>
      <c r="AD459">
        <v>3</v>
      </c>
      <c r="AE459" t="s">
        <v>63</v>
      </c>
      <c r="AF459">
        <v>0</v>
      </c>
      <c r="AG459">
        <v>0</v>
      </c>
      <c r="AH459">
        <v>0</v>
      </c>
    </row>
    <row r="460" spans="1:34" x14ac:dyDescent="0.3">
      <c r="A460" t="s">
        <v>57</v>
      </c>
      <c r="B460">
        <v>0</v>
      </c>
      <c r="C460" t="s">
        <v>50</v>
      </c>
      <c r="D460">
        <v>1094</v>
      </c>
      <c r="E460" t="s">
        <v>33</v>
      </c>
      <c r="F460">
        <v>28</v>
      </c>
      <c r="G460" t="str">
        <f>IF(Table2[[#This Row],[DistanceFromHome]]&lt;=5, "short", IF(Table2[[#This Row],[DistanceFromHome]]&lt;=15, "medium", "long"))</f>
        <v>long</v>
      </c>
      <c r="H460">
        <v>3</v>
      </c>
      <c r="I460" t="s">
        <v>44</v>
      </c>
      <c r="J460">
        <v>615</v>
      </c>
      <c r="K460">
        <v>3</v>
      </c>
      <c r="L460" t="s">
        <v>41</v>
      </c>
      <c r="M460">
        <v>58</v>
      </c>
      <c r="N460">
        <v>1</v>
      </c>
      <c r="O460">
        <v>3</v>
      </c>
      <c r="P460" t="s">
        <v>36</v>
      </c>
      <c r="Q460">
        <v>1</v>
      </c>
      <c r="R460" t="s">
        <v>47</v>
      </c>
      <c r="S460">
        <v>10932</v>
      </c>
      <c r="T460">
        <v>11373</v>
      </c>
      <c r="U460">
        <v>3</v>
      </c>
      <c r="V460" t="s">
        <v>38</v>
      </c>
      <c r="W460">
        <v>15</v>
      </c>
      <c r="X460">
        <v>3</v>
      </c>
      <c r="Y460">
        <v>3</v>
      </c>
      <c r="Z460">
        <v>1</v>
      </c>
      <c r="AA460">
        <v>20</v>
      </c>
      <c r="AB460" t="str">
        <f>IF(Table2[[#This Row],[TotalWorkingYears]]&lt;=5,"Early (0-5)",IF(Table2[[#This Row],[TotalWorkingYears]]&lt;=15,"Mid (6-15)","Senior (16+)"))</f>
        <v>Senior (16+)</v>
      </c>
      <c r="AC460">
        <v>2</v>
      </c>
      <c r="AD460">
        <v>3</v>
      </c>
      <c r="AE460" t="s">
        <v>63</v>
      </c>
      <c r="AF460">
        <v>0</v>
      </c>
      <c r="AG460">
        <v>0</v>
      </c>
      <c r="AH460">
        <v>1</v>
      </c>
    </row>
    <row r="461" spans="1:34" x14ac:dyDescent="0.3">
      <c r="A461" t="s">
        <v>57</v>
      </c>
      <c r="B461">
        <v>0</v>
      </c>
      <c r="C461" t="s">
        <v>50</v>
      </c>
      <c r="D461">
        <v>509</v>
      </c>
      <c r="E461" t="s">
        <v>40</v>
      </c>
      <c r="F461">
        <v>2</v>
      </c>
      <c r="G461" t="str">
        <f>IF(Table2[[#This Row],[DistanceFromHome]]&lt;=5, "short", IF(Table2[[#This Row],[DistanceFromHome]]&lt;=15, "medium", "long"))</f>
        <v>short</v>
      </c>
      <c r="H461">
        <v>4</v>
      </c>
      <c r="I461" t="s">
        <v>44</v>
      </c>
      <c r="J461">
        <v>616</v>
      </c>
      <c r="K461">
        <v>1</v>
      </c>
      <c r="L461" t="s">
        <v>35</v>
      </c>
      <c r="M461">
        <v>62</v>
      </c>
      <c r="N461">
        <v>2</v>
      </c>
      <c r="O461">
        <v>2</v>
      </c>
      <c r="P461" t="s">
        <v>49</v>
      </c>
      <c r="Q461">
        <v>3</v>
      </c>
      <c r="R461" t="s">
        <v>37</v>
      </c>
      <c r="S461">
        <v>6811</v>
      </c>
      <c r="T461">
        <v>2112</v>
      </c>
      <c r="U461">
        <v>2</v>
      </c>
      <c r="V461" t="s">
        <v>31</v>
      </c>
      <c r="W461">
        <v>17</v>
      </c>
      <c r="X461">
        <v>3</v>
      </c>
      <c r="Y461">
        <v>1</v>
      </c>
      <c r="Z461">
        <v>0</v>
      </c>
      <c r="AA461">
        <v>10</v>
      </c>
      <c r="AB461" t="str">
        <f>IF(Table2[[#This Row],[TotalWorkingYears]]&lt;=5,"Early (0-5)",IF(Table2[[#This Row],[TotalWorkingYears]]&lt;=15,"Mid (6-15)","Senior (16+)"))</f>
        <v>Mid (6-15)</v>
      </c>
      <c r="AC461">
        <v>3</v>
      </c>
      <c r="AD461">
        <v>3</v>
      </c>
      <c r="AE461" t="s">
        <v>62</v>
      </c>
      <c r="AF461">
        <v>7</v>
      </c>
      <c r="AG461">
        <v>0</v>
      </c>
      <c r="AH461">
        <v>7</v>
      </c>
    </row>
    <row r="462" spans="1:34" x14ac:dyDescent="0.3">
      <c r="A462" t="s">
        <v>59</v>
      </c>
      <c r="B462">
        <v>0</v>
      </c>
      <c r="C462" t="s">
        <v>32</v>
      </c>
      <c r="D462">
        <v>775</v>
      </c>
      <c r="E462" t="s">
        <v>33</v>
      </c>
      <c r="F462">
        <v>29</v>
      </c>
      <c r="G462" t="str">
        <f>IF(Table2[[#This Row],[DistanceFromHome]]&lt;=5, "short", IF(Table2[[#This Row],[DistanceFromHome]]&lt;=15, "medium", "long"))</f>
        <v>long</v>
      </c>
      <c r="H462">
        <v>2</v>
      </c>
      <c r="I462" t="s">
        <v>46</v>
      </c>
      <c r="J462">
        <v>618</v>
      </c>
      <c r="K462">
        <v>1</v>
      </c>
      <c r="L462" t="s">
        <v>41</v>
      </c>
      <c r="M462">
        <v>45</v>
      </c>
      <c r="N462">
        <v>3</v>
      </c>
      <c r="O462">
        <v>2</v>
      </c>
      <c r="P462" t="s">
        <v>36</v>
      </c>
      <c r="Q462">
        <v>3</v>
      </c>
      <c r="R462" t="s">
        <v>47</v>
      </c>
      <c r="S462">
        <v>4306</v>
      </c>
      <c r="T462">
        <v>4267</v>
      </c>
      <c r="U462">
        <v>5</v>
      </c>
      <c r="V462" t="s">
        <v>38</v>
      </c>
      <c r="W462">
        <v>12</v>
      </c>
      <c r="X462">
        <v>3</v>
      </c>
      <c r="Y462">
        <v>1</v>
      </c>
      <c r="Z462">
        <v>2</v>
      </c>
      <c r="AA462">
        <v>8</v>
      </c>
      <c r="AB462" t="str">
        <f>IF(Table2[[#This Row],[TotalWorkingYears]]&lt;=5,"Early (0-5)",IF(Table2[[#This Row],[TotalWorkingYears]]&lt;=15,"Mid (6-15)","Senior (16+)"))</f>
        <v>Mid (6-15)</v>
      </c>
      <c r="AC462">
        <v>5</v>
      </c>
      <c r="AD462">
        <v>3</v>
      </c>
      <c r="AE462" t="s">
        <v>63</v>
      </c>
      <c r="AF462">
        <v>0</v>
      </c>
      <c r="AG462">
        <v>0</v>
      </c>
      <c r="AH462">
        <v>0</v>
      </c>
    </row>
    <row r="463" spans="1:34" x14ac:dyDescent="0.3">
      <c r="A463" t="s">
        <v>59</v>
      </c>
      <c r="B463">
        <v>0</v>
      </c>
      <c r="C463" t="s">
        <v>32</v>
      </c>
      <c r="D463">
        <v>195</v>
      </c>
      <c r="E463" t="s">
        <v>33</v>
      </c>
      <c r="F463">
        <v>1</v>
      </c>
      <c r="G463" t="str">
        <f>IF(Table2[[#This Row],[DistanceFromHome]]&lt;=5, "short", IF(Table2[[#This Row],[DistanceFromHome]]&lt;=15, "medium", "long"))</f>
        <v>short</v>
      </c>
      <c r="H463">
        <v>3</v>
      </c>
      <c r="I463" t="s">
        <v>46</v>
      </c>
      <c r="J463">
        <v>620</v>
      </c>
      <c r="K463">
        <v>1</v>
      </c>
      <c r="L463" t="s">
        <v>35</v>
      </c>
      <c r="M463">
        <v>80</v>
      </c>
      <c r="N463">
        <v>3</v>
      </c>
      <c r="O463">
        <v>2</v>
      </c>
      <c r="P463" t="s">
        <v>36</v>
      </c>
      <c r="Q463">
        <v>3</v>
      </c>
      <c r="R463" t="s">
        <v>37</v>
      </c>
      <c r="S463">
        <v>4859</v>
      </c>
      <c r="T463">
        <v>6698</v>
      </c>
      <c r="U463">
        <v>1</v>
      </c>
      <c r="V463" t="s">
        <v>38</v>
      </c>
      <c r="W463">
        <v>16</v>
      </c>
      <c r="X463">
        <v>3</v>
      </c>
      <c r="Y463">
        <v>4</v>
      </c>
      <c r="Z463">
        <v>0</v>
      </c>
      <c r="AA463">
        <v>5</v>
      </c>
      <c r="AB463" t="str">
        <f>IF(Table2[[#This Row],[TotalWorkingYears]]&lt;=5,"Early (0-5)",IF(Table2[[#This Row],[TotalWorkingYears]]&lt;=15,"Mid (6-15)","Senior (16+)"))</f>
        <v>Early (0-5)</v>
      </c>
      <c r="AC463">
        <v>3</v>
      </c>
      <c r="AD463">
        <v>3</v>
      </c>
      <c r="AE463" t="s">
        <v>64</v>
      </c>
      <c r="AF463">
        <v>4</v>
      </c>
      <c r="AG463">
        <v>0</v>
      </c>
      <c r="AH463">
        <v>3</v>
      </c>
    </row>
    <row r="464" spans="1:34" x14ac:dyDescent="0.3">
      <c r="A464" t="s">
        <v>59</v>
      </c>
      <c r="B464">
        <v>0</v>
      </c>
      <c r="C464" t="s">
        <v>32</v>
      </c>
      <c r="D464">
        <v>258</v>
      </c>
      <c r="E464" t="s">
        <v>33</v>
      </c>
      <c r="F464">
        <v>21</v>
      </c>
      <c r="G464" t="str">
        <f>IF(Table2[[#This Row],[DistanceFromHome]]&lt;=5, "short", IF(Table2[[#This Row],[DistanceFromHome]]&lt;=15, "medium", "long"))</f>
        <v>long</v>
      </c>
      <c r="H464">
        <v>4</v>
      </c>
      <c r="I464" t="s">
        <v>34</v>
      </c>
      <c r="J464">
        <v>621</v>
      </c>
      <c r="K464">
        <v>4</v>
      </c>
      <c r="L464" t="s">
        <v>41</v>
      </c>
      <c r="M464">
        <v>74</v>
      </c>
      <c r="N464">
        <v>4</v>
      </c>
      <c r="O464">
        <v>2</v>
      </c>
      <c r="P464" t="s">
        <v>36</v>
      </c>
      <c r="Q464">
        <v>4</v>
      </c>
      <c r="R464" t="s">
        <v>37</v>
      </c>
      <c r="S464">
        <v>5337</v>
      </c>
      <c r="T464">
        <v>19921</v>
      </c>
      <c r="U464">
        <v>1</v>
      </c>
      <c r="V464" t="s">
        <v>38</v>
      </c>
      <c r="W464">
        <v>12</v>
      </c>
      <c r="X464">
        <v>3</v>
      </c>
      <c r="Y464">
        <v>4</v>
      </c>
      <c r="Z464">
        <v>0</v>
      </c>
      <c r="AA464">
        <v>10</v>
      </c>
      <c r="AB464" t="str">
        <f>IF(Table2[[#This Row],[TotalWorkingYears]]&lt;=5,"Early (0-5)",IF(Table2[[#This Row],[TotalWorkingYears]]&lt;=15,"Mid (6-15)","Senior (16+)"))</f>
        <v>Mid (6-15)</v>
      </c>
      <c r="AC464">
        <v>3</v>
      </c>
      <c r="AD464">
        <v>3</v>
      </c>
      <c r="AE464" t="s">
        <v>62</v>
      </c>
      <c r="AF464">
        <v>7</v>
      </c>
      <c r="AG464">
        <v>5</v>
      </c>
      <c r="AH464">
        <v>7</v>
      </c>
    </row>
    <row r="465" spans="1:34" x14ac:dyDescent="0.3">
      <c r="A465" t="s">
        <v>59</v>
      </c>
      <c r="B465">
        <v>1</v>
      </c>
      <c r="C465" t="s">
        <v>32</v>
      </c>
      <c r="D465">
        <v>471</v>
      </c>
      <c r="E465" t="s">
        <v>40</v>
      </c>
      <c r="F465">
        <v>24</v>
      </c>
      <c r="G465" t="str">
        <f>IF(Table2[[#This Row],[DistanceFromHome]]&lt;=5, "short", IF(Table2[[#This Row],[DistanceFromHome]]&lt;=15, "medium", "long"))</f>
        <v>long</v>
      </c>
      <c r="H465">
        <v>3</v>
      </c>
      <c r="I465" t="s">
        <v>55</v>
      </c>
      <c r="J465">
        <v>622</v>
      </c>
      <c r="K465">
        <v>3</v>
      </c>
      <c r="L465" t="s">
        <v>41</v>
      </c>
      <c r="M465">
        <v>66</v>
      </c>
      <c r="N465">
        <v>1</v>
      </c>
      <c r="O465">
        <v>1</v>
      </c>
      <c r="P465" t="s">
        <v>45</v>
      </c>
      <c r="Q465">
        <v>4</v>
      </c>
      <c r="R465" t="s">
        <v>37</v>
      </c>
      <c r="S465">
        <v>2340</v>
      </c>
      <c r="T465">
        <v>23213</v>
      </c>
      <c r="U465">
        <v>1</v>
      </c>
      <c r="V465" t="s">
        <v>31</v>
      </c>
      <c r="W465">
        <v>18</v>
      </c>
      <c r="X465">
        <v>3</v>
      </c>
      <c r="Y465">
        <v>2</v>
      </c>
      <c r="Z465">
        <v>0</v>
      </c>
      <c r="AA465">
        <v>1</v>
      </c>
      <c r="AB465" t="str">
        <f>IF(Table2[[#This Row],[TotalWorkingYears]]&lt;=5,"Early (0-5)",IF(Table2[[#This Row],[TotalWorkingYears]]&lt;=15,"Mid (6-15)","Senior (16+)"))</f>
        <v>Early (0-5)</v>
      </c>
      <c r="AC465">
        <v>3</v>
      </c>
      <c r="AD465">
        <v>1</v>
      </c>
      <c r="AE465" t="s">
        <v>63</v>
      </c>
      <c r="AF465">
        <v>0</v>
      </c>
      <c r="AG465">
        <v>0</v>
      </c>
      <c r="AH465">
        <v>0</v>
      </c>
    </row>
    <row r="466" spans="1:34" x14ac:dyDescent="0.3">
      <c r="A466" t="s">
        <v>57</v>
      </c>
      <c r="B466">
        <v>0</v>
      </c>
      <c r="C466" t="s">
        <v>32</v>
      </c>
      <c r="D466">
        <v>799</v>
      </c>
      <c r="E466" t="s">
        <v>40</v>
      </c>
      <c r="F466">
        <v>1</v>
      </c>
      <c r="G466" t="str">
        <f>IF(Table2[[#This Row],[DistanceFromHome]]&lt;=5, "short", IF(Table2[[#This Row],[DistanceFromHome]]&lt;=15, "medium", "long"))</f>
        <v>short</v>
      </c>
      <c r="H466">
        <v>3</v>
      </c>
      <c r="I466" t="s">
        <v>55</v>
      </c>
      <c r="J466">
        <v>623</v>
      </c>
      <c r="K466">
        <v>2</v>
      </c>
      <c r="L466" t="s">
        <v>35</v>
      </c>
      <c r="M466">
        <v>59</v>
      </c>
      <c r="N466">
        <v>3</v>
      </c>
      <c r="O466">
        <v>3</v>
      </c>
      <c r="P466" t="s">
        <v>48</v>
      </c>
      <c r="Q466">
        <v>4</v>
      </c>
      <c r="R466" t="s">
        <v>37</v>
      </c>
      <c r="S466">
        <v>7491</v>
      </c>
      <c r="T466">
        <v>23848</v>
      </c>
      <c r="U466">
        <v>4</v>
      </c>
      <c r="V466" t="s">
        <v>38</v>
      </c>
      <c r="W466">
        <v>17</v>
      </c>
      <c r="X466">
        <v>3</v>
      </c>
      <c r="Y466">
        <v>4</v>
      </c>
      <c r="Z466">
        <v>0</v>
      </c>
      <c r="AA466">
        <v>12</v>
      </c>
      <c r="AB466" t="str">
        <f>IF(Table2[[#This Row],[TotalWorkingYears]]&lt;=5,"Early (0-5)",IF(Table2[[#This Row],[TotalWorkingYears]]&lt;=15,"Mid (6-15)","Senior (16+)"))</f>
        <v>Mid (6-15)</v>
      </c>
      <c r="AC466">
        <v>3</v>
      </c>
      <c r="AD466">
        <v>4</v>
      </c>
      <c r="AE466" t="s">
        <v>62</v>
      </c>
      <c r="AF466">
        <v>5</v>
      </c>
      <c r="AG466">
        <v>1</v>
      </c>
      <c r="AH466">
        <v>2</v>
      </c>
    </row>
    <row r="467" spans="1:34" x14ac:dyDescent="0.3">
      <c r="A467" t="s">
        <v>58</v>
      </c>
      <c r="B467">
        <v>0</v>
      </c>
      <c r="C467" t="s">
        <v>39</v>
      </c>
      <c r="D467">
        <v>1034</v>
      </c>
      <c r="E467" t="s">
        <v>40</v>
      </c>
      <c r="F467">
        <v>18</v>
      </c>
      <c r="G467" t="str">
        <f>IF(Table2[[#This Row],[DistanceFromHome]]&lt;=5, "short", IF(Table2[[#This Row],[DistanceFromHome]]&lt;=15, "medium", "long"))</f>
        <v>long</v>
      </c>
      <c r="H467">
        <v>1</v>
      </c>
      <c r="I467" t="s">
        <v>46</v>
      </c>
      <c r="J467">
        <v>624</v>
      </c>
      <c r="K467">
        <v>1</v>
      </c>
      <c r="L467" t="s">
        <v>35</v>
      </c>
      <c r="M467">
        <v>86</v>
      </c>
      <c r="N467">
        <v>3</v>
      </c>
      <c r="O467">
        <v>3</v>
      </c>
      <c r="P467" t="s">
        <v>49</v>
      </c>
      <c r="Q467">
        <v>3</v>
      </c>
      <c r="R467" t="s">
        <v>43</v>
      </c>
      <c r="S467">
        <v>10527</v>
      </c>
      <c r="T467">
        <v>8984</v>
      </c>
      <c r="U467">
        <v>5</v>
      </c>
      <c r="V467" t="s">
        <v>38</v>
      </c>
      <c r="W467">
        <v>11</v>
      </c>
      <c r="X467">
        <v>3</v>
      </c>
      <c r="Y467">
        <v>4</v>
      </c>
      <c r="Z467">
        <v>0</v>
      </c>
      <c r="AA467">
        <v>28</v>
      </c>
      <c r="AB467" t="str">
        <f>IF(Table2[[#This Row],[TotalWorkingYears]]&lt;=5,"Early (0-5)",IF(Table2[[#This Row],[TotalWorkingYears]]&lt;=15,"Mid (6-15)","Senior (16+)"))</f>
        <v>Senior (16+)</v>
      </c>
      <c r="AC467">
        <v>3</v>
      </c>
      <c r="AD467">
        <v>2</v>
      </c>
      <c r="AE467" t="s">
        <v>63</v>
      </c>
      <c r="AF467">
        <v>2</v>
      </c>
      <c r="AG467">
        <v>1</v>
      </c>
      <c r="AH467">
        <v>2</v>
      </c>
    </row>
    <row r="468" spans="1:34" x14ac:dyDescent="0.3">
      <c r="A468" t="s">
        <v>57</v>
      </c>
      <c r="B468">
        <v>0</v>
      </c>
      <c r="C468" t="s">
        <v>32</v>
      </c>
      <c r="D468">
        <v>1276</v>
      </c>
      <c r="E468" t="s">
        <v>33</v>
      </c>
      <c r="F468">
        <v>2</v>
      </c>
      <c r="G468" t="str">
        <f>IF(Table2[[#This Row],[DistanceFromHome]]&lt;=5, "short", IF(Table2[[#This Row],[DistanceFromHome]]&lt;=15, "medium", "long"))</f>
        <v>short</v>
      </c>
      <c r="H468">
        <v>5</v>
      </c>
      <c r="I468" t="s">
        <v>34</v>
      </c>
      <c r="J468">
        <v>625</v>
      </c>
      <c r="K468">
        <v>2</v>
      </c>
      <c r="L468" t="s">
        <v>35</v>
      </c>
      <c r="M468">
        <v>91</v>
      </c>
      <c r="N468">
        <v>3</v>
      </c>
      <c r="O468">
        <v>4</v>
      </c>
      <c r="P468" t="s">
        <v>51</v>
      </c>
      <c r="Q468">
        <v>1</v>
      </c>
      <c r="R468" t="s">
        <v>43</v>
      </c>
      <c r="S468">
        <v>16595</v>
      </c>
      <c r="T468">
        <v>5626</v>
      </c>
      <c r="U468">
        <v>7</v>
      </c>
      <c r="V468" t="s">
        <v>38</v>
      </c>
      <c r="W468">
        <v>16</v>
      </c>
      <c r="X468">
        <v>3</v>
      </c>
      <c r="Y468">
        <v>2</v>
      </c>
      <c r="Z468">
        <v>1</v>
      </c>
      <c r="AA468">
        <v>22</v>
      </c>
      <c r="AB468" t="str">
        <f>IF(Table2[[#This Row],[TotalWorkingYears]]&lt;=5,"Early (0-5)",IF(Table2[[#This Row],[TotalWorkingYears]]&lt;=15,"Mid (6-15)","Senior (16+)"))</f>
        <v>Senior (16+)</v>
      </c>
      <c r="AC468">
        <v>2</v>
      </c>
      <c r="AD468">
        <v>3</v>
      </c>
      <c r="AE468" t="s">
        <v>65</v>
      </c>
      <c r="AF468">
        <v>16</v>
      </c>
      <c r="AG468">
        <v>11</v>
      </c>
      <c r="AH468">
        <v>8</v>
      </c>
    </row>
    <row r="469" spans="1:34" x14ac:dyDescent="0.3">
      <c r="A469" t="s">
        <v>57</v>
      </c>
      <c r="B469">
        <v>0</v>
      </c>
      <c r="C469" t="s">
        <v>50</v>
      </c>
      <c r="D469">
        <v>142</v>
      </c>
      <c r="E469" t="s">
        <v>33</v>
      </c>
      <c r="F469">
        <v>9</v>
      </c>
      <c r="G469" t="str">
        <f>IF(Table2[[#This Row],[DistanceFromHome]]&lt;=5, "short", IF(Table2[[#This Row],[DistanceFromHome]]&lt;=15, "medium", "long"))</f>
        <v>medium</v>
      </c>
      <c r="H469">
        <v>4</v>
      </c>
      <c r="I469" t="s">
        <v>46</v>
      </c>
      <c r="J469">
        <v>626</v>
      </c>
      <c r="K469">
        <v>1</v>
      </c>
      <c r="L469" t="s">
        <v>41</v>
      </c>
      <c r="M469">
        <v>69</v>
      </c>
      <c r="N469">
        <v>3</v>
      </c>
      <c r="O469">
        <v>3</v>
      </c>
      <c r="P469" t="s">
        <v>36</v>
      </c>
      <c r="Q469">
        <v>2</v>
      </c>
      <c r="R469" t="s">
        <v>47</v>
      </c>
      <c r="S469">
        <v>8834</v>
      </c>
      <c r="T469">
        <v>24666</v>
      </c>
      <c r="U469">
        <v>1</v>
      </c>
      <c r="V469" t="s">
        <v>38</v>
      </c>
      <c r="W469">
        <v>13</v>
      </c>
      <c r="X469">
        <v>3</v>
      </c>
      <c r="Y469">
        <v>4</v>
      </c>
      <c r="Z469">
        <v>1</v>
      </c>
      <c r="AA469">
        <v>9</v>
      </c>
      <c r="AB469" t="str">
        <f>IF(Table2[[#This Row],[TotalWorkingYears]]&lt;=5,"Early (0-5)",IF(Table2[[#This Row],[TotalWorkingYears]]&lt;=15,"Mid (6-15)","Senior (16+)"))</f>
        <v>Mid (6-15)</v>
      </c>
      <c r="AC469">
        <v>6</v>
      </c>
      <c r="AD469">
        <v>3</v>
      </c>
      <c r="AE469" t="s">
        <v>62</v>
      </c>
      <c r="AF469">
        <v>5</v>
      </c>
      <c r="AG469">
        <v>7</v>
      </c>
      <c r="AH469">
        <v>7</v>
      </c>
    </row>
    <row r="470" spans="1:34" x14ac:dyDescent="0.3">
      <c r="A470" t="s">
        <v>58</v>
      </c>
      <c r="B470">
        <v>0</v>
      </c>
      <c r="C470" t="s">
        <v>32</v>
      </c>
      <c r="D470">
        <v>956</v>
      </c>
      <c r="E470" t="s">
        <v>40</v>
      </c>
      <c r="F470">
        <v>6</v>
      </c>
      <c r="G470" t="str">
        <f>IF(Table2[[#This Row],[DistanceFromHome]]&lt;=5, "short", IF(Table2[[#This Row],[DistanceFromHome]]&lt;=15, "medium", "long"))</f>
        <v>medium</v>
      </c>
      <c r="H470">
        <v>2</v>
      </c>
      <c r="I470" t="s">
        <v>55</v>
      </c>
      <c r="J470">
        <v>630</v>
      </c>
      <c r="K470">
        <v>4</v>
      </c>
      <c r="L470" t="s">
        <v>41</v>
      </c>
      <c r="M470">
        <v>78</v>
      </c>
      <c r="N470">
        <v>3</v>
      </c>
      <c r="O470">
        <v>2</v>
      </c>
      <c r="P470" t="s">
        <v>42</v>
      </c>
      <c r="Q470">
        <v>1</v>
      </c>
      <c r="R470" t="s">
        <v>47</v>
      </c>
      <c r="S470">
        <v>5577</v>
      </c>
      <c r="T470">
        <v>22087</v>
      </c>
      <c r="U470">
        <v>3</v>
      </c>
      <c r="V470" t="s">
        <v>31</v>
      </c>
      <c r="W470">
        <v>12</v>
      </c>
      <c r="X470">
        <v>3</v>
      </c>
      <c r="Y470">
        <v>2</v>
      </c>
      <c r="Z470">
        <v>2</v>
      </c>
      <c r="AA470">
        <v>18</v>
      </c>
      <c r="AB470" t="str">
        <f>IF(Table2[[#This Row],[TotalWorkingYears]]&lt;=5,"Early (0-5)",IF(Table2[[#This Row],[TotalWorkingYears]]&lt;=15,"Mid (6-15)","Senior (16+)"))</f>
        <v>Senior (16+)</v>
      </c>
      <c r="AC470">
        <v>3</v>
      </c>
      <c r="AD470">
        <v>3</v>
      </c>
      <c r="AE470" t="s">
        <v>62</v>
      </c>
      <c r="AF470">
        <v>9</v>
      </c>
      <c r="AG470">
        <v>6</v>
      </c>
      <c r="AH470">
        <v>9</v>
      </c>
    </row>
    <row r="471" spans="1:34" x14ac:dyDescent="0.3">
      <c r="A471" t="s">
        <v>59</v>
      </c>
      <c r="B471">
        <v>1</v>
      </c>
      <c r="C471" t="s">
        <v>50</v>
      </c>
      <c r="D471">
        <v>1474</v>
      </c>
      <c r="E471" t="s">
        <v>33</v>
      </c>
      <c r="F471">
        <v>11</v>
      </c>
      <c r="G471" t="str">
        <f>IF(Table2[[#This Row],[DistanceFromHome]]&lt;=5, "short", IF(Table2[[#This Row],[DistanceFromHome]]&lt;=15, "medium", "long"))</f>
        <v>medium</v>
      </c>
      <c r="H471">
        <v>4</v>
      </c>
      <c r="I471" t="s">
        <v>44</v>
      </c>
      <c r="J471">
        <v>631</v>
      </c>
      <c r="K471">
        <v>4</v>
      </c>
      <c r="L471" t="s">
        <v>41</v>
      </c>
      <c r="M471">
        <v>60</v>
      </c>
      <c r="N471">
        <v>4</v>
      </c>
      <c r="O471">
        <v>2</v>
      </c>
      <c r="P471" t="s">
        <v>36</v>
      </c>
      <c r="Q471">
        <v>3</v>
      </c>
      <c r="R471" t="s">
        <v>43</v>
      </c>
      <c r="S471">
        <v>4707</v>
      </c>
      <c r="T471">
        <v>23914</v>
      </c>
      <c r="U471">
        <v>8</v>
      </c>
      <c r="V471" t="s">
        <v>38</v>
      </c>
      <c r="W471">
        <v>12</v>
      </c>
      <c r="X471">
        <v>3</v>
      </c>
      <c r="Y471">
        <v>4</v>
      </c>
      <c r="Z471">
        <v>0</v>
      </c>
      <c r="AA471">
        <v>6</v>
      </c>
      <c r="AB471" t="str">
        <f>IF(Table2[[#This Row],[TotalWorkingYears]]&lt;=5,"Early (0-5)",IF(Table2[[#This Row],[TotalWorkingYears]]&lt;=15,"Mid (6-15)","Senior (16+)"))</f>
        <v>Mid (6-15)</v>
      </c>
      <c r="AC471">
        <v>2</v>
      </c>
      <c r="AD471">
        <v>3</v>
      </c>
      <c r="AE471" t="s">
        <v>64</v>
      </c>
      <c r="AF471">
        <v>2</v>
      </c>
      <c r="AG471">
        <v>1</v>
      </c>
      <c r="AH471">
        <v>2</v>
      </c>
    </row>
    <row r="472" spans="1:34" x14ac:dyDescent="0.3">
      <c r="A472" t="s">
        <v>60</v>
      </c>
      <c r="B472">
        <v>0</v>
      </c>
      <c r="C472" t="s">
        <v>39</v>
      </c>
      <c r="D472">
        <v>535</v>
      </c>
      <c r="E472" t="s">
        <v>33</v>
      </c>
      <c r="F472">
        <v>24</v>
      </c>
      <c r="G472" t="str">
        <f>IF(Table2[[#This Row],[DistanceFromHome]]&lt;=5, "short", IF(Table2[[#This Row],[DistanceFromHome]]&lt;=15, "medium", "long"))</f>
        <v>long</v>
      </c>
      <c r="H472">
        <v>3</v>
      </c>
      <c r="I472" t="s">
        <v>46</v>
      </c>
      <c r="J472">
        <v>632</v>
      </c>
      <c r="K472">
        <v>4</v>
      </c>
      <c r="L472" t="s">
        <v>41</v>
      </c>
      <c r="M472">
        <v>38</v>
      </c>
      <c r="N472">
        <v>3</v>
      </c>
      <c r="O472">
        <v>1</v>
      </c>
      <c r="P472" t="s">
        <v>52</v>
      </c>
      <c r="Q472">
        <v>4</v>
      </c>
      <c r="R472" t="s">
        <v>43</v>
      </c>
      <c r="S472">
        <v>2400</v>
      </c>
      <c r="T472">
        <v>5530</v>
      </c>
      <c r="U472">
        <v>0</v>
      </c>
      <c r="V472" t="s">
        <v>38</v>
      </c>
      <c r="W472">
        <v>13</v>
      </c>
      <c r="X472">
        <v>3</v>
      </c>
      <c r="Y472">
        <v>3</v>
      </c>
      <c r="Z472">
        <v>2</v>
      </c>
      <c r="AA472">
        <v>3</v>
      </c>
      <c r="AB472" t="str">
        <f>IF(Table2[[#This Row],[TotalWorkingYears]]&lt;=5,"Early (0-5)",IF(Table2[[#This Row],[TotalWorkingYears]]&lt;=15,"Mid (6-15)","Senior (16+)"))</f>
        <v>Early (0-5)</v>
      </c>
      <c r="AC472">
        <v>3</v>
      </c>
      <c r="AD472">
        <v>3</v>
      </c>
      <c r="AE472" t="s">
        <v>63</v>
      </c>
      <c r="AF472">
        <v>2</v>
      </c>
      <c r="AG472">
        <v>2</v>
      </c>
      <c r="AH472">
        <v>1</v>
      </c>
    </row>
    <row r="473" spans="1:34" x14ac:dyDescent="0.3">
      <c r="A473" t="s">
        <v>57</v>
      </c>
      <c r="B473">
        <v>0</v>
      </c>
      <c r="C473" t="s">
        <v>32</v>
      </c>
      <c r="D473">
        <v>1495</v>
      </c>
      <c r="E473" t="s">
        <v>40</v>
      </c>
      <c r="F473">
        <v>10</v>
      </c>
      <c r="G473" t="str">
        <f>IF(Table2[[#This Row],[DistanceFromHome]]&lt;=5, "short", IF(Table2[[#This Row],[DistanceFromHome]]&lt;=15, "medium", "long"))</f>
        <v>medium</v>
      </c>
      <c r="H473">
        <v>3</v>
      </c>
      <c r="I473" t="s">
        <v>46</v>
      </c>
      <c r="J473">
        <v>634</v>
      </c>
      <c r="K473">
        <v>3</v>
      </c>
      <c r="L473" t="s">
        <v>35</v>
      </c>
      <c r="M473">
        <v>76</v>
      </c>
      <c r="N473">
        <v>3</v>
      </c>
      <c r="O473">
        <v>2</v>
      </c>
      <c r="P473" t="s">
        <v>49</v>
      </c>
      <c r="Q473">
        <v>3</v>
      </c>
      <c r="R473" t="s">
        <v>43</v>
      </c>
      <c r="S473">
        <v>9824</v>
      </c>
      <c r="T473">
        <v>22174</v>
      </c>
      <c r="U473">
        <v>3</v>
      </c>
      <c r="V473" t="s">
        <v>38</v>
      </c>
      <c r="W473">
        <v>19</v>
      </c>
      <c r="X473">
        <v>3</v>
      </c>
      <c r="Y473">
        <v>3</v>
      </c>
      <c r="Z473">
        <v>1</v>
      </c>
      <c r="AA473">
        <v>18</v>
      </c>
      <c r="AB473" t="str">
        <f>IF(Table2[[#This Row],[TotalWorkingYears]]&lt;=5,"Early (0-5)",IF(Table2[[#This Row],[TotalWorkingYears]]&lt;=15,"Mid (6-15)","Senior (16+)"))</f>
        <v>Senior (16+)</v>
      </c>
      <c r="AC473">
        <v>4</v>
      </c>
      <c r="AD473">
        <v>3</v>
      </c>
      <c r="AE473" t="s">
        <v>63</v>
      </c>
      <c r="AF473">
        <v>0</v>
      </c>
      <c r="AG473">
        <v>0</v>
      </c>
      <c r="AH473">
        <v>0</v>
      </c>
    </row>
    <row r="474" spans="1:34" x14ac:dyDescent="0.3">
      <c r="A474" t="s">
        <v>57</v>
      </c>
      <c r="B474">
        <v>0</v>
      </c>
      <c r="C474" t="s">
        <v>32</v>
      </c>
      <c r="D474">
        <v>446</v>
      </c>
      <c r="E474" t="s">
        <v>40</v>
      </c>
      <c r="F474">
        <v>1</v>
      </c>
      <c r="G474" t="str">
        <f>IF(Table2[[#This Row],[DistanceFromHome]]&lt;=5, "short", IF(Table2[[#This Row],[DistanceFromHome]]&lt;=15, "medium", "long"))</f>
        <v>short</v>
      </c>
      <c r="H474">
        <v>4</v>
      </c>
      <c r="I474" t="s">
        <v>34</v>
      </c>
      <c r="J474">
        <v>635</v>
      </c>
      <c r="K474">
        <v>2</v>
      </c>
      <c r="L474" t="s">
        <v>35</v>
      </c>
      <c r="M474">
        <v>65</v>
      </c>
      <c r="N474">
        <v>3</v>
      </c>
      <c r="O474">
        <v>2</v>
      </c>
      <c r="P474" t="s">
        <v>48</v>
      </c>
      <c r="Q474">
        <v>2</v>
      </c>
      <c r="R474" t="s">
        <v>43</v>
      </c>
      <c r="S474">
        <v>6447</v>
      </c>
      <c r="T474">
        <v>15701</v>
      </c>
      <c r="U474">
        <v>6</v>
      </c>
      <c r="V474" t="s">
        <v>38</v>
      </c>
      <c r="W474">
        <v>12</v>
      </c>
      <c r="X474">
        <v>3</v>
      </c>
      <c r="Y474">
        <v>2</v>
      </c>
      <c r="Z474">
        <v>1</v>
      </c>
      <c r="AA474">
        <v>8</v>
      </c>
      <c r="AB474" t="str">
        <f>IF(Table2[[#This Row],[TotalWorkingYears]]&lt;=5,"Early (0-5)",IF(Table2[[#This Row],[TotalWorkingYears]]&lt;=15,"Mid (6-15)","Senior (16+)"))</f>
        <v>Mid (6-15)</v>
      </c>
      <c r="AC474">
        <v>2</v>
      </c>
      <c r="AD474">
        <v>2</v>
      </c>
      <c r="AE474" t="s">
        <v>62</v>
      </c>
      <c r="AF474">
        <v>5</v>
      </c>
      <c r="AG474">
        <v>4</v>
      </c>
      <c r="AH474">
        <v>3</v>
      </c>
    </row>
    <row r="475" spans="1:34" x14ac:dyDescent="0.3">
      <c r="A475" t="s">
        <v>58</v>
      </c>
      <c r="B475">
        <v>0</v>
      </c>
      <c r="C475" t="s">
        <v>32</v>
      </c>
      <c r="D475">
        <v>1245</v>
      </c>
      <c r="E475" t="s">
        <v>40</v>
      </c>
      <c r="F475">
        <v>18</v>
      </c>
      <c r="G475" t="str">
        <f>IF(Table2[[#This Row],[DistanceFromHome]]&lt;=5, "short", IF(Table2[[#This Row],[DistanceFromHome]]&lt;=15, "medium", "long"))</f>
        <v>long</v>
      </c>
      <c r="H475">
        <v>4</v>
      </c>
      <c r="I475" t="s">
        <v>34</v>
      </c>
      <c r="J475">
        <v>638</v>
      </c>
      <c r="K475">
        <v>4</v>
      </c>
      <c r="L475" t="s">
        <v>41</v>
      </c>
      <c r="M475">
        <v>58</v>
      </c>
      <c r="N475">
        <v>2</v>
      </c>
      <c r="O475">
        <v>5</v>
      </c>
      <c r="P475" t="s">
        <v>53</v>
      </c>
      <c r="Q475">
        <v>3</v>
      </c>
      <c r="R475" t="s">
        <v>47</v>
      </c>
      <c r="S475">
        <v>19502</v>
      </c>
      <c r="T475">
        <v>2125</v>
      </c>
      <c r="U475">
        <v>1</v>
      </c>
      <c r="V475" t="s">
        <v>31</v>
      </c>
      <c r="W475">
        <v>17</v>
      </c>
      <c r="X475">
        <v>3</v>
      </c>
      <c r="Y475">
        <v>3</v>
      </c>
      <c r="Z475">
        <v>1</v>
      </c>
      <c r="AA475">
        <v>31</v>
      </c>
      <c r="AB475" t="str">
        <f>IF(Table2[[#This Row],[TotalWorkingYears]]&lt;=5,"Early (0-5)",IF(Table2[[#This Row],[TotalWorkingYears]]&lt;=15,"Mid (6-15)","Senior (16+)"))</f>
        <v>Senior (16+)</v>
      </c>
      <c r="AC475">
        <v>5</v>
      </c>
      <c r="AD475">
        <v>3</v>
      </c>
      <c r="AE475" t="s">
        <v>65</v>
      </c>
      <c r="AF475">
        <v>9</v>
      </c>
      <c r="AG475">
        <v>0</v>
      </c>
      <c r="AH475">
        <v>9</v>
      </c>
    </row>
    <row r="476" spans="1:34" x14ac:dyDescent="0.3">
      <c r="A476" t="s">
        <v>60</v>
      </c>
      <c r="B476">
        <v>0</v>
      </c>
      <c r="C476" t="s">
        <v>32</v>
      </c>
      <c r="D476">
        <v>691</v>
      </c>
      <c r="E476" t="s">
        <v>40</v>
      </c>
      <c r="F476">
        <v>23</v>
      </c>
      <c r="G476" t="str">
        <f>IF(Table2[[#This Row],[DistanceFromHome]]&lt;=5, "short", IF(Table2[[#This Row],[DistanceFromHome]]&lt;=15, "medium", "long"))</f>
        <v>long</v>
      </c>
      <c r="H476">
        <v>3</v>
      </c>
      <c r="I476" t="s">
        <v>46</v>
      </c>
      <c r="J476">
        <v>639</v>
      </c>
      <c r="K476">
        <v>2</v>
      </c>
      <c r="L476" t="s">
        <v>41</v>
      </c>
      <c r="M476">
        <v>89</v>
      </c>
      <c r="N476">
        <v>4</v>
      </c>
      <c r="O476">
        <v>1</v>
      </c>
      <c r="P476" t="s">
        <v>42</v>
      </c>
      <c r="Q476">
        <v>4</v>
      </c>
      <c r="R476" t="s">
        <v>43</v>
      </c>
      <c r="S476">
        <v>2725</v>
      </c>
      <c r="T476">
        <v>21630</v>
      </c>
      <c r="U476">
        <v>1</v>
      </c>
      <c r="V476" t="s">
        <v>31</v>
      </c>
      <c r="W476">
        <v>11</v>
      </c>
      <c r="X476">
        <v>3</v>
      </c>
      <c r="Y476">
        <v>2</v>
      </c>
      <c r="Z476">
        <v>2</v>
      </c>
      <c r="AA476">
        <v>6</v>
      </c>
      <c r="AB476" t="str">
        <f>IF(Table2[[#This Row],[TotalWorkingYears]]&lt;=5,"Early (0-5)",IF(Table2[[#This Row],[TotalWorkingYears]]&lt;=15,"Mid (6-15)","Senior (16+)"))</f>
        <v>Mid (6-15)</v>
      </c>
      <c r="AC476">
        <v>3</v>
      </c>
      <c r="AD476">
        <v>3</v>
      </c>
      <c r="AE476" t="s">
        <v>62</v>
      </c>
      <c r="AF476">
        <v>5</v>
      </c>
      <c r="AG476">
        <v>1</v>
      </c>
      <c r="AH476">
        <v>4</v>
      </c>
    </row>
    <row r="477" spans="1:34" x14ac:dyDescent="0.3">
      <c r="A477" t="s">
        <v>59</v>
      </c>
      <c r="B477">
        <v>0</v>
      </c>
      <c r="C477" t="s">
        <v>32</v>
      </c>
      <c r="D477">
        <v>703</v>
      </c>
      <c r="E477" t="s">
        <v>33</v>
      </c>
      <c r="F477">
        <v>28</v>
      </c>
      <c r="G477" t="str">
        <f>IF(Table2[[#This Row],[DistanceFromHome]]&lt;=5, "short", IF(Table2[[#This Row],[DistanceFromHome]]&lt;=15, "medium", "long"))</f>
        <v>long</v>
      </c>
      <c r="H477">
        <v>2</v>
      </c>
      <c r="I477" t="s">
        <v>54</v>
      </c>
      <c r="J477">
        <v>641</v>
      </c>
      <c r="K477">
        <v>1</v>
      </c>
      <c r="L477" t="s">
        <v>41</v>
      </c>
      <c r="M477">
        <v>66</v>
      </c>
      <c r="N477">
        <v>3</v>
      </c>
      <c r="O477">
        <v>2</v>
      </c>
      <c r="P477" t="s">
        <v>36</v>
      </c>
      <c r="Q477">
        <v>2</v>
      </c>
      <c r="R477" t="s">
        <v>43</v>
      </c>
      <c r="S477">
        <v>6272</v>
      </c>
      <c r="T477">
        <v>7428</v>
      </c>
      <c r="U477">
        <v>1</v>
      </c>
      <c r="V477" t="s">
        <v>38</v>
      </c>
      <c r="W477">
        <v>20</v>
      </c>
      <c r="X477">
        <v>4</v>
      </c>
      <c r="Y477">
        <v>4</v>
      </c>
      <c r="Z477">
        <v>2</v>
      </c>
      <c r="AA477">
        <v>6</v>
      </c>
      <c r="AB477" t="str">
        <f>IF(Table2[[#This Row],[TotalWorkingYears]]&lt;=5,"Early (0-5)",IF(Table2[[#This Row],[TotalWorkingYears]]&lt;=15,"Mid (6-15)","Senior (16+)"))</f>
        <v>Mid (6-15)</v>
      </c>
      <c r="AC477">
        <v>5</v>
      </c>
      <c r="AD477">
        <v>4</v>
      </c>
      <c r="AE477" t="s">
        <v>64</v>
      </c>
      <c r="AF477">
        <v>3</v>
      </c>
      <c r="AG477">
        <v>1</v>
      </c>
      <c r="AH477">
        <v>4</v>
      </c>
    </row>
    <row r="478" spans="1:34" x14ac:dyDescent="0.3">
      <c r="A478" t="s">
        <v>60</v>
      </c>
      <c r="B478">
        <v>0</v>
      </c>
      <c r="C478" t="s">
        <v>32</v>
      </c>
      <c r="D478">
        <v>823</v>
      </c>
      <c r="E478" t="s">
        <v>40</v>
      </c>
      <c r="F478">
        <v>17</v>
      </c>
      <c r="G478" t="str">
        <f>IF(Table2[[#This Row],[DistanceFromHome]]&lt;=5, "short", IF(Table2[[#This Row],[DistanceFromHome]]&lt;=15, "medium", "long"))</f>
        <v>long</v>
      </c>
      <c r="H478">
        <v>2</v>
      </c>
      <c r="I478" t="s">
        <v>44</v>
      </c>
      <c r="J478">
        <v>643</v>
      </c>
      <c r="K478">
        <v>4</v>
      </c>
      <c r="L478" t="s">
        <v>41</v>
      </c>
      <c r="M478">
        <v>94</v>
      </c>
      <c r="N478">
        <v>2</v>
      </c>
      <c r="O478">
        <v>1</v>
      </c>
      <c r="P478" t="s">
        <v>45</v>
      </c>
      <c r="Q478">
        <v>2</v>
      </c>
      <c r="R478" t="s">
        <v>43</v>
      </c>
      <c r="S478">
        <v>2127</v>
      </c>
      <c r="T478">
        <v>9100</v>
      </c>
      <c r="U478">
        <v>1</v>
      </c>
      <c r="V478" t="s">
        <v>38</v>
      </c>
      <c r="W478">
        <v>21</v>
      </c>
      <c r="X478">
        <v>4</v>
      </c>
      <c r="Y478">
        <v>4</v>
      </c>
      <c r="Z478">
        <v>1</v>
      </c>
      <c r="AA478">
        <v>1</v>
      </c>
      <c r="AB478" t="str">
        <f>IF(Table2[[#This Row],[TotalWorkingYears]]&lt;=5,"Early (0-5)",IF(Table2[[#This Row],[TotalWorkingYears]]&lt;=15,"Mid (6-15)","Senior (16+)"))</f>
        <v>Early (0-5)</v>
      </c>
      <c r="AC478">
        <v>2</v>
      </c>
      <c r="AD478">
        <v>3</v>
      </c>
      <c r="AE478" t="s">
        <v>63</v>
      </c>
      <c r="AF478">
        <v>0</v>
      </c>
      <c r="AG478">
        <v>0</v>
      </c>
      <c r="AH478">
        <v>0</v>
      </c>
    </row>
    <row r="479" spans="1:34" x14ac:dyDescent="0.3">
      <c r="A479" t="s">
        <v>58</v>
      </c>
      <c r="B479">
        <v>0</v>
      </c>
      <c r="C479" t="s">
        <v>39</v>
      </c>
      <c r="D479">
        <v>1246</v>
      </c>
      <c r="E479" t="s">
        <v>56</v>
      </c>
      <c r="F479">
        <v>3</v>
      </c>
      <c r="G479" t="str">
        <f>IF(Table2[[#This Row],[DistanceFromHome]]&lt;=5, "short", IF(Table2[[#This Row],[DistanceFromHome]]&lt;=15, "medium", "long"))</f>
        <v>short</v>
      </c>
      <c r="H479">
        <v>3</v>
      </c>
      <c r="I479" t="s">
        <v>46</v>
      </c>
      <c r="J479">
        <v>644</v>
      </c>
      <c r="K479">
        <v>1</v>
      </c>
      <c r="L479" t="s">
        <v>41</v>
      </c>
      <c r="M479">
        <v>99</v>
      </c>
      <c r="N479">
        <v>3</v>
      </c>
      <c r="O479">
        <v>5</v>
      </c>
      <c r="P479" t="s">
        <v>51</v>
      </c>
      <c r="Q479">
        <v>2</v>
      </c>
      <c r="R479" t="s">
        <v>43</v>
      </c>
      <c r="S479">
        <v>18200</v>
      </c>
      <c r="T479">
        <v>7999</v>
      </c>
      <c r="U479">
        <v>1</v>
      </c>
      <c r="V479" t="s">
        <v>38</v>
      </c>
      <c r="W479">
        <v>11</v>
      </c>
      <c r="X479">
        <v>3</v>
      </c>
      <c r="Y479">
        <v>3</v>
      </c>
      <c r="Z479">
        <v>1</v>
      </c>
      <c r="AA479">
        <v>32</v>
      </c>
      <c r="AB479" t="str">
        <f>IF(Table2[[#This Row],[TotalWorkingYears]]&lt;=5,"Early (0-5)",IF(Table2[[#This Row],[TotalWorkingYears]]&lt;=15,"Mid (6-15)","Senior (16+)"))</f>
        <v>Senior (16+)</v>
      </c>
      <c r="AC479">
        <v>2</v>
      </c>
      <c r="AD479">
        <v>3</v>
      </c>
      <c r="AE479" t="s">
        <v>65</v>
      </c>
      <c r="AF479">
        <v>5</v>
      </c>
      <c r="AG479">
        <v>10</v>
      </c>
      <c r="AH479">
        <v>7</v>
      </c>
    </row>
    <row r="480" spans="1:34" x14ac:dyDescent="0.3">
      <c r="A480" t="s">
        <v>60</v>
      </c>
      <c r="B480">
        <v>0</v>
      </c>
      <c r="C480" t="s">
        <v>32</v>
      </c>
      <c r="D480">
        <v>622</v>
      </c>
      <c r="E480" t="s">
        <v>33</v>
      </c>
      <c r="F480">
        <v>13</v>
      </c>
      <c r="G480" t="str">
        <f>IF(Table2[[#This Row],[DistanceFromHome]]&lt;=5, "short", IF(Table2[[#This Row],[DistanceFromHome]]&lt;=15, "medium", "long"))</f>
        <v>medium</v>
      </c>
      <c r="H480">
        <v>1</v>
      </c>
      <c r="I480" t="s">
        <v>46</v>
      </c>
      <c r="J480">
        <v>645</v>
      </c>
      <c r="K480">
        <v>2</v>
      </c>
      <c r="L480" t="s">
        <v>41</v>
      </c>
      <c r="M480">
        <v>40</v>
      </c>
      <c r="N480">
        <v>3</v>
      </c>
      <c r="O480">
        <v>1</v>
      </c>
      <c r="P480" t="s">
        <v>52</v>
      </c>
      <c r="Q480">
        <v>3</v>
      </c>
      <c r="R480" t="s">
        <v>43</v>
      </c>
      <c r="S480">
        <v>2096</v>
      </c>
      <c r="T480">
        <v>26376</v>
      </c>
      <c r="U480">
        <v>1</v>
      </c>
      <c r="V480" t="s">
        <v>38</v>
      </c>
      <c r="W480">
        <v>11</v>
      </c>
      <c r="X480">
        <v>3</v>
      </c>
      <c r="Y480">
        <v>3</v>
      </c>
      <c r="Z480">
        <v>0</v>
      </c>
      <c r="AA480">
        <v>7</v>
      </c>
      <c r="AB480" t="str">
        <f>IF(Table2[[#This Row],[TotalWorkingYears]]&lt;=5,"Early (0-5)",IF(Table2[[#This Row],[TotalWorkingYears]]&lt;=15,"Mid (6-15)","Senior (16+)"))</f>
        <v>Mid (6-15)</v>
      </c>
      <c r="AC480">
        <v>1</v>
      </c>
      <c r="AD480">
        <v>3</v>
      </c>
      <c r="AE480" t="s">
        <v>62</v>
      </c>
      <c r="AF480">
        <v>4</v>
      </c>
      <c r="AG480">
        <v>0</v>
      </c>
      <c r="AH480">
        <v>6</v>
      </c>
    </row>
    <row r="481" spans="1:34" x14ac:dyDescent="0.3">
      <c r="A481" t="s">
        <v>60</v>
      </c>
      <c r="B481">
        <v>1</v>
      </c>
      <c r="C481" t="s">
        <v>39</v>
      </c>
      <c r="D481">
        <v>1287</v>
      </c>
      <c r="E481" t="s">
        <v>40</v>
      </c>
      <c r="F481">
        <v>7</v>
      </c>
      <c r="G481" t="str">
        <f>IF(Table2[[#This Row],[DistanceFromHome]]&lt;=5, "short", IF(Table2[[#This Row],[DistanceFromHome]]&lt;=15, "medium", "long"))</f>
        <v>medium</v>
      </c>
      <c r="H481">
        <v>3</v>
      </c>
      <c r="I481" t="s">
        <v>34</v>
      </c>
      <c r="J481">
        <v>647</v>
      </c>
      <c r="K481">
        <v>1</v>
      </c>
      <c r="L481" t="s">
        <v>35</v>
      </c>
      <c r="M481">
        <v>55</v>
      </c>
      <c r="N481">
        <v>3</v>
      </c>
      <c r="O481">
        <v>1</v>
      </c>
      <c r="P481" t="s">
        <v>45</v>
      </c>
      <c r="Q481">
        <v>3</v>
      </c>
      <c r="R481" t="s">
        <v>43</v>
      </c>
      <c r="S481">
        <v>2886</v>
      </c>
      <c r="T481">
        <v>14168</v>
      </c>
      <c r="U481">
        <v>1</v>
      </c>
      <c r="V481" t="s">
        <v>31</v>
      </c>
      <c r="W481">
        <v>16</v>
      </c>
      <c r="X481">
        <v>3</v>
      </c>
      <c r="Y481">
        <v>4</v>
      </c>
      <c r="Z481">
        <v>1</v>
      </c>
      <c r="AA481">
        <v>6</v>
      </c>
      <c r="AB481" t="str">
        <f>IF(Table2[[#This Row],[TotalWorkingYears]]&lt;=5,"Early (0-5)",IF(Table2[[#This Row],[TotalWorkingYears]]&lt;=15,"Mid (6-15)","Senior (16+)"))</f>
        <v>Mid (6-15)</v>
      </c>
      <c r="AC481">
        <v>4</v>
      </c>
      <c r="AD481">
        <v>3</v>
      </c>
      <c r="AE481" t="s">
        <v>62</v>
      </c>
      <c r="AF481">
        <v>3</v>
      </c>
      <c r="AG481">
        <v>1</v>
      </c>
      <c r="AH481">
        <v>2</v>
      </c>
    </row>
    <row r="482" spans="1:34" x14ac:dyDescent="0.3">
      <c r="A482" t="s">
        <v>59</v>
      </c>
      <c r="B482">
        <v>1</v>
      </c>
      <c r="C482" t="s">
        <v>39</v>
      </c>
      <c r="D482">
        <v>448</v>
      </c>
      <c r="E482" t="s">
        <v>33</v>
      </c>
      <c r="F482">
        <v>12</v>
      </c>
      <c r="G482" t="str">
        <f>IF(Table2[[#This Row],[DistanceFromHome]]&lt;=5, "short", IF(Table2[[#This Row],[DistanceFromHome]]&lt;=15, "medium", "long"))</f>
        <v>medium</v>
      </c>
      <c r="H482">
        <v>4</v>
      </c>
      <c r="I482" t="s">
        <v>34</v>
      </c>
      <c r="J482">
        <v>648</v>
      </c>
      <c r="K482">
        <v>2</v>
      </c>
      <c r="L482" t="s">
        <v>41</v>
      </c>
      <c r="M482">
        <v>74</v>
      </c>
      <c r="N482">
        <v>2</v>
      </c>
      <c r="O482">
        <v>1</v>
      </c>
      <c r="P482" t="s">
        <v>52</v>
      </c>
      <c r="Q482">
        <v>1</v>
      </c>
      <c r="R482" t="s">
        <v>43</v>
      </c>
      <c r="S482">
        <v>2033</v>
      </c>
      <c r="T482">
        <v>14470</v>
      </c>
      <c r="U482">
        <v>1</v>
      </c>
      <c r="V482" t="s">
        <v>38</v>
      </c>
      <c r="W482">
        <v>18</v>
      </c>
      <c r="X482">
        <v>3</v>
      </c>
      <c r="Y482">
        <v>3</v>
      </c>
      <c r="Z482">
        <v>1</v>
      </c>
      <c r="AA482">
        <v>1</v>
      </c>
      <c r="AB482" t="str">
        <f>IF(Table2[[#This Row],[TotalWorkingYears]]&lt;=5,"Early (0-5)",IF(Table2[[#This Row],[TotalWorkingYears]]&lt;=15,"Mid (6-15)","Senior (16+)"))</f>
        <v>Early (0-5)</v>
      </c>
      <c r="AC482">
        <v>2</v>
      </c>
      <c r="AD482">
        <v>4</v>
      </c>
      <c r="AE482" t="s">
        <v>63</v>
      </c>
      <c r="AF482">
        <v>0</v>
      </c>
      <c r="AG482">
        <v>0</v>
      </c>
      <c r="AH482">
        <v>0</v>
      </c>
    </row>
    <row r="483" spans="1:34" x14ac:dyDescent="0.3">
      <c r="A483" t="s">
        <v>59</v>
      </c>
      <c r="B483">
        <v>0</v>
      </c>
      <c r="C483" t="s">
        <v>32</v>
      </c>
      <c r="D483">
        <v>254</v>
      </c>
      <c r="E483" t="s">
        <v>40</v>
      </c>
      <c r="F483">
        <v>1</v>
      </c>
      <c r="G483" t="str">
        <f>IF(Table2[[#This Row],[DistanceFromHome]]&lt;=5, "short", IF(Table2[[#This Row],[DistanceFromHome]]&lt;=15, "medium", "long"))</f>
        <v>short</v>
      </c>
      <c r="H483">
        <v>2</v>
      </c>
      <c r="I483" t="s">
        <v>34</v>
      </c>
      <c r="J483">
        <v>649</v>
      </c>
      <c r="K483">
        <v>2</v>
      </c>
      <c r="L483" t="s">
        <v>41</v>
      </c>
      <c r="M483">
        <v>83</v>
      </c>
      <c r="N483">
        <v>2</v>
      </c>
      <c r="O483">
        <v>1</v>
      </c>
      <c r="P483" t="s">
        <v>42</v>
      </c>
      <c r="Q483">
        <v>4</v>
      </c>
      <c r="R483" t="s">
        <v>43</v>
      </c>
      <c r="S483">
        <v>3622</v>
      </c>
      <c r="T483">
        <v>22794</v>
      </c>
      <c r="U483">
        <v>1</v>
      </c>
      <c r="V483" t="s">
        <v>31</v>
      </c>
      <c r="W483">
        <v>13</v>
      </c>
      <c r="X483">
        <v>3</v>
      </c>
      <c r="Y483">
        <v>4</v>
      </c>
      <c r="Z483">
        <v>1</v>
      </c>
      <c r="AA483">
        <v>6</v>
      </c>
      <c r="AB483" t="str">
        <f>IF(Table2[[#This Row],[TotalWorkingYears]]&lt;=5,"Early (0-5)",IF(Table2[[#This Row],[TotalWorkingYears]]&lt;=15,"Mid (6-15)","Senior (16+)"))</f>
        <v>Mid (6-15)</v>
      </c>
      <c r="AC483">
        <v>3</v>
      </c>
      <c r="AD483">
        <v>3</v>
      </c>
      <c r="AE483" t="s">
        <v>62</v>
      </c>
      <c r="AF483">
        <v>5</v>
      </c>
      <c r="AG483">
        <v>1</v>
      </c>
      <c r="AH483">
        <v>3</v>
      </c>
    </row>
    <row r="484" spans="1:34" x14ac:dyDescent="0.3">
      <c r="A484" t="s">
        <v>59</v>
      </c>
      <c r="B484">
        <v>1</v>
      </c>
      <c r="C484" t="s">
        <v>32</v>
      </c>
      <c r="D484">
        <v>1365</v>
      </c>
      <c r="E484" t="s">
        <v>33</v>
      </c>
      <c r="F484">
        <v>13</v>
      </c>
      <c r="G484" t="str">
        <f>IF(Table2[[#This Row],[DistanceFromHome]]&lt;=5, "short", IF(Table2[[#This Row],[DistanceFromHome]]&lt;=15, "medium", "long"))</f>
        <v>medium</v>
      </c>
      <c r="H484">
        <v>4</v>
      </c>
      <c r="I484" t="s">
        <v>46</v>
      </c>
      <c r="J484">
        <v>650</v>
      </c>
      <c r="K484">
        <v>2</v>
      </c>
      <c r="L484" t="s">
        <v>41</v>
      </c>
      <c r="M484">
        <v>46</v>
      </c>
      <c r="N484">
        <v>3</v>
      </c>
      <c r="O484">
        <v>2</v>
      </c>
      <c r="P484" t="s">
        <v>36</v>
      </c>
      <c r="Q484">
        <v>1</v>
      </c>
      <c r="R484" t="s">
        <v>47</v>
      </c>
      <c r="S484">
        <v>4233</v>
      </c>
      <c r="T484">
        <v>11512</v>
      </c>
      <c r="U484">
        <v>2</v>
      </c>
      <c r="V484" t="s">
        <v>38</v>
      </c>
      <c r="W484">
        <v>17</v>
      </c>
      <c r="X484">
        <v>3</v>
      </c>
      <c r="Y484">
        <v>3</v>
      </c>
      <c r="Z484">
        <v>0</v>
      </c>
      <c r="AA484">
        <v>9</v>
      </c>
      <c r="AB484" t="str">
        <f>IF(Table2[[#This Row],[TotalWorkingYears]]&lt;=5,"Early (0-5)",IF(Table2[[#This Row],[TotalWorkingYears]]&lt;=15,"Mid (6-15)","Senior (16+)"))</f>
        <v>Mid (6-15)</v>
      </c>
      <c r="AC484">
        <v>2</v>
      </c>
      <c r="AD484">
        <v>1</v>
      </c>
      <c r="AE484" t="s">
        <v>64</v>
      </c>
      <c r="AF484">
        <v>1</v>
      </c>
      <c r="AG484">
        <v>1</v>
      </c>
      <c r="AH484">
        <v>2</v>
      </c>
    </row>
    <row r="485" spans="1:34" x14ac:dyDescent="0.3">
      <c r="A485" t="s">
        <v>59</v>
      </c>
      <c r="B485">
        <v>0</v>
      </c>
      <c r="C485" t="s">
        <v>32</v>
      </c>
      <c r="D485">
        <v>538</v>
      </c>
      <c r="E485" t="s">
        <v>40</v>
      </c>
      <c r="F485">
        <v>25</v>
      </c>
      <c r="G485" t="str">
        <f>IF(Table2[[#This Row],[DistanceFromHome]]&lt;=5, "short", IF(Table2[[#This Row],[DistanceFromHome]]&lt;=15, "medium", "long"))</f>
        <v>long</v>
      </c>
      <c r="H485">
        <v>2</v>
      </c>
      <c r="I485" t="s">
        <v>44</v>
      </c>
      <c r="J485">
        <v>652</v>
      </c>
      <c r="K485">
        <v>1</v>
      </c>
      <c r="L485" t="s">
        <v>41</v>
      </c>
      <c r="M485">
        <v>54</v>
      </c>
      <c r="N485">
        <v>2</v>
      </c>
      <c r="O485">
        <v>2</v>
      </c>
      <c r="P485" t="s">
        <v>45</v>
      </c>
      <c r="Q485">
        <v>4</v>
      </c>
      <c r="R485" t="s">
        <v>37</v>
      </c>
      <c r="S485">
        <v>3681</v>
      </c>
      <c r="T485">
        <v>14004</v>
      </c>
      <c r="U485">
        <v>4</v>
      </c>
      <c r="V485" t="s">
        <v>38</v>
      </c>
      <c r="W485">
        <v>14</v>
      </c>
      <c r="X485">
        <v>3</v>
      </c>
      <c r="Y485">
        <v>4</v>
      </c>
      <c r="Z485">
        <v>0</v>
      </c>
      <c r="AA485">
        <v>9</v>
      </c>
      <c r="AB485" t="str">
        <f>IF(Table2[[#This Row],[TotalWorkingYears]]&lt;=5,"Early (0-5)",IF(Table2[[#This Row],[TotalWorkingYears]]&lt;=15,"Mid (6-15)","Senior (16+)"))</f>
        <v>Mid (6-15)</v>
      </c>
      <c r="AC485">
        <v>3</v>
      </c>
      <c r="AD485">
        <v>3</v>
      </c>
      <c r="AE485" t="s">
        <v>64</v>
      </c>
      <c r="AF485">
        <v>2</v>
      </c>
      <c r="AG485">
        <v>0</v>
      </c>
      <c r="AH485">
        <v>2</v>
      </c>
    </row>
    <row r="486" spans="1:34" x14ac:dyDescent="0.3">
      <c r="A486" t="s">
        <v>59</v>
      </c>
      <c r="B486">
        <v>0</v>
      </c>
      <c r="C486" t="s">
        <v>32</v>
      </c>
      <c r="D486">
        <v>525</v>
      </c>
      <c r="E486" t="s">
        <v>33</v>
      </c>
      <c r="F486">
        <v>6</v>
      </c>
      <c r="G486" t="str">
        <f>IF(Table2[[#This Row],[DistanceFromHome]]&lt;=5, "short", IF(Table2[[#This Row],[DistanceFromHome]]&lt;=15, "medium", "long"))</f>
        <v>medium</v>
      </c>
      <c r="H486">
        <v>4</v>
      </c>
      <c r="I486" t="s">
        <v>46</v>
      </c>
      <c r="J486">
        <v>653</v>
      </c>
      <c r="K486">
        <v>1</v>
      </c>
      <c r="L486" t="s">
        <v>41</v>
      </c>
      <c r="M486">
        <v>66</v>
      </c>
      <c r="N486">
        <v>4</v>
      </c>
      <c r="O486">
        <v>2</v>
      </c>
      <c r="P486" t="s">
        <v>36</v>
      </c>
      <c r="Q486">
        <v>4</v>
      </c>
      <c r="R486" t="s">
        <v>47</v>
      </c>
      <c r="S486">
        <v>5460</v>
      </c>
      <c r="T486">
        <v>6219</v>
      </c>
      <c r="U486">
        <v>4</v>
      </c>
      <c r="V486" t="s">
        <v>38</v>
      </c>
      <c r="W486">
        <v>22</v>
      </c>
      <c r="X486">
        <v>4</v>
      </c>
      <c r="Y486">
        <v>4</v>
      </c>
      <c r="Z486">
        <v>2</v>
      </c>
      <c r="AA486">
        <v>13</v>
      </c>
      <c r="AB486" t="str">
        <f>IF(Table2[[#This Row],[TotalWorkingYears]]&lt;=5,"Early (0-5)",IF(Table2[[#This Row],[TotalWorkingYears]]&lt;=15,"Mid (6-15)","Senior (16+)"))</f>
        <v>Mid (6-15)</v>
      </c>
      <c r="AC486">
        <v>4</v>
      </c>
      <c r="AD486">
        <v>4</v>
      </c>
      <c r="AE486" t="s">
        <v>62</v>
      </c>
      <c r="AF486">
        <v>7</v>
      </c>
      <c r="AG486">
        <v>5</v>
      </c>
      <c r="AH486">
        <v>7</v>
      </c>
    </row>
    <row r="487" spans="1:34" x14ac:dyDescent="0.3">
      <c r="A487" t="s">
        <v>59</v>
      </c>
      <c r="B487">
        <v>0</v>
      </c>
      <c r="C487" t="s">
        <v>32</v>
      </c>
      <c r="D487">
        <v>798</v>
      </c>
      <c r="E487" t="s">
        <v>40</v>
      </c>
      <c r="F487">
        <v>6</v>
      </c>
      <c r="G487" t="str">
        <f>IF(Table2[[#This Row],[DistanceFromHome]]&lt;=5, "short", IF(Table2[[#This Row],[DistanceFromHome]]&lt;=15, "medium", "long"))</f>
        <v>medium</v>
      </c>
      <c r="H487">
        <v>4</v>
      </c>
      <c r="I487" t="s">
        <v>46</v>
      </c>
      <c r="J487">
        <v>655</v>
      </c>
      <c r="K487">
        <v>1</v>
      </c>
      <c r="L487" t="s">
        <v>35</v>
      </c>
      <c r="M487">
        <v>66</v>
      </c>
      <c r="N487">
        <v>2</v>
      </c>
      <c r="O487">
        <v>1</v>
      </c>
      <c r="P487" t="s">
        <v>42</v>
      </c>
      <c r="Q487">
        <v>3</v>
      </c>
      <c r="R487" t="s">
        <v>47</v>
      </c>
      <c r="S487">
        <v>2187</v>
      </c>
      <c r="T487">
        <v>5013</v>
      </c>
      <c r="U487">
        <v>0</v>
      </c>
      <c r="V487" t="s">
        <v>38</v>
      </c>
      <c r="W487">
        <v>12</v>
      </c>
      <c r="X487">
        <v>3</v>
      </c>
      <c r="Y487">
        <v>3</v>
      </c>
      <c r="Z487">
        <v>2</v>
      </c>
      <c r="AA487">
        <v>6</v>
      </c>
      <c r="AB487" t="str">
        <f>IF(Table2[[#This Row],[TotalWorkingYears]]&lt;=5,"Early (0-5)",IF(Table2[[#This Row],[TotalWorkingYears]]&lt;=15,"Mid (6-15)","Senior (16+)"))</f>
        <v>Mid (6-15)</v>
      </c>
      <c r="AC487">
        <v>5</v>
      </c>
      <c r="AD487">
        <v>2</v>
      </c>
      <c r="AE487" t="s">
        <v>64</v>
      </c>
      <c r="AF487">
        <v>3</v>
      </c>
      <c r="AG487">
        <v>0</v>
      </c>
      <c r="AH487">
        <v>3</v>
      </c>
    </row>
    <row r="488" spans="1:34" x14ac:dyDescent="0.3">
      <c r="A488" t="s">
        <v>57</v>
      </c>
      <c r="B488">
        <v>0</v>
      </c>
      <c r="C488" t="s">
        <v>32</v>
      </c>
      <c r="D488">
        <v>558</v>
      </c>
      <c r="E488" t="s">
        <v>33</v>
      </c>
      <c r="F488">
        <v>2</v>
      </c>
      <c r="G488" t="str">
        <f>IF(Table2[[#This Row],[DistanceFromHome]]&lt;=5, "short", IF(Table2[[#This Row],[DistanceFromHome]]&lt;=15, "medium", "long"))</f>
        <v>short</v>
      </c>
      <c r="H488">
        <v>3</v>
      </c>
      <c r="I488" t="s">
        <v>54</v>
      </c>
      <c r="J488">
        <v>656</v>
      </c>
      <c r="K488">
        <v>4</v>
      </c>
      <c r="L488" t="s">
        <v>41</v>
      </c>
      <c r="M488">
        <v>75</v>
      </c>
      <c r="N488">
        <v>3</v>
      </c>
      <c r="O488">
        <v>2</v>
      </c>
      <c r="P488" t="s">
        <v>36</v>
      </c>
      <c r="Q488">
        <v>3</v>
      </c>
      <c r="R488" t="s">
        <v>43</v>
      </c>
      <c r="S488">
        <v>9602</v>
      </c>
      <c r="T488">
        <v>3010</v>
      </c>
      <c r="U488">
        <v>4</v>
      </c>
      <c r="V488" t="s">
        <v>31</v>
      </c>
      <c r="W488">
        <v>11</v>
      </c>
      <c r="X488">
        <v>3</v>
      </c>
      <c r="Y488">
        <v>3</v>
      </c>
      <c r="Z488">
        <v>1</v>
      </c>
      <c r="AA488">
        <v>17</v>
      </c>
      <c r="AB488" t="str">
        <f>IF(Table2[[#This Row],[TotalWorkingYears]]&lt;=5,"Early (0-5)",IF(Table2[[#This Row],[TotalWorkingYears]]&lt;=15,"Mid (6-15)","Senior (16+)"))</f>
        <v>Senior (16+)</v>
      </c>
      <c r="AC488">
        <v>3</v>
      </c>
      <c r="AD488">
        <v>2</v>
      </c>
      <c r="AE488" t="s">
        <v>64</v>
      </c>
      <c r="AF488">
        <v>0</v>
      </c>
      <c r="AG488">
        <v>1</v>
      </c>
      <c r="AH488">
        <v>0</v>
      </c>
    </row>
    <row r="489" spans="1:34" x14ac:dyDescent="0.3">
      <c r="A489" t="s">
        <v>60</v>
      </c>
      <c r="B489">
        <v>0</v>
      </c>
      <c r="C489" t="s">
        <v>32</v>
      </c>
      <c r="D489">
        <v>959</v>
      </c>
      <c r="E489" t="s">
        <v>40</v>
      </c>
      <c r="F489">
        <v>1</v>
      </c>
      <c r="G489" t="str">
        <f>IF(Table2[[#This Row],[DistanceFromHome]]&lt;=5, "short", IF(Table2[[#This Row],[DistanceFromHome]]&lt;=15, "medium", "long"))</f>
        <v>short</v>
      </c>
      <c r="H489">
        <v>3</v>
      </c>
      <c r="I489" t="s">
        <v>34</v>
      </c>
      <c r="J489">
        <v>657</v>
      </c>
      <c r="K489">
        <v>4</v>
      </c>
      <c r="L489" t="s">
        <v>35</v>
      </c>
      <c r="M489">
        <v>83</v>
      </c>
      <c r="N489">
        <v>2</v>
      </c>
      <c r="O489">
        <v>1</v>
      </c>
      <c r="P489" t="s">
        <v>42</v>
      </c>
      <c r="Q489">
        <v>2</v>
      </c>
      <c r="R489" t="s">
        <v>37</v>
      </c>
      <c r="S489">
        <v>2836</v>
      </c>
      <c r="T489">
        <v>11757</v>
      </c>
      <c r="U489">
        <v>1</v>
      </c>
      <c r="V489" t="s">
        <v>38</v>
      </c>
      <c r="W489">
        <v>13</v>
      </c>
      <c r="X489">
        <v>3</v>
      </c>
      <c r="Y489">
        <v>4</v>
      </c>
      <c r="Z489">
        <v>0</v>
      </c>
      <c r="AA489">
        <v>1</v>
      </c>
      <c r="AB489" t="str">
        <f>IF(Table2[[#This Row],[TotalWorkingYears]]&lt;=5,"Early (0-5)",IF(Table2[[#This Row],[TotalWorkingYears]]&lt;=15,"Mid (6-15)","Senior (16+)"))</f>
        <v>Early (0-5)</v>
      </c>
      <c r="AC489">
        <v>0</v>
      </c>
      <c r="AD489">
        <v>4</v>
      </c>
      <c r="AE489" t="s">
        <v>63</v>
      </c>
      <c r="AF489">
        <v>0</v>
      </c>
      <c r="AG489">
        <v>0</v>
      </c>
      <c r="AH489">
        <v>0</v>
      </c>
    </row>
    <row r="490" spans="1:34" x14ac:dyDescent="0.3">
      <c r="A490" t="s">
        <v>57</v>
      </c>
      <c r="B490">
        <v>0</v>
      </c>
      <c r="C490" t="s">
        <v>32</v>
      </c>
      <c r="D490">
        <v>622</v>
      </c>
      <c r="E490" t="s">
        <v>40</v>
      </c>
      <c r="F490">
        <v>2</v>
      </c>
      <c r="G490" t="str">
        <f>IF(Table2[[#This Row],[DistanceFromHome]]&lt;=5, "short", IF(Table2[[#This Row],[DistanceFromHome]]&lt;=15, "medium", "long"))</f>
        <v>short</v>
      </c>
      <c r="H490">
        <v>4</v>
      </c>
      <c r="I490" t="s">
        <v>34</v>
      </c>
      <c r="J490">
        <v>659</v>
      </c>
      <c r="K490">
        <v>3</v>
      </c>
      <c r="L490" t="s">
        <v>35</v>
      </c>
      <c r="M490">
        <v>81</v>
      </c>
      <c r="N490">
        <v>3</v>
      </c>
      <c r="O490">
        <v>2</v>
      </c>
      <c r="P490" t="s">
        <v>49</v>
      </c>
      <c r="Q490">
        <v>4</v>
      </c>
      <c r="R490" t="s">
        <v>43</v>
      </c>
      <c r="S490">
        <v>4089</v>
      </c>
      <c r="T490">
        <v>5718</v>
      </c>
      <c r="U490">
        <v>1</v>
      </c>
      <c r="V490" t="s">
        <v>38</v>
      </c>
      <c r="W490">
        <v>13</v>
      </c>
      <c r="X490">
        <v>3</v>
      </c>
      <c r="Y490">
        <v>2</v>
      </c>
      <c r="Z490">
        <v>2</v>
      </c>
      <c r="AA490">
        <v>10</v>
      </c>
      <c r="AB490" t="str">
        <f>IF(Table2[[#This Row],[TotalWorkingYears]]&lt;=5,"Early (0-5)",IF(Table2[[#This Row],[TotalWorkingYears]]&lt;=15,"Mid (6-15)","Senior (16+)"))</f>
        <v>Mid (6-15)</v>
      </c>
      <c r="AC490">
        <v>4</v>
      </c>
      <c r="AD490">
        <v>3</v>
      </c>
      <c r="AE490" t="s">
        <v>62</v>
      </c>
      <c r="AF490">
        <v>2</v>
      </c>
      <c r="AG490">
        <v>2</v>
      </c>
      <c r="AH490">
        <v>2</v>
      </c>
    </row>
    <row r="491" spans="1:34" x14ac:dyDescent="0.3">
      <c r="A491" t="s">
        <v>57</v>
      </c>
      <c r="B491">
        <v>0</v>
      </c>
      <c r="C491" t="s">
        <v>32</v>
      </c>
      <c r="D491">
        <v>782</v>
      </c>
      <c r="E491" t="s">
        <v>40</v>
      </c>
      <c r="F491">
        <v>6</v>
      </c>
      <c r="G491" t="str">
        <f>IF(Table2[[#This Row],[DistanceFromHome]]&lt;=5, "short", IF(Table2[[#This Row],[DistanceFromHome]]&lt;=15, "medium", "long"))</f>
        <v>medium</v>
      </c>
      <c r="H491">
        <v>4</v>
      </c>
      <c r="I491" t="s">
        <v>44</v>
      </c>
      <c r="J491">
        <v>661</v>
      </c>
      <c r="K491">
        <v>2</v>
      </c>
      <c r="L491" t="s">
        <v>41</v>
      </c>
      <c r="M491">
        <v>50</v>
      </c>
      <c r="N491">
        <v>2</v>
      </c>
      <c r="O491">
        <v>4</v>
      </c>
      <c r="P491" t="s">
        <v>53</v>
      </c>
      <c r="Q491">
        <v>4</v>
      </c>
      <c r="R491" t="s">
        <v>47</v>
      </c>
      <c r="S491">
        <v>16627</v>
      </c>
      <c r="T491">
        <v>2671</v>
      </c>
      <c r="U491">
        <v>4</v>
      </c>
      <c r="V491" t="s">
        <v>31</v>
      </c>
      <c r="W491">
        <v>14</v>
      </c>
      <c r="X491">
        <v>3</v>
      </c>
      <c r="Y491">
        <v>3</v>
      </c>
      <c r="Z491">
        <v>1</v>
      </c>
      <c r="AA491">
        <v>21</v>
      </c>
      <c r="AB491" t="str">
        <f>IF(Table2[[#This Row],[TotalWorkingYears]]&lt;=5,"Early (0-5)",IF(Table2[[#This Row],[TotalWorkingYears]]&lt;=15,"Mid (6-15)","Senior (16+)"))</f>
        <v>Senior (16+)</v>
      </c>
      <c r="AC491">
        <v>3</v>
      </c>
      <c r="AD491">
        <v>2</v>
      </c>
      <c r="AE491" t="s">
        <v>63</v>
      </c>
      <c r="AF491">
        <v>0</v>
      </c>
      <c r="AG491">
        <v>0</v>
      </c>
      <c r="AH491">
        <v>0</v>
      </c>
    </row>
    <row r="492" spans="1:34" x14ac:dyDescent="0.3">
      <c r="A492" t="s">
        <v>57</v>
      </c>
      <c r="B492">
        <v>0</v>
      </c>
      <c r="C492" t="s">
        <v>32</v>
      </c>
      <c r="D492">
        <v>362</v>
      </c>
      <c r="E492" t="s">
        <v>40</v>
      </c>
      <c r="F492">
        <v>1</v>
      </c>
      <c r="G492" t="str">
        <f>IF(Table2[[#This Row],[DistanceFromHome]]&lt;=5, "short", IF(Table2[[#This Row],[DistanceFromHome]]&lt;=15, "medium", "long"))</f>
        <v>short</v>
      </c>
      <c r="H492">
        <v>1</v>
      </c>
      <c r="I492" t="s">
        <v>34</v>
      </c>
      <c r="J492">
        <v>662</v>
      </c>
      <c r="K492">
        <v>3</v>
      </c>
      <c r="L492" t="s">
        <v>35</v>
      </c>
      <c r="M492">
        <v>43</v>
      </c>
      <c r="N492">
        <v>3</v>
      </c>
      <c r="O492">
        <v>1</v>
      </c>
      <c r="P492" t="s">
        <v>42</v>
      </c>
      <c r="Q492">
        <v>1</v>
      </c>
      <c r="R492" t="s">
        <v>37</v>
      </c>
      <c r="S492">
        <v>2619</v>
      </c>
      <c r="T492">
        <v>14561</v>
      </c>
      <c r="U492">
        <v>3</v>
      </c>
      <c r="V492" t="s">
        <v>38</v>
      </c>
      <c r="W492">
        <v>17</v>
      </c>
      <c r="X492">
        <v>3</v>
      </c>
      <c r="Y492">
        <v>4</v>
      </c>
      <c r="Z492">
        <v>0</v>
      </c>
      <c r="AA492">
        <v>8</v>
      </c>
      <c r="AB492" t="str">
        <f>IF(Table2[[#This Row],[TotalWorkingYears]]&lt;=5,"Early (0-5)",IF(Table2[[#This Row],[TotalWorkingYears]]&lt;=15,"Mid (6-15)","Senior (16+)"))</f>
        <v>Mid (6-15)</v>
      </c>
      <c r="AC492">
        <v>3</v>
      </c>
      <c r="AD492">
        <v>2</v>
      </c>
      <c r="AE492" t="s">
        <v>63</v>
      </c>
      <c r="AF492">
        <v>0</v>
      </c>
      <c r="AG492">
        <v>0</v>
      </c>
      <c r="AH492">
        <v>0</v>
      </c>
    </row>
    <row r="493" spans="1:34" x14ac:dyDescent="0.3">
      <c r="A493" t="s">
        <v>57</v>
      </c>
      <c r="B493">
        <v>0</v>
      </c>
      <c r="C493" t="s">
        <v>39</v>
      </c>
      <c r="D493">
        <v>1001</v>
      </c>
      <c r="E493" t="s">
        <v>40</v>
      </c>
      <c r="F493">
        <v>9</v>
      </c>
      <c r="G493" t="str">
        <f>IF(Table2[[#This Row],[DistanceFromHome]]&lt;=5, "short", IF(Table2[[#This Row],[DistanceFromHome]]&lt;=15, "medium", "long"))</f>
        <v>medium</v>
      </c>
      <c r="H493">
        <v>5</v>
      </c>
      <c r="I493" t="s">
        <v>46</v>
      </c>
      <c r="J493">
        <v>663</v>
      </c>
      <c r="K493">
        <v>4</v>
      </c>
      <c r="L493" t="s">
        <v>41</v>
      </c>
      <c r="M493">
        <v>72</v>
      </c>
      <c r="N493">
        <v>3</v>
      </c>
      <c r="O493">
        <v>2</v>
      </c>
      <c r="P493" t="s">
        <v>45</v>
      </c>
      <c r="Q493">
        <v>3</v>
      </c>
      <c r="R493" t="s">
        <v>47</v>
      </c>
      <c r="S493">
        <v>5679</v>
      </c>
      <c r="T493">
        <v>19627</v>
      </c>
      <c r="U493">
        <v>3</v>
      </c>
      <c r="V493" t="s">
        <v>31</v>
      </c>
      <c r="W493">
        <v>13</v>
      </c>
      <c r="X493">
        <v>3</v>
      </c>
      <c r="Y493">
        <v>2</v>
      </c>
      <c r="Z493">
        <v>1</v>
      </c>
      <c r="AA493">
        <v>10</v>
      </c>
      <c r="AB493" t="str">
        <f>IF(Table2[[#This Row],[TotalWorkingYears]]&lt;=5,"Early (0-5)",IF(Table2[[#This Row],[TotalWorkingYears]]&lt;=15,"Mid (6-15)","Senior (16+)"))</f>
        <v>Mid (6-15)</v>
      </c>
      <c r="AC493">
        <v>3</v>
      </c>
      <c r="AD493">
        <v>3</v>
      </c>
      <c r="AE493" t="s">
        <v>62</v>
      </c>
      <c r="AF493">
        <v>7</v>
      </c>
      <c r="AG493">
        <v>4</v>
      </c>
      <c r="AH493">
        <v>7</v>
      </c>
    </row>
    <row r="494" spans="1:34" x14ac:dyDescent="0.3">
      <c r="A494" t="s">
        <v>58</v>
      </c>
      <c r="B494">
        <v>0</v>
      </c>
      <c r="C494" t="s">
        <v>32</v>
      </c>
      <c r="D494">
        <v>1236</v>
      </c>
      <c r="E494" t="s">
        <v>40</v>
      </c>
      <c r="F494">
        <v>1</v>
      </c>
      <c r="G494" t="str">
        <f>IF(Table2[[#This Row],[DistanceFromHome]]&lt;=5, "short", IF(Table2[[#This Row],[DistanceFromHome]]&lt;=15, "medium", "long"))</f>
        <v>short</v>
      </c>
      <c r="H494">
        <v>4</v>
      </c>
      <c r="I494" t="s">
        <v>34</v>
      </c>
      <c r="J494">
        <v>664</v>
      </c>
      <c r="K494">
        <v>4</v>
      </c>
      <c r="L494" t="s">
        <v>35</v>
      </c>
      <c r="M494">
        <v>40</v>
      </c>
      <c r="N494">
        <v>2</v>
      </c>
      <c r="O494">
        <v>4</v>
      </c>
      <c r="P494" t="s">
        <v>51</v>
      </c>
      <c r="Q494">
        <v>1</v>
      </c>
      <c r="R494" t="s">
        <v>43</v>
      </c>
      <c r="S494">
        <v>15402</v>
      </c>
      <c r="T494">
        <v>17997</v>
      </c>
      <c r="U494">
        <v>7</v>
      </c>
      <c r="V494" t="s">
        <v>38</v>
      </c>
      <c r="W494">
        <v>11</v>
      </c>
      <c r="X494">
        <v>3</v>
      </c>
      <c r="Y494">
        <v>1</v>
      </c>
      <c r="Z494">
        <v>1</v>
      </c>
      <c r="AA494">
        <v>21</v>
      </c>
      <c r="AB494" t="str">
        <f>IF(Table2[[#This Row],[TotalWorkingYears]]&lt;=5,"Early (0-5)",IF(Table2[[#This Row],[TotalWorkingYears]]&lt;=15,"Mid (6-15)","Senior (16+)"))</f>
        <v>Senior (16+)</v>
      </c>
      <c r="AC494">
        <v>3</v>
      </c>
      <c r="AD494">
        <v>1</v>
      </c>
      <c r="AE494" t="s">
        <v>64</v>
      </c>
      <c r="AF494">
        <v>2</v>
      </c>
      <c r="AG494">
        <v>0</v>
      </c>
      <c r="AH494">
        <v>2</v>
      </c>
    </row>
    <row r="495" spans="1:34" x14ac:dyDescent="0.3">
      <c r="A495" t="s">
        <v>57</v>
      </c>
      <c r="B495">
        <v>0</v>
      </c>
      <c r="C495" t="s">
        <v>32</v>
      </c>
      <c r="D495">
        <v>1112</v>
      </c>
      <c r="E495" t="s">
        <v>56</v>
      </c>
      <c r="F495">
        <v>1</v>
      </c>
      <c r="G495" t="str">
        <f>IF(Table2[[#This Row],[DistanceFromHome]]&lt;=5, "short", IF(Table2[[#This Row],[DistanceFromHome]]&lt;=15, "medium", "long"))</f>
        <v>short</v>
      </c>
      <c r="H495">
        <v>4</v>
      </c>
      <c r="I495" t="s">
        <v>34</v>
      </c>
      <c r="J495">
        <v>665</v>
      </c>
      <c r="K495">
        <v>1</v>
      </c>
      <c r="L495" t="s">
        <v>35</v>
      </c>
      <c r="M495">
        <v>50</v>
      </c>
      <c r="N495">
        <v>2</v>
      </c>
      <c r="O495">
        <v>2</v>
      </c>
      <c r="P495" t="s">
        <v>56</v>
      </c>
      <c r="Q495">
        <v>3</v>
      </c>
      <c r="R495" t="s">
        <v>37</v>
      </c>
      <c r="S495">
        <v>5985</v>
      </c>
      <c r="T495">
        <v>26894</v>
      </c>
      <c r="U495">
        <v>4</v>
      </c>
      <c r="V495" t="s">
        <v>38</v>
      </c>
      <c r="W495">
        <v>11</v>
      </c>
      <c r="X495">
        <v>3</v>
      </c>
      <c r="Y495">
        <v>2</v>
      </c>
      <c r="Z495">
        <v>0</v>
      </c>
      <c r="AA495">
        <v>10</v>
      </c>
      <c r="AB495" t="str">
        <f>IF(Table2[[#This Row],[TotalWorkingYears]]&lt;=5,"Early (0-5)",IF(Table2[[#This Row],[TotalWorkingYears]]&lt;=15,"Mid (6-15)","Senior (16+)"))</f>
        <v>Mid (6-15)</v>
      </c>
      <c r="AC495">
        <v>1</v>
      </c>
      <c r="AD495">
        <v>4</v>
      </c>
      <c r="AE495" t="s">
        <v>63</v>
      </c>
      <c r="AF495">
        <v>2</v>
      </c>
      <c r="AG495">
        <v>0</v>
      </c>
      <c r="AH495">
        <v>2</v>
      </c>
    </row>
    <row r="496" spans="1:34" x14ac:dyDescent="0.3">
      <c r="A496" t="s">
        <v>59</v>
      </c>
      <c r="B496">
        <v>0</v>
      </c>
      <c r="C496" t="s">
        <v>32</v>
      </c>
      <c r="D496">
        <v>204</v>
      </c>
      <c r="E496" t="s">
        <v>33</v>
      </c>
      <c r="F496">
        <v>14</v>
      </c>
      <c r="G496" t="str">
        <f>IF(Table2[[#This Row],[DistanceFromHome]]&lt;=5, "short", IF(Table2[[#This Row],[DistanceFromHome]]&lt;=15, "medium", "long"))</f>
        <v>medium</v>
      </c>
      <c r="H496">
        <v>3</v>
      </c>
      <c r="I496" t="s">
        <v>55</v>
      </c>
      <c r="J496">
        <v>666</v>
      </c>
      <c r="K496">
        <v>3</v>
      </c>
      <c r="L496" t="s">
        <v>35</v>
      </c>
      <c r="M496">
        <v>31</v>
      </c>
      <c r="N496">
        <v>3</v>
      </c>
      <c r="O496">
        <v>1</v>
      </c>
      <c r="P496" t="s">
        <v>52</v>
      </c>
      <c r="Q496">
        <v>3</v>
      </c>
      <c r="R496" t="s">
        <v>47</v>
      </c>
      <c r="S496">
        <v>2579</v>
      </c>
      <c r="T496">
        <v>2912</v>
      </c>
      <c r="U496">
        <v>1</v>
      </c>
      <c r="V496" t="s">
        <v>31</v>
      </c>
      <c r="W496">
        <v>18</v>
      </c>
      <c r="X496">
        <v>3</v>
      </c>
      <c r="Y496">
        <v>4</v>
      </c>
      <c r="Z496">
        <v>2</v>
      </c>
      <c r="AA496">
        <v>8</v>
      </c>
      <c r="AB496" t="str">
        <f>IF(Table2[[#This Row],[TotalWorkingYears]]&lt;=5,"Early (0-5)",IF(Table2[[#This Row],[TotalWorkingYears]]&lt;=15,"Mid (6-15)","Senior (16+)"))</f>
        <v>Mid (6-15)</v>
      </c>
      <c r="AC496">
        <v>3</v>
      </c>
      <c r="AD496">
        <v>3</v>
      </c>
      <c r="AE496" t="s">
        <v>62</v>
      </c>
      <c r="AF496">
        <v>2</v>
      </c>
      <c r="AG496">
        <v>0</v>
      </c>
      <c r="AH496">
        <v>6</v>
      </c>
    </row>
    <row r="497" spans="1:34" x14ac:dyDescent="0.3">
      <c r="A497" t="s">
        <v>59</v>
      </c>
      <c r="B497">
        <v>1</v>
      </c>
      <c r="C497" t="s">
        <v>32</v>
      </c>
      <c r="D497">
        <v>1420</v>
      </c>
      <c r="E497" t="s">
        <v>33</v>
      </c>
      <c r="F497">
        <v>2</v>
      </c>
      <c r="G497" t="str">
        <f>IF(Table2[[#This Row],[DistanceFromHome]]&lt;=5, "short", IF(Table2[[#This Row],[DistanceFromHome]]&lt;=15, "medium", "long"))</f>
        <v>short</v>
      </c>
      <c r="H497">
        <v>1</v>
      </c>
      <c r="I497" t="s">
        <v>54</v>
      </c>
      <c r="J497">
        <v>667</v>
      </c>
      <c r="K497">
        <v>3</v>
      </c>
      <c r="L497" t="s">
        <v>41</v>
      </c>
      <c r="M497">
        <v>85</v>
      </c>
      <c r="N497">
        <v>3</v>
      </c>
      <c r="O497">
        <v>1</v>
      </c>
      <c r="P497" t="s">
        <v>52</v>
      </c>
      <c r="Q497">
        <v>1</v>
      </c>
      <c r="R497" t="s">
        <v>47</v>
      </c>
      <c r="S497">
        <v>3041</v>
      </c>
      <c r="T497">
        <v>16346</v>
      </c>
      <c r="U497">
        <v>0</v>
      </c>
      <c r="V497" t="s">
        <v>38</v>
      </c>
      <c r="W497">
        <v>11</v>
      </c>
      <c r="X497">
        <v>3</v>
      </c>
      <c r="Y497">
        <v>2</v>
      </c>
      <c r="Z497">
        <v>1</v>
      </c>
      <c r="AA497">
        <v>5</v>
      </c>
      <c r="AB497" t="str">
        <f>IF(Table2[[#This Row],[TotalWorkingYears]]&lt;=5,"Early (0-5)",IF(Table2[[#This Row],[TotalWorkingYears]]&lt;=15,"Mid (6-15)","Senior (16+)"))</f>
        <v>Early (0-5)</v>
      </c>
      <c r="AC497">
        <v>3</v>
      </c>
      <c r="AD497">
        <v>3</v>
      </c>
      <c r="AE497" t="s">
        <v>64</v>
      </c>
      <c r="AF497">
        <v>3</v>
      </c>
      <c r="AG497">
        <v>0</v>
      </c>
      <c r="AH497">
        <v>2</v>
      </c>
    </row>
    <row r="498" spans="1:34" x14ac:dyDescent="0.3">
      <c r="A498" t="s">
        <v>60</v>
      </c>
      <c r="B498">
        <v>0</v>
      </c>
      <c r="C498" t="s">
        <v>32</v>
      </c>
      <c r="D498">
        <v>1343</v>
      </c>
      <c r="E498" t="s">
        <v>33</v>
      </c>
      <c r="F498">
        <v>22</v>
      </c>
      <c r="G498" t="str">
        <f>IF(Table2[[#This Row],[DistanceFromHome]]&lt;=5, "short", IF(Table2[[#This Row],[DistanceFromHome]]&lt;=15, "medium", "long"))</f>
        <v>long</v>
      </c>
      <c r="H498">
        <v>1</v>
      </c>
      <c r="I498" t="s">
        <v>55</v>
      </c>
      <c r="J498">
        <v>669</v>
      </c>
      <c r="K498">
        <v>3</v>
      </c>
      <c r="L498" t="s">
        <v>41</v>
      </c>
      <c r="M498">
        <v>49</v>
      </c>
      <c r="N498">
        <v>3</v>
      </c>
      <c r="O498">
        <v>1</v>
      </c>
      <c r="P498" t="s">
        <v>52</v>
      </c>
      <c r="Q498">
        <v>3</v>
      </c>
      <c r="R498" t="s">
        <v>37</v>
      </c>
      <c r="S498">
        <v>3447</v>
      </c>
      <c r="T498">
        <v>24444</v>
      </c>
      <c r="U498">
        <v>1</v>
      </c>
      <c r="V498" t="s">
        <v>38</v>
      </c>
      <c r="W498">
        <v>11</v>
      </c>
      <c r="X498">
        <v>3</v>
      </c>
      <c r="Y498">
        <v>3</v>
      </c>
      <c r="Z498">
        <v>0</v>
      </c>
      <c r="AA498">
        <v>3</v>
      </c>
      <c r="AB498" t="str">
        <f>IF(Table2[[#This Row],[TotalWorkingYears]]&lt;=5,"Early (0-5)",IF(Table2[[#This Row],[TotalWorkingYears]]&lt;=15,"Mid (6-15)","Senior (16+)"))</f>
        <v>Early (0-5)</v>
      </c>
      <c r="AC498">
        <v>2</v>
      </c>
      <c r="AD498">
        <v>3</v>
      </c>
      <c r="AE498" t="s">
        <v>64</v>
      </c>
      <c r="AF498">
        <v>2</v>
      </c>
      <c r="AG498">
        <v>1</v>
      </c>
      <c r="AH498">
        <v>2</v>
      </c>
    </row>
    <row r="499" spans="1:34" x14ac:dyDescent="0.3">
      <c r="A499" t="s">
        <v>57</v>
      </c>
      <c r="B499">
        <v>0</v>
      </c>
      <c r="C499" t="s">
        <v>32</v>
      </c>
      <c r="D499">
        <v>1315</v>
      </c>
      <c r="E499" t="s">
        <v>40</v>
      </c>
      <c r="F499">
        <v>3</v>
      </c>
      <c r="G499" t="str">
        <f>IF(Table2[[#This Row],[DistanceFromHome]]&lt;=5, "short", IF(Table2[[#This Row],[DistanceFromHome]]&lt;=15, "medium", "long"))</f>
        <v>short</v>
      </c>
      <c r="H499">
        <v>4</v>
      </c>
      <c r="I499" t="s">
        <v>44</v>
      </c>
      <c r="J499">
        <v>671</v>
      </c>
      <c r="K499">
        <v>4</v>
      </c>
      <c r="L499" t="s">
        <v>41</v>
      </c>
      <c r="M499">
        <v>35</v>
      </c>
      <c r="N499">
        <v>3</v>
      </c>
      <c r="O499">
        <v>5</v>
      </c>
      <c r="P499" t="s">
        <v>51</v>
      </c>
      <c r="Q499">
        <v>4</v>
      </c>
      <c r="R499" t="s">
        <v>43</v>
      </c>
      <c r="S499">
        <v>19513</v>
      </c>
      <c r="T499">
        <v>9358</v>
      </c>
      <c r="U499">
        <v>4</v>
      </c>
      <c r="V499" t="s">
        <v>31</v>
      </c>
      <c r="W499">
        <v>12</v>
      </c>
      <c r="X499">
        <v>3</v>
      </c>
      <c r="Y499">
        <v>1</v>
      </c>
      <c r="Z499">
        <v>1</v>
      </c>
      <c r="AA499">
        <v>26</v>
      </c>
      <c r="AB499" t="str">
        <f>IF(Table2[[#This Row],[TotalWorkingYears]]&lt;=5,"Early (0-5)",IF(Table2[[#This Row],[TotalWorkingYears]]&lt;=15,"Mid (6-15)","Senior (16+)"))</f>
        <v>Senior (16+)</v>
      </c>
      <c r="AC499">
        <v>2</v>
      </c>
      <c r="AD499">
        <v>4</v>
      </c>
      <c r="AE499" t="s">
        <v>63</v>
      </c>
      <c r="AF499">
        <v>2</v>
      </c>
      <c r="AG499">
        <v>0</v>
      </c>
      <c r="AH499">
        <v>1</v>
      </c>
    </row>
    <row r="500" spans="1:34" x14ac:dyDescent="0.3">
      <c r="A500" t="s">
        <v>60</v>
      </c>
      <c r="B500">
        <v>0</v>
      </c>
      <c r="C500" t="s">
        <v>32</v>
      </c>
      <c r="D500">
        <v>604</v>
      </c>
      <c r="E500" t="s">
        <v>40</v>
      </c>
      <c r="F500">
        <v>6</v>
      </c>
      <c r="G500" t="str">
        <f>IF(Table2[[#This Row],[DistanceFromHome]]&lt;=5, "short", IF(Table2[[#This Row],[DistanceFromHome]]&lt;=15, "medium", "long"))</f>
        <v>medium</v>
      </c>
      <c r="H500">
        <v>1</v>
      </c>
      <c r="I500" t="s">
        <v>46</v>
      </c>
      <c r="J500">
        <v>675</v>
      </c>
      <c r="K500">
        <v>1</v>
      </c>
      <c r="L500" t="s">
        <v>41</v>
      </c>
      <c r="M500">
        <v>69</v>
      </c>
      <c r="N500">
        <v>3</v>
      </c>
      <c r="O500">
        <v>1</v>
      </c>
      <c r="P500" t="s">
        <v>42</v>
      </c>
      <c r="Q500">
        <v>3</v>
      </c>
      <c r="R500" t="s">
        <v>43</v>
      </c>
      <c r="S500">
        <v>2773</v>
      </c>
      <c r="T500">
        <v>12145</v>
      </c>
      <c r="U500">
        <v>0</v>
      </c>
      <c r="V500" t="s">
        <v>38</v>
      </c>
      <c r="W500">
        <v>20</v>
      </c>
      <c r="X500">
        <v>4</v>
      </c>
      <c r="Y500">
        <v>4</v>
      </c>
      <c r="Z500">
        <v>0</v>
      </c>
      <c r="AA500">
        <v>3</v>
      </c>
      <c r="AB500" t="str">
        <f>IF(Table2[[#This Row],[TotalWorkingYears]]&lt;=5,"Early (0-5)",IF(Table2[[#This Row],[TotalWorkingYears]]&lt;=15,"Mid (6-15)","Senior (16+)"))</f>
        <v>Early (0-5)</v>
      </c>
      <c r="AC500">
        <v>3</v>
      </c>
      <c r="AD500">
        <v>3</v>
      </c>
      <c r="AE500" t="s">
        <v>63</v>
      </c>
      <c r="AF500">
        <v>2</v>
      </c>
      <c r="AG500">
        <v>2</v>
      </c>
      <c r="AH500">
        <v>2</v>
      </c>
    </row>
    <row r="501" spans="1:34" x14ac:dyDescent="0.3">
      <c r="A501" t="s">
        <v>59</v>
      </c>
      <c r="B501">
        <v>0</v>
      </c>
      <c r="C501" t="s">
        <v>32</v>
      </c>
      <c r="D501">
        <v>1216</v>
      </c>
      <c r="E501" t="s">
        <v>33</v>
      </c>
      <c r="F501">
        <v>8</v>
      </c>
      <c r="G501" t="str">
        <f>IF(Table2[[#This Row],[DistanceFromHome]]&lt;=5, "short", IF(Table2[[#This Row],[DistanceFromHome]]&lt;=15, "medium", "long"))</f>
        <v>medium</v>
      </c>
      <c r="H501">
        <v>4</v>
      </c>
      <c r="I501" t="s">
        <v>54</v>
      </c>
      <c r="J501">
        <v>677</v>
      </c>
      <c r="K501">
        <v>3</v>
      </c>
      <c r="L501" t="s">
        <v>41</v>
      </c>
      <c r="M501">
        <v>39</v>
      </c>
      <c r="N501">
        <v>3</v>
      </c>
      <c r="O501">
        <v>2</v>
      </c>
      <c r="P501" t="s">
        <v>36</v>
      </c>
      <c r="Q501">
        <v>3</v>
      </c>
      <c r="R501" t="s">
        <v>47</v>
      </c>
      <c r="S501">
        <v>7104</v>
      </c>
      <c r="T501">
        <v>20431</v>
      </c>
      <c r="U501">
        <v>0</v>
      </c>
      <c r="V501" t="s">
        <v>38</v>
      </c>
      <c r="W501">
        <v>12</v>
      </c>
      <c r="X501">
        <v>3</v>
      </c>
      <c r="Y501">
        <v>4</v>
      </c>
      <c r="Z501">
        <v>0</v>
      </c>
      <c r="AA501">
        <v>6</v>
      </c>
      <c r="AB501" t="str">
        <f>IF(Table2[[#This Row],[TotalWorkingYears]]&lt;=5,"Early (0-5)",IF(Table2[[#This Row],[TotalWorkingYears]]&lt;=15,"Mid (6-15)","Senior (16+)"))</f>
        <v>Mid (6-15)</v>
      </c>
      <c r="AC501">
        <v>3</v>
      </c>
      <c r="AD501">
        <v>3</v>
      </c>
      <c r="AE501" t="s">
        <v>64</v>
      </c>
      <c r="AF501">
        <v>0</v>
      </c>
      <c r="AG501">
        <v>1</v>
      </c>
      <c r="AH501">
        <v>2</v>
      </c>
    </row>
    <row r="502" spans="1:34" x14ac:dyDescent="0.3">
      <c r="A502" t="s">
        <v>59</v>
      </c>
      <c r="B502">
        <v>0</v>
      </c>
      <c r="C502" t="s">
        <v>32</v>
      </c>
      <c r="D502">
        <v>646</v>
      </c>
      <c r="E502" t="s">
        <v>40</v>
      </c>
      <c r="F502">
        <v>9</v>
      </c>
      <c r="G502" t="str">
        <f>IF(Table2[[#This Row],[DistanceFromHome]]&lt;=5, "short", IF(Table2[[#This Row],[DistanceFromHome]]&lt;=15, "medium", "long"))</f>
        <v>medium</v>
      </c>
      <c r="H502">
        <v>4</v>
      </c>
      <c r="I502" t="s">
        <v>34</v>
      </c>
      <c r="J502">
        <v>679</v>
      </c>
      <c r="K502">
        <v>1</v>
      </c>
      <c r="L502" t="s">
        <v>35</v>
      </c>
      <c r="M502">
        <v>92</v>
      </c>
      <c r="N502">
        <v>3</v>
      </c>
      <c r="O502">
        <v>2</v>
      </c>
      <c r="P502" t="s">
        <v>42</v>
      </c>
      <c r="Q502">
        <v>4</v>
      </c>
      <c r="R502" t="s">
        <v>43</v>
      </c>
      <c r="S502">
        <v>6322</v>
      </c>
      <c r="T502">
        <v>18089</v>
      </c>
      <c r="U502">
        <v>1</v>
      </c>
      <c r="V502" t="s">
        <v>31</v>
      </c>
      <c r="W502">
        <v>12</v>
      </c>
      <c r="X502">
        <v>3</v>
      </c>
      <c r="Y502">
        <v>4</v>
      </c>
      <c r="Z502">
        <v>1</v>
      </c>
      <c r="AA502">
        <v>6</v>
      </c>
      <c r="AB502" t="str">
        <f>IF(Table2[[#This Row],[TotalWorkingYears]]&lt;=5,"Early (0-5)",IF(Table2[[#This Row],[TotalWorkingYears]]&lt;=15,"Mid (6-15)","Senior (16+)"))</f>
        <v>Mid (6-15)</v>
      </c>
      <c r="AC502">
        <v>2</v>
      </c>
      <c r="AD502">
        <v>2</v>
      </c>
      <c r="AE502" t="s">
        <v>62</v>
      </c>
      <c r="AF502">
        <v>4</v>
      </c>
      <c r="AG502">
        <v>0</v>
      </c>
      <c r="AH502">
        <v>5</v>
      </c>
    </row>
    <row r="503" spans="1:34" x14ac:dyDescent="0.3">
      <c r="A503" t="s">
        <v>59</v>
      </c>
      <c r="B503">
        <v>0</v>
      </c>
      <c r="C503" t="s">
        <v>39</v>
      </c>
      <c r="D503">
        <v>160</v>
      </c>
      <c r="E503" t="s">
        <v>40</v>
      </c>
      <c r="F503">
        <v>3</v>
      </c>
      <c r="G503" t="str">
        <f>IF(Table2[[#This Row],[DistanceFromHome]]&lt;=5, "short", IF(Table2[[#This Row],[DistanceFromHome]]&lt;=15, "medium", "long"))</f>
        <v>short</v>
      </c>
      <c r="H503">
        <v>3</v>
      </c>
      <c r="I503" t="s">
        <v>46</v>
      </c>
      <c r="J503">
        <v>680</v>
      </c>
      <c r="K503">
        <v>3</v>
      </c>
      <c r="L503" t="s">
        <v>35</v>
      </c>
      <c r="M503">
        <v>71</v>
      </c>
      <c r="N503">
        <v>3</v>
      </c>
      <c r="O503">
        <v>1</v>
      </c>
      <c r="P503" t="s">
        <v>42</v>
      </c>
      <c r="Q503">
        <v>3</v>
      </c>
      <c r="R503" t="s">
        <v>47</v>
      </c>
      <c r="S503">
        <v>2083</v>
      </c>
      <c r="T503">
        <v>22653</v>
      </c>
      <c r="U503">
        <v>1</v>
      </c>
      <c r="V503" t="s">
        <v>38</v>
      </c>
      <c r="W503">
        <v>20</v>
      </c>
      <c r="X503">
        <v>4</v>
      </c>
      <c r="Y503">
        <v>3</v>
      </c>
      <c r="Z503">
        <v>1</v>
      </c>
      <c r="AA503">
        <v>1</v>
      </c>
      <c r="AB503" t="str">
        <f>IF(Table2[[#This Row],[TotalWorkingYears]]&lt;=5,"Early (0-5)",IF(Table2[[#This Row],[TotalWorkingYears]]&lt;=15,"Mid (6-15)","Senior (16+)"))</f>
        <v>Early (0-5)</v>
      </c>
      <c r="AC503">
        <v>2</v>
      </c>
      <c r="AD503">
        <v>3</v>
      </c>
      <c r="AE503" t="s">
        <v>63</v>
      </c>
      <c r="AF503">
        <v>0</v>
      </c>
      <c r="AG503">
        <v>0</v>
      </c>
      <c r="AH503">
        <v>0</v>
      </c>
    </row>
    <row r="504" spans="1:34" x14ac:dyDescent="0.3">
      <c r="A504" t="s">
        <v>58</v>
      </c>
      <c r="B504">
        <v>0</v>
      </c>
      <c r="C504" t="s">
        <v>32</v>
      </c>
      <c r="D504">
        <v>238</v>
      </c>
      <c r="E504" t="s">
        <v>33</v>
      </c>
      <c r="F504">
        <v>1</v>
      </c>
      <c r="G504" t="str">
        <f>IF(Table2[[#This Row],[DistanceFromHome]]&lt;=5, "short", IF(Table2[[#This Row],[DistanceFromHome]]&lt;=15, "medium", "long"))</f>
        <v>short</v>
      </c>
      <c r="H504">
        <v>1</v>
      </c>
      <c r="I504" t="s">
        <v>46</v>
      </c>
      <c r="J504">
        <v>682</v>
      </c>
      <c r="K504">
        <v>4</v>
      </c>
      <c r="L504" t="s">
        <v>35</v>
      </c>
      <c r="M504">
        <v>34</v>
      </c>
      <c r="N504">
        <v>3</v>
      </c>
      <c r="O504">
        <v>2</v>
      </c>
      <c r="P504" t="s">
        <v>36</v>
      </c>
      <c r="Q504">
        <v>1</v>
      </c>
      <c r="R504" t="s">
        <v>37</v>
      </c>
      <c r="S504">
        <v>8381</v>
      </c>
      <c r="T504">
        <v>7507</v>
      </c>
      <c r="U504">
        <v>7</v>
      </c>
      <c r="V504" t="s">
        <v>38</v>
      </c>
      <c r="W504">
        <v>20</v>
      </c>
      <c r="X504">
        <v>4</v>
      </c>
      <c r="Y504">
        <v>4</v>
      </c>
      <c r="Z504">
        <v>0</v>
      </c>
      <c r="AA504">
        <v>18</v>
      </c>
      <c r="AB504" t="str">
        <f>IF(Table2[[#This Row],[TotalWorkingYears]]&lt;=5,"Early (0-5)",IF(Table2[[#This Row],[TotalWorkingYears]]&lt;=15,"Mid (6-15)","Senior (16+)"))</f>
        <v>Senior (16+)</v>
      </c>
      <c r="AC504">
        <v>2</v>
      </c>
      <c r="AD504">
        <v>4</v>
      </c>
      <c r="AE504" t="s">
        <v>65</v>
      </c>
      <c r="AF504">
        <v>7</v>
      </c>
      <c r="AG504">
        <v>8</v>
      </c>
      <c r="AH504">
        <v>10</v>
      </c>
    </row>
    <row r="505" spans="1:34" x14ac:dyDescent="0.3">
      <c r="A505" t="s">
        <v>59</v>
      </c>
      <c r="B505">
        <v>0</v>
      </c>
      <c r="C505" t="s">
        <v>32</v>
      </c>
      <c r="D505">
        <v>1397</v>
      </c>
      <c r="E505" t="s">
        <v>40</v>
      </c>
      <c r="F505">
        <v>1</v>
      </c>
      <c r="G505" t="str">
        <f>IF(Table2[[#This Row],[DistanceFromHome]]&lt;=5, "short", IF(Table2[[#This Row],[DistanceFromHome]]&lt;=15, "medium", "long"))</f>
        <v>short</v>
      </c>
      <c r="H505">
        <v>5</v>
      </c>
      <c r="I505" t="s">
        <v>34</v>
      </c>
      <c r="J505">
        <v>683</v>
      </c>
      <c r="K505">
        <v>2</v>
      </c>
      <c r="L505" t="s">
        <v>41</v>
      </c>
      <c r="M505">
        <v>42</v>
      </c>
      <c r="N505">
        <v>3</v>
      </c>
      <c r="O505">
        <v>1</v>
      </c>
      <c r="P505" t="s">
        <v>42</v>
      </c>
      <c r="Q505">
        <v>4</v>
      </c>
      <c r="R505" t="s">
        <v>43</v>
      </c>
      <c r="S505">
        <v>2691</v>
      </c>
      <c r="T505">
        <v>7660</v>
      </c>
      <c r="U505">
        <v>1</v>
      </c>
      <c r="V505" t="s">
        <v>38</v>
      </c>
      <c r="W505">
        <v>12</v>
      </c>
      <c r="X505">
        <v>3</v>
      </c>
      <c r="Y505">
        <v>4</v>
      </c>
      <c r="Z505">
        <v>1</v>
      </c>
      <c r="AA505">
        <v>10</v>
      </c>
      <c r="AB505" t="str">
        <f>IF(Table2[[#This Row],[TotalWorkingYears]]&lt;=5,"Early (0-5)",IF(Table2[[#This Row],[TotalWorkingYears]]&lt;=15,"Mid (6-15)","Senior (16+)"))</f>
        <v>Mid (6-15)</v>
      </c>
      <c r="AC505">
        <v>4</v>
      </c>
      <c r="AD505">
        <v>2</v>
      </c>
      <c r="AE505" t="s">
        <v>62</v>
      </c>
      <c r="AF505">
        <v>9</v>
      </c>
      <c r="AG505">
        <v>8</v>
      </c>
      <c r="AH505">
        <v>8</v>
      </c>
    </row>
    <row r="506" spans="1:34" x14ac:dyDescent="0.3">
      <c r="A506" t="s">
        <v>57</v>
      </c>
      <c r="B506">
        <v>1</v>
      </c>
      <c r="C506" t="s">
        <v>39</v>
      </c>
      <c r="D506">
        <v>306</v>
      </c>
      <c r="E506" t="s">
        <v>33</v>
      </c>
      <c r="F506">
        <v>26</v>
      </c>
      <c r="G506" t="str">
        <f>IF(Table2[[#This Row],[DistanceFromHome]]&lt;=5, "short", IF(Table2[[#This Row],[DistanceFromHome]]&lt;=15, "medium", "long"))</f>
        <v>long</v>
      </c>
      <c r="H506">
        <v>4</v>
      </c>
      <c r="I506" t="s">
        <v>34</v>
      </c>
      <c r="J506">
        <v>684</v>
      </c>
      <c r="K506">
        <v>1</v>
      </c>
      <c r="L506" t="s">
        <v>35</v>
      </c>
      <c r="M506">
        <v>100</v>
      </c>
      <c r="N506">
        <v>3</v>
      </c>
      <c r="O506">
        <v>2</v>
      </c>
      <c r="P506" t="s">
        <v>36</v>
      </c>
      <c r="Q506">
        <v>1</v>
      </c>
      <c r="R506" t="s">
        <v>43</v>
      </c>
      <c r="S506">
        <v>4286</v>
      </c>
      <c r="T506">
        <v>5630</v>
      </c>
      <c r="U506">
        <v>2</v>
      </c>
      <c r="V506" t="s">
        <v>38</v>
      </c>
      <c r="W506">
        <v>14</v>
      </c>
      <c r="X506">
        <v>3</v>
      </c>
      <c r="Y506">
        <v>4</v>
      </c>
      <c r="Z506">
        <v>2</v>
      </c>
      <c r="AA506">
        <v>5</v>
      </c>
      <c r="AB506" t="str">
        <f>IF(Table2[[#This Row],[TotalWorkingYears]]&lt;=5,"Early (0-5)",IF(Table2[[#This Row],[TotalWorkingYears]]&lt;=15,"Mid (6-15)","Senior (16+)"))</f>
        <v>Early (0-5)</v>
      </c>
      <c r="AC506">
        <v>4</v>
      </c>
      <c r="AD506">
        <v>3</v>
      </c>
      <c r="AE506" t="s">
        <v>63</v>
      </c>
      <c r="AF506">
        <v>1</v>
      </c>
      <c r="AG506">
        <v>0</v>
      </c>
      <c r="AH506">
        <v>0</v>
      </c>
    </row>
    <row r="507" spans="1:34" x14ac:dyDescent="0.3">
      <c r="A507" t="s">
        <v>59</v>
      </c>
      <c r="B507">
        <v>0</v>
      </c>
      <c r="C507" t="s">
        <v>32</v>
      </c>
      <c r="D507">
        <v>991</v>
      </c>
      <c r="E507" t="s">
        <v>40</v>
      </c>
      <c r="F507">
        <v>6</v>
      </c>
      <c r="G507" t="str">
        <f>IF(Table2[[#This Row],[DistanceFromHome]]&lt;=5, "short", IF(Table2[[#This Row],[DistanceFromHome]]&lt;=15, "medium", "long"))</f>
        <v>medium</v>
      </c>
      <c r="H507">
        <v>3</v>
      </c>
      <c r="I507" t="s">
        <v>34</v>
      </c>
      <c r="J507">
        <v>686</v>
      </c>
      <c r="K507">
        <v>3</v>
      </c>
      <c r="L507" t="s">
        <v>35</v>
      </c>
      <c r="M507">
        <v>71</v>
      </c>
      <c r="N507">
        <v>3</v>
      </c>
      <c r="O507">
        <v>1</v>
      </c>
      <c r="P507" t="s">
        <v>45</v>
      </c>
      <c r="Q507">
        <v>4</v>
      </c>
      <c r="R507" t="s">
        <v>43</v>
      </c>
      <c r="S507">
        <v>2659</v>
      </c>
      <c r="T507">
        <v>17759</v>
      </c>
      <c r="U507">
        <v>1</v>
      </c>
      <c r="V507" t="s">
        <v>31</v>
      </c>
      <c r="W507">
        <v>13</v>
      </c>
      <c r="X507">
        <v>3</v>
      </c>
      <c r="Y507">
        <v>3</v>
      </c>
      <c r="Z507">
        <v>1</v>
      </c>
      <c r="AA507">
        <v>3</v>
      </c>
      <c r="AB507" t="str">
        <f>IF(Table2[[#This Row],[TotalWorkingYears]]&lt;=5,"Early (0-5)",IF(Table2[[#This Row],[TotalWorkingYears]]&lt;=15,"Mid (6-15)","Senior (16+)"))</f>
        <v>Early (0-5)</v>
      </c>
      <c r="AC507">
        <v>2</v>
      </c>
      <c r="AD507">
        <v>3</v>
      </c>
      <c r="AE507" t="s">
        <v>64</v>
      </c>
      <c r="AF507">
        <v>2</v>
      </c>
      <c r="AG507">
        <v>0</v>
      </c>
      <c r="AH507">
        <v>2</v>
      </c>
    </row>
    <row r="508" spans="1:34" x14ac:dyDescent="0.3">
      <c r="A508" t="s">
        <v>57</v>
      </c>
      <c r="B508">
        <v>0</v>
      </c>
      <c r="C508" t="s">
        <v>32</v>
      </c>
      <c r="D508">
        <v>482</v>
      </c>
      <c r="E508" t="s">
        <v>40</v>
      </c>
      <c r="F508">
        <v>3</v>
      </c>
      <c r="G508" t="str">
        <f>IF(Table2[[#This Row],[DistanceFromHome]]&lt;=5, "short", IF(Table2[[#This Row],[DistanceFromHome]]&lt;=15, "medium", "long"))</f>
        <v>short</v>
      </c>
      <c r="H508">
        <v>3</v>
      </c>
      <c r="I508" t="s">
        <v>44</v>
      </c>
      <c r="J508">
        <v>689</v>
      </c>
      <c r="K508">
        <v>3</v>
      </c>
      <c r="L508" t="s">
        <v>41</v>
      </c>
      <c r="M508">
        <v>36</v>
      </c>
      <c r="N508">
        <v>3</v>
      </c>
      <c r="O508">
        <v>3</v>
      </c>
      <c r="P508" t="s">
        <v>48</v>
      </c>
      <c r="Q508">
        <v>3</v>
      </c>
      <c r="R508" t="s">
        <v>43</v>
      </c>
      <c r="S508">
        <v>9434</v>
      </c>
      <c r="T508">
        <v>9606</v>
      </c>
      <c r="U508">
        <v>1</v>
      </c>
      <c r="V508" t="s">
        <v>38</v>
      </c>
      <c r="W508">
        <v>15</v>
      </c>
      <c r="X508">
        <v>3</v>
      </c>
      <c r="Y508">
        <v>3</v>
      </c>
      <c r="Z508">
        <v>1</v>
      </c>
      <c r="AA508">
        <v>10</v>
      </c>
      <c r="AB508" t="str">
        <f>IF(Table2[[#This Row],[TotalWorkingYears]]&lt;=5,"Early (0-5)",IF(Table2[[#This Row],[TotalWorkingYears]]&lt;=15,"Mid (6-15)","Senior (16+)"))</f>
        <v>Mid (6-15)</v>
      </c>
      <c r="AC508">
        <v>2</v>
      </c>
      <c r="AD508">
        <v>3</v>
      </c>
      <c r="AE508" t="s">
        <v>62</v>
      </c>
      <c r="AF508">
        <v>7</v>
      </c>
      <c r="AG508">
        <v>7</v>
      </c>
      <c r="AH508">
        <v>8</v>
      </c>
    </row>
    <row r="509" spans="1:34" x14ac:dyDescent="0.3">
      <c r="A509" t="s">
        <v>59</v>
      </c>
      <c r="B509">
        <v>0</v>
      </c>
      <c r="C509" t="s">
        <v>32</v>
      </c>
      <c r="D509">
        <v>1176</v>
      </c>
      <c r="E509" t="s">
        <v>33</v>
      </c>
      <c r="F509">
        <v>3</v>
      </c>
      <c r="G509" t="str">
        <f>IF(Table2[[#This Row],[DistanceFromHome]]&lt;=5, "short", IF(Table2[[#This Row],[DistanceFromHome]]&lt;=15, "medium", "long"))</f>
        <v>short</v>
      </c>
      <c r="H509">
        <v>2</v>
      </c>
      <c r="I509" t="s">
        <v>46</v>
      </c>
      <c r="J509">
        <v>690</v>
      </c>
      <c r="K509">
        <v>2</v>
      </c>
      <c r="L509" t="s">
        <v>35</v>
      </c>
      <c r="M509">
        <v>62</v>
      </c>
      <c r="N509">
        <v>3</v>
      </c>
      <c r="O509">
        <v>2</v>
      </c>
      <c r="P509" t="s">
        <v>36</v>
      </c>
      <c r="Q509">
        <v>3</v>
      </c>
      <c r="R509" t="s">
        <v>43</v>
      </c>
      <c r="S509">
        <v>5561</v>
      </c>
      <c r="T509">
        <v>3487</v>
      </c>
      <c r="U509">
        <v>1</v>
      </c>
      <c r="V509" t="s">
        <v>38</v>
      </c>
      <c r="W509">
        <v>14</v>
      </c>
      <c r="X509">
        <v>3</v>
      </c>
      <c r="Y509">
        <v>1</v>
      </c>
      <c r="Z509">
        <v>1</v>
      </c>
      <c r="AA509">
        <v>6</v>
      </c>
      <c r="AB509" t="str">
        <f>IF(Table2[[#This Row],[TotalWorkingYears]]&lt;=5,"Early (0-5)",IF(Table2[[#This Row],[TotalWorkingYears]]&lt;=15,"Mid (6-15)","Senior (16+)"))</f>
        <v>Mid (6-15)</v>
      </c>
      <c r="AC509">
        <v>5</v>
      </c>
      <c r="AD509">
        <v>2</v>
      </c>
      <c r="AE509" t="s">
        <v>62</v>
      </c>
      <c r="AF509">
        <v>0</v>
      </c>
      <c r="AG509">
        <v>1</v>
      </c>
      <c r="AH509">
        <v>2</v>
      </c>
    </row>
    <row r="510" spans="1:34" x14ac:dyDescent="0.3">
      <c r="A510" t="s">
        <v>59</v>
      </c>
      <c r="B510">
        <v>0</v>
      </c>
      <c r="C510" t="s">
        <v>32</v>
      </c>
      <c r="D510">
        <v>1017</v>
      </c>
      <c r="E510" t="s">
        <v>40</v>
      </c>
      <c r="F510">
        <v>6</v>
      </c>
      <c r="G510" t="str">
        <f>IF(Table2[[#This Row],[DistanceFromHome]]&lt;=5, "short", IF(Table2[[#This Row],[DistanceFromHome]]&lt;=15, "medium", "long"))</f>
        <v>medium</v>
      </c>
      <c r="H510">
        <v>4</v>
      </c>
      <c r="I510" t="s">
        <v>34</v>
      </c>
      <c r="J510">
        <v>691</v>
      </c>
      <c r="K510">
        <v>2</v>
      </c>
      <c r="L510" t="s">
        <v>41</v>
      </c>
      <c r="M510">
        <v>82</v>
      </c>
      <c r="N510">
        <v>1</v>
      </c>
      <c r="O510">
        <v>2</v>
      </c>
      <c r="P510" t="s">
        <v>42</v>
      </c>
      <c r="Q510">
        <v>4</v>
      </c>
      <c r="R510" t="s">
        <v>37</v>
      </c>
      <c r="S510">
        <v>6646</v>
      </c>
      <c r="T510">
        <v>19368</v>
      </c>
      <c r="U510">
        <v>1</v>
      </c>
      <c r="V510" t="s">
        <v>38</v>
      </c>
      <c r="W510">
        <v>13</v>
      </c>
      <c r="X510">
        <v>3</v>
      </c>
      <c r="Y510">
        <v>2</v>
      </c>
      <c r="Z510">
        <v>0</v>
      </c>
      <c r="AA510">
        <v>17</v>
      </c>
      <c r="AB510" t="str">
        <f>IF(Table2[[#This Row],[TotalWorkingYears]]&lt;=5,"Early (0-5)",IF(Table2[[#This Row],[TotalWorkingYears]]&lt;=15,"Mid (6-15)","Senior (16+)"))</f>
        <v>Senior (16+)</v>
      </c>
      <c r="AC510">
        <v>3</v>
      </c>
      <c r="AD510">
        <v>3</v>
      </c>
      <c r="AE510" t="s">
        <v>65</v>
      </c>
      <c r="AF510">
        <v>11</v>
      </c>
      <c r="AG510">
        <v>11</v>
      </c>
      <c r="AH510">
        <v>8</v>
      </c>
    </row>
    <row r="511" spans="1:34" x14ac:dyDescent="0.3">
      <c r="A511" t="s">
        <v>59</v>
      </c>
      <c r="B511">
        <v>0</v>
      </c>
      <c r="C511" t="s">
        <v>39</v>
      </c>
      <c r="D511">
        <v>1296</v>
      </c>
      <c r="E511" t="s">
        <v>40</v>
      </c>
      <c r="F511">
        <v>6</v>
      </c>
      <c r="G511" t="str">
        <f>IF(Table2[[#This Row],[DistanceFromHome]]&lt;=5, "short", IF(Table2[[#This Row],[DistanceFromHome]]&lt;=15, "medium", "long"))</f>
        <v>medium</v>
      </c>
      <c r="H511">
        <v>3</v>
      </c>
      <c r="I511" t="s">
        <v>34</v>
      </c>
      <c r="J511">
        <v>692</v>
      </c>
      <c r="K511">
        <v>3</v>
      </c>
      <c r="L511" t="s">
        <v>41</v>
      </c>
      <c r="M511">
        <v>30</v>
      </c>
      <c r="N511">
        <v>3</v>
      </c>
      <c r="O511">
        <v>2</v>
      </c>
      <c r="P511" t="s">
        <v>49</v>
      </c>
      <c r="Q511">
        <v>4</v>
      </c>
      <c r="R511" t="s">
        <v>47</v>
      </c>
      <c r="S511">
        <v>7725</v>
      </c>
      <c r="T511">
        <v>5335</v>
      </c>
      <c r="U511">
        <v>3</v>
      </c>
      <c r="V511" t="s">
        <v>38</v>
      </c>
      <c r="W511">
        <v>23</v>
      </c>
      <c r="X511">
        <v>4</v>
      </c>
      <c r="Y511">
        <v>3</v>
      </c>
      <c r="Z511">
        <v>1</v>
      </c>
      <c r="AA511">
        <v>15</v>
      </c>
      <c r="AB511" t="str">
        <f>IF(Table2[[#This Row],[TotalWorkingYears]]&lt;=5,"Early (0-5)",IF(Table2[[#This Row],[TotalWorkingYears]]&lt;=15,"Mid (6-15)","Senior (16+)"))</f>
        <v>Mid (6-15)</v>
      </c>
      <c r="AC511">
        <v>2</v>
      </c>
      <c r="AD511">
        <v>1</v>
      </c>
      <c r="AE511" t="s">
        <v>65</v>
      </c>
      <c r="AF511">
        <v>11</v>
      </c>
      <c r="AG511">
        <v>4</v>
      </c>
      <c r="AH511">
        <v>7</v>
      </c>
    </row>
    <row r="512" spans="1:34" x14ac:dyDescent="0.3">
      <c r="A512" t="s">
        <v>58</v>
      </c>
      <c r="B512">
        <v>0</v>
      </c>
      <c r="C512" t="s">
        <v>32</v>
      </c>
      <c r="D512">
        <v>397</v>
      </c>
      <c r="E512" t="s">
        <v>56</v>
      </c>
      <c r="F512">
        <v>19</v>
      </c>
      <c r="G512" t="str">
        <f>IF(Table2[[#This Row],[DistanceFromHome]]&lt;=5, "short", IF(Table2[[#This Row],[DistanceFromHome]]&lt;=15, "medium", "long"))</f>
        <v>long</v>
      </c>
      <c r="H512">
        <v>4</v>
      </c>
      <c r="I512" t="s">
        <v>46</v>
      </c>
      <c r="J512">
        <v>698</v>
      </c>
      <c r="K512">
        <v>3</v>
      </c>
      <c r="L512" t="s">
        <v>41</v>
      </c>
      <c r="M512">
        <v>88</v>
      </c>
      <c r="N512">
        <v>3</v>
      </c>
      <c r="O512">
        <v>3</v>
      </c>
      <c r="P512" t="s">
        <v>56</v>
      </c>
      <c r="Q512">
        <v>2</v>
      </c>
      <c r="R512" t="s">
        <v>43</v>
      </c>
      <c r="S512">
        <v>10725</v>
      </c>
      <c r="T512">
        <v>6729</v>
      </c>
      <c r="U512">
        <v>2</v>
      </c>
      <c r="V512" t="s">
        <v>38</v>
      </c>
      <c r="W512">
        <v>15</v>
      </c>
      <c r="X512">
        <v>3</v>
      </c>
      <c r="Y512">
        <v>3</v>
      </c>
      <c r="Z512">
        <v>1</v>
      </c>
      <c r="AA512">
        <v>16</v>
      </c>
      <c r="AB512" t="str">
        <f>IF(Table2[[#This Row],[TotalWorkingYears]]&lt;=5,"Early (0-5)",IF(Table2[[#This Row],[TotalWorkingYears]]&lt;=15,"Mid (6-15)","Senior (16+)"))</f>
        <v>Senior (16+)</v>
      </c>
      <c r="AC512">
        <v>1</v>
      </c>
      <c r="AD512">
        <v>4</v>
      </c>
      <c r="AE512" t="s">
        <v>62</v>
      </c>
      <c r="AF512">
        <v>7</v>
      </c>
      <c r="AG512">
        <v>7</v>
      </c>
      <c r="AH512">
        <v>1</v>
      </c>
    </row>
    <row r="513" spans="1:34" x14ac:dyDescent="0.3">
      <c r="A513" t="s">
        <v>57</v>
      </c>
      <c r="B513">
        <v>0</v>
      </c>
      <c r="C513" t="s">
        <v>32</v>
      </c>
      <c r="D513">
        <v>913</v>
      </c>
      <c r="E513" t="s">
        <v>40</v>
      </c>
      <c r="F513">
        <v>9</v>
      </c>
      <c r="G513" t="str">
        <f>IF(Table2[[#This Row],[DistanceFromHome]]&lt;=5, "short", IF(Table2[[#This Row],[DistanceFromHome]]&lt;=15, "medium", "long"))</f>
        <v>medium</v>
      </c>
      <c r="H513">
        <v>2</v>
      </c>
      <c r="I513" t="s">
        <v>46</v>
      </c>
      <c r="J513">
        <v>699</v>
      </c>
      <c r="K513">
        <v>2</v>
      </c>
      <c r="L513" t="s">
        <v>41</v>
      </c>
      <c r="M513">
        <v>48</v>
      </c>
      <c r="N513">
        <v>2</v>
      </c>
      <c r="O513">
        <v>2</v>
      </c>
      <c r="P513" t="s">
        <v>48</v>
      </c>
      <c r="Q513">
        <v>2</v>
      </c>
      <c r="R513" t="s">
        <v>47</v>
      </c>
      <c r="S513">
        <v>8847</v>
      </c>
      <c r="T513">
        <v>13934</v>
      </c>
      <c r="U513">
        <v>2</v>
      </c>
      <c r="V513" t="s">
        <v>31</v>
      </c>
      <c r="W513">
        <v>11</v>
      </c>
      <c r="X513">
        <v>3</v>
      </c>
      <c r="Y513">
        <v>3</v>
      </c>
      <c r="Z513">
        <v>1</v>
      </c>
      <c r="AA513">
        <v>13</v>
      </c>
      <c r="AB513" t="str">
        <f>IF(Table2[[#This Row],[TotalWorkingYears]]&lt;=5,"Early (0-5)",IF(Table2[[#This Row],[TotalWorkingYears]]&lt;=15,"Mid (6-15)","Senior (16+)"))</f>
        <v>Mid (6-15)</v>
      </c>
      <c r="AC513">
        <v>2</v>
      </c>
      <c r="AD513">
        <v>3</v>
      </c>
      <c r="AE513" t="s">
        <v>64</v>
      </c>
      <c r="AF513">
        <v>2</v>
      </c>
      <c r="AG513">
        <v>0</v>
      </c>
      <c r="AH513">
        <v>2</v>
      </c>
    </row>
    <row r="514" spans="1:34" x14ac:dyDescent="0.3">
      <c r="A514" t="s">
        <v>59</v>
      </c>
      <c r="B514">
        <v>0</v>
      </c>
      <c r="C514" t="s">
        <v>32</v>
      </c>
      <c r="D514">
        <v>1115</v>
      </c>
      <c r="E514" t="s">
        <v>40</v>
      </c>
      <c r="F514">
        <v>3</v>
      </c>
      <c r="G514" t="str">
        <f>IF(Table2[[#This Row],[DistanceFromHome]]&lt;=5, "short", IF(Table2[[#This Row],[DistanceFromHome]]&lt;=15, "medium", "long"))</f>
        <v>short</v>
      </c>
      <c r="H514">
        <v>4</v>
      </c>
      <c r="I514" t="s">
        <v>46</v>
      </c>
      <c r="J514">
        <v>700</v>
      </c>
      <c r="K514">
        <v>1</v>
      </c>
      <c r="L514" t="s">
        <v>41</v>
      </c>
      <c r="M514">
        <v>54</v>
      </c>
      <c r="N514">
        <v>2</v>
      </c>
      <c r="O514">
        <v>1</v>
      </c>
      <c r="P514" t="s">
        <v>42</v>
      </c>
      <c r="Q514">
        <v>4</v>
      </c>
      <c r="R514" t="s">
        <v>37</v>
      </c>
      <c r="S514">
        <v>2045</v>
      </c>
      <c r="T514">
        <v>15174</v>
      </c>
      <c r="U514">
        <v>0</v>
      </c>
      <c r="V514" t="s">
        <v>38</v>
      </c>
      <c r="W514">
        <v>13</v>
      </c>
      <c r="X514">
        <v>3</v>
      </c>
      <c r="Y514">
        <v>4</v>
      </c>
      <c r="Z514">
        <v>0</v>
      </c>
      <c r="AA514">
        <v>5</v>
      </c>
      <c r="AB514" t="str">
        <f>IF(Table2[[#This Row],[TotalWorkingYears]]&lt;=5,"Early (0-5)",IF(Table2[[#This Row],[TotalWorkingYears]]&lt;=15,"Mid (6-15)","Senior (16+)"))</f>
        <v>Early (0-5)</v>
      </c>
      <c r="AC514">
        <v>0</v>
      </c>
      <c r="AD514">
        <v>3</v>
      </c>
      <c r="AE514" t="s">
        <v>64</v>
      </c>
      <c r="AF514">
        <v>2</v>
      </c>
      <c r="AG514">
        <v>1</v>
      </c>
      <c r="AH514">
        <v>1</v>
      </c>
    </row>
    <row r="515" spans="1:34" x14ac:dyDescent="0.3">
      <c r="A515" t="s">
        <v>60</v>
      </c>
      <c r="B515">
        <v>1</v>
      </c>
      <c r="C515" t="s">
        <v>32</v>
      </c>
      <c r="D515">
        <v>1362</v>
      </c>
      <c r="E515" t="s">
        <v>40</v>
      </c>
      <c r="F515">
        <v>10</v>
      </c>
      <c r="G515" t="str">
        <f>IF(Table2[[#This Row],[DistanceFromHome]]&lt;=5, "short", IF(Table2[[#This Row],[DistanceFromHome]]&lt;=15, "medium", "long"))</f>
        <v>medium</v>
      </c>
      <c r="H515">
        <v>1</v>
      </c>
      <c r="I515" t="s">
        <v>46</v>
      </c>
      <c r="J515">
        <v>701</v>
      </c>
      <c r="K515">
        <v>4</v>
      </c>
      <c r="L515" t="s">
        <v>41</v>
      </c>
      <c r="M515">
        <v>32</v>
      </c>
      <c r="N515">
        <v>3</v>
      </c>
      <c r="O515">
        <v>1</v>
      </c>
      <c r="P515" t="s">
        <v>42</v>
      </c>
      <c r="Q515">
        <v>3</v>
      </c>
      <c r="R515" t="s">
        <v>37</v>
      </c>
      <c r="S515">
        <v>1009</v>
      </c>
      <c r="T515">
        <v>26999</v>
      </c>
      <c r="U515">
        <v>1</v>
      </c>
      <c r="V515" t="s">
        <v>31</v>
      </c>
      <c r="W515">
        <v>11</v>
      </c>
      <c r="X515">
        <v>3</v>
      </c>
      <c r="Y515">
        <v>4</v>
      </c>
      <c r="Z515">
        <v>0</v>
      </c>
      <c r="AA515">
        <v>1</v>
      </c>
      <c r="AB515" t="str">
        <f>IF(Table2[[#This Row],[TotalWorkingYears]]&lt;=5,"Early (0-5)",IF(Table2[[#This Row],[TotalWorkingYears]]&lt;=15,"Mid (6-15)","Senior (16+)"))</f>
        <v>Early (0-5)</v>
      </c>
      <c r="AC515">
        <v>5</v>
      </c>
      <c r="AD515">
        <v>3</v>
      </c>
      <c r="AE515" t="s">
        <v>63</v>
      </c>
      <c r="AF515">
        <v>0</v>
      </c>
      <c r="AG515">
        <v>1</v>
      </c>
      <c r="AH515">
        <v>1</v>
      </c>
    </row>
    <row r="516" spans="1:34" x14ac:dyDescent="0.3">
      <c r="A516" t="s">
        <v>59</v>
      </c>
      <c r="B516">
        <v>1</v>
      </c>
      <c r="C516" t="s">
        <v>39</v>
      </c>
      <c r="D516">
        <v>1076</v>
      </c>
      <c r="E516" t="s">
        <v>40</v>
      </c>
      <c r="F516">
        <v>3</v>
      </c>
      <c r="G516" t="str">
        <f>IF(Table2[[#This Row],[DistanceFromHome]]&lt;=5, "short", IF(Table2[[#This Row],[DistanceFromHome]]&lt;=15, "medium", "long"))</f>
        <v>short</v>
      </c>
      <c r="H516">
        <v>3</v>
      </c>
      <c r="I516" t="s">
        <v>34</v>
      </c>
      <c r="J516">
        <v>702</v>
      </c>
      <c r="K516">
        <v>1</v>
      </c>
      <c r="L516" t="s">
        <v>41</v>
      </c>
      <c r="M516">
        <v>70</v>
      </c>
      <c r="N516">
        <v>3</v>
      </c>
      <c r="O516">
        <v>1</v>
      </c>
      <c r="P516" t="s">
        <v>42</v>
      </c>
      <c r="Q516">
        <v>1</v>
      </c>
      <c r="R516" t="s">
        <v>37</v>
      </c>
      <c r="S516">
        <v>3348</v>
      </c>
      <c r="T516">
        <v>3164</v>
      </c>
      <c r="U516">
        <v>1</v>
      </c>
      <c r="V516" t="s">
        <v>31</v>
      </c>
      <c r="W516">
        <v>11</v>
      </c>
      <c r="X516">
        <v>3</v>
      </c>
      <c r="Y516">
        <v>1</v>
      </c>
      <c r="Z516">
        <v>0</v>
      </c>
      <c r="AA516">
        <v>10</v>
      </c>
      <c r="AB516" t="str">
        <f>IF(Table2[[#This Row],[TotalWorkingYears]]&lt;=5,"Early (0-5)",IF(Table2[[#This Row],[TotalWorkingYears]]&lt;=15,"Mid (6-15)","Senior (16+)"))</f>
        <v>Mid (6-15)</v>
      </c>
      <c r="AC516">
        <v>3</v>
      </c>
      <c r="AD516">
        <v>3</v>
      </c>
      <c r="AE516" t="s">
        <v>62</v>
      </c>
      <c r="AF516">
        <v>8</v>
      </c>
      <c r="AG516">
        <v>9</v>
      </c>
      <c r="AH516">
        <v>7</v>
      </c>
    </row>
    <row r="517" spans="1:34" x14ac:dyDescent="0.3">
      <c r="A517" t="s">
        <v>59</v>
      </c>
      <c r="B517">
        <v>0</v>
      </c>
      <c r="C517" t="s">
        <v>50</v>
      </c>
      <c r="D517">
        <v>727</v>
      </c>
      <c r="E517" t="s">
        <v>40</v>
      </c>
      <c r="F517">
        <v>3</v>
      </c>
      <c r="G517" t="str">
        <f>IF(Table2[[#This Row],[DistanceFromHome]]&lt;=5, "short", IF(Table2[[#This Row],[DistanceFromHome]]&lt;=15, "medium", "long"))</f>
        <v>short</v>
      </c>
      <c r="H517">
        <v>3</v>
      </c>
      <c r="I517" t="s">
        <v>34</v>
      </c>
      <c r="J517">
        <v>704</v>
      </c>
      <c r="K517">
        <v>3</v>
      </c>
      <c r="L517" t="s">
        <v>41</v>
      </c>
      <c r="M517">
        <v>41</v>
      </c>
      <c r="N517">
        <v>2</v>
      </c>
      <c r="O517">
        <v>1</v>
      </c>
      <c r="P517" t="s">
        <v>45</v>
      </c>
      <c r="Q517">
        <v>3</v>
      </c>
      <c r="R517" t="s">
        <v>43</v>
      </c>
      <c r="S517">
        <v>1281</v>
      </c>
      <c r="T517">
        <v>16900</v>
      </c>
      <c r="U517">
        <v>1</v>
      </c>
      <c r="V517" t="s">
        <v>38</v>
      </c>
      <c r="W517">
        <v>18</v>
      </c>
      <c r="X517">
        <v>3</v>
      </c>
      <c r="Y517">
        <v>3</v>
      </c>
      <c r="Z517">
        <v>2</v>
      </c>
      <c r="AA517">
        <v>1</v>
      </c>
      <c r="AB517" t="str">
        <f>IF(Table2[[#This Row],[TotalWorkingYears]]&lt;=5,"Early (0-5)",IF(Table2[[#This Row],[TotalWorkingYears]]&lt;=15,"Mid (6-15)","Senior (16+)"))</f>
        <v>Early (0-5)</v>
      </c>
      <c r="AC517">
        <v>3</v>
      </c>
      <c r="AD517">
        <v>3</v>
      </c>
      <c r="AE517" t="s">
        <v>63</v>
      </c>
      <c r="AF517">
        <v>0</v>
      </c>
      <c r="AG517">
        <v>0</v>
      </c>
      <c r="AH517">
        <v>0</v>
      </c>
    </row>
    <row r="518" spans="1:34" x14ac:dyDescent="0.3">
      <c r="A518" t="s">
        <v>60</v>
      </c>
      <c r="B518">
        <v>0</v>
      </c>
      <c r="C518" t="s">
        <v>32</v>
      </c>
      <c r="D518">
        <v>885</v>
      </c>
      <c r="E518" t="s">
        <v>40</v>
      </c>
      <c r="F518">
        <v>4</v>
      </c>
      <c r="G518" t="str">
        <f>IF(Table2[[#This Row],[DistanceFromHome]]&lt;=5, "short", IF(Table2[[#This Row],[DistanceFromHome]]&lt;=15, "medium", "long"))</f>
        <v>short</v>
      </c>
      <c r="H518">
        <v>3</v>
      </c>
      <c r="I518" t="s">
        <v>46</v>
      </c>
      <c r="J518">
        <v>705</v>
      </c>
      <c r="K518">
        <v>1</v>
      </c>
      <c r="L518" t="s">
        <v>41</v>
      </c>
      <c r="M518">
        <v>58</v>
      </c>
      <c r="N518">
        <v>4</v>
      </c>
      <c r="O518">
        <v>1</v>
      </c>
      <c r="P518" t="s">
        <v>42</v>
      </c>
      <c r="Q518">
        <v>1</v>
      </c>
      <c r="R518" t="s">
        <v>43</v>
      </c>
      <c r="S518">
        <v>2819</v>
      </c>
      <c r="T518">
        <v>8544</v>
      </c>
      <c r="U518">
        <v>2</v>
      </c>
      <c r="V518" t="s">
        <v>38</v>
      </c>
      <c r="W518">
        <v>16</v>
      </c>
      <c r="X518">
        <v>3</v>
      </c>
      <c r="Y518">
        <v>1</v>
      </c>
      <c r="Z518">
        <v>1</v>
      </c>
      <c r="AA518">
        <v>5</v>
      </c>
      <c r="AB518" t="str">
        <f>IF(Table2[[#This Row],[TotalWorkingYears]]&lt;=5,"Early (0-5)",IF(Table2[[#This Row],[TotalWorkingYears]]&lt;=15,"Mid (6-15)","Senior (16+)"))</f>
        <v>Early (0-5)</v>
      </c>
      <c r="AC518">
        <v>3</v>
      </c>
      <c r="AD518">
        <v>4</v>
      </c>
      <c r="AE518" t="s">
        <v>64</v>
      </c>
      <c r="AF518">
        <v>2</v>
      </c>
      <c r="AG518">
        <v>0</v>
      </c>
      <c r="AH518">
        <v>2</v>
      </c>
    </row>
    <row r="519" spans="1:34" x14ac:dyDescent="0.3">
      <c r="A519" t="s">
        <v>60</v>
      </c>
      <c r="B519">
        <v>0</v>
      </c>
      <c r="C519" t="s">
        <v>32</v>
      </c>
      <c r="D519">
        <v>810</v>
      </c>
      <c r="E519" t="s">
        <v>33</v>
      </c>
      <c r="F519">
        <v>8</v>
      </c>
      <c r="G519" t="str">
        <f>IF(Table2[[#This Row],[DistanceFromHome]]&lt;=5, "short", IF(Table2[[#This Row],[DistanceFromHome]]&lt;=15, "medium", "long"))</f>
        <v>medium</v>
      </c>
      <c r="H519">
        <v>3</v>
      </c>
      <c r="I519" t="s">
        <v>34</v>
      </c>
      <c r="J519">
        <v>707</v>
      </c>
      <c r="K519">
        <v>4</v>
      </c>
      <c r="L519" t="s">
        <v>41</v>
      </c>
      <c r="M519">
        <v>57</v>
      </c>
      <c r="N519">
        <v>4</v>
      </c>
      <c r="O519">
        <v>2</v>
      </c>
      <c r="P519" t="s">
        <v>36</v>
      </c>
      <c r="Q519">
        <v>2</v>
      </c>
      <c r="R519" t="s">
        <v>43</v>
      </c>
      <c r="S519">
        <v>4851</v>
      </c>
      <c r="T519">
        <v>15678</v>
      </c>
      <c r="U519">
        <v>0</v>
      </c>
      <c r="V519" t="s">
        <v>38</v>
      </c>
      <c r="W519">
        <v>22</v>
      </c>
      <c r="X519">
        <v>4</v>
      </c>
      <c r="Y519">
        <v>3</v>
      </c>
      <c r="Z519">
        <v>1</v>
      </c>
      <c r="AA519">
        <v>4</v>
      </c>
      <c r="AB519" t="str">
        <f>IF(Table2[[#This Row],[TotalWorkingYears]]&lt;=5,"Early (0-5)",IF(Table2[[#This Row],[TotalWorkingYears]]&lt;=15,"Mid (6-15)","Senior (16+)"))</f>
        <v>Early (0-5)</v>
      </c>
      <c r="AC519">
        <v>4</v>
      </c>
      <c r="AD519">
        <v>3</v>
      </c>
      <c r="AE519" t="s">
        <v>64</v>
      </c>
      <c r="AF519">
        <v>2</v>
      </c>
      <c r="AG519">
        <v>1</v>
      </c>
      <c r="AH519">
        <v>2</v>
      </c>
    </row>
    <row r="520" spans="1:34" x14ac:dyDescent="0.3">
      <c r="A520" t="s">
        <v>57</v>
      </c>
      <c r="B520">
        <v>0</v>
      </c>
      <c r="C520" t="s">
        <v>32</v>
      </c>
      <c r="D520">
        <v>243</v>
      </c>
      <c r="E520" t="s">
        <v>33</v>
      </c>
      <c r="F520">
        <v>7</v>
      </c>
      <c r="G520" t="str">
        <f>IF(Table2[[#This Row],[DistanceFromHome]]&lt;=5, "short", IF(Table2[[#This Row],[DistanceFromHome]]&lt;=15, "medium", "long"))</f>
        <v>medium</v>
      </c>
      <c r="H520">
        <v>4</v>
      </c>
      <c r="I520" t="s">
        <v>54</v>
      </c>
      <c r="J520">
        <v>709</v>
      </c>
      <c r="K520">
        <v>4</v>
      </c>
      <c r="L520" t="s">
        <v>35</v>
      </c>
      <c r="M520">
        <v>46</v>
      </c>
      <c r="N520">
        <v>2</v>
      </c>
      <c r="O520">
        <v>2</v>
      </c>
      <c r="P520" t="s">
        <v>36</v>
      </c>
      <c r="Q520">
        <v>4</v>
      </c>
      <c r="R520" t="s">
        <v>37</v>
      </c>
      <c r="S520">
        <v>4028</v>
      </c>
      <c r="T520">
        <v>7791</v>
      </c>
      <c r="U520">
        <v>0</v>
      </c>
      <c r="V520" t="s">
        <v>38</v>
      </c>
      <c r="W520">
        <v>20</v>
      </c>
      <c r="X520">
        <v>4</v>
      </c>
      <c r="Y520">
        <v>1</v>
      </c>
      <c r="Z520">
        <v>0</v>
      </c>
      <c r="AA520">
        <v>8</v>
      </c>
      <c r="AB520" t="str">
        <f>IF(Table2[[#This Row],[TotalWorkingYears]]&lt;=5,"Early (0-5)",IF(Table2[[#This Row],[TotalWorkingYears]]&lt;=15,"Mid (6-15)","Senior (16+)"))</f>
        <v>Mid (6-15)</v>
      </c>
      <c r="AC520">
        <v>2</v>
      </c>
      <c r="AD520">
        <v>3</v>
      </c>
      <c r="AE520" t="s">
        <v>62</v>
      </c>
      <c r="AF520">
        <v>7</v>
      </c>
      <c r="AG520">
        <v>0</v>
      </c>
      <c r="AH520">
        <v>5</v>
      </c>
    </row>
    <row r="521" spans="1:34" x14ac:dyDescent="0.3">
      <c r="A521" t="s">
        <v>59</v>
      </c>
      <c r="B521">
        <v>0</v>
      </c>
      <c r="C521" t="s">
        <v>39</v>
      </c>
      <c r="D521">
        <v>806</v>
      </c>
      <c r="E521" t="s">
        <v>40</v>
      </c>
      <c r="F521">
        <v>1</v>
      </c>
      <c r="G521" t="str">
        <f>IF(Table2[[#This Row],[DistanceFromHome]]&lt;=5, "short", IF(Table2[[#This Row],[DistanceFromHome]]&lt;=15, "medium", "long"))</f>
        <v>short</v>
      </c>
      <c r="H521">
        <v>4</v>
      </c>
      <c r="I521" t="s">
        <v>34</v>
      </c>
      <c r="J521">
        <v>710</v>
      </c>
      <c r="K521">
        <v>2</v>
      </c>
      <c r="L521" t="s">
        <v>41</v>
      </c>
      <c r="M521">
        <v>76</v>
      </c>
      <c r="N521">
        <v>1</v>
      </c>
      <c r="O521">
        <v>1</v>
      </c>
      <c r="P521" t="s">
        <v>42</v>
      </c>
      <c r="Q521">
        <v>4</v>
      </c>
      <c r="R521" t="s">
        <v>47</v>
      </c>
      <c r="S521">
        <v>2720</v>
      </c>
      <c r="T521">
        <v>18959</v>
      </c>
      <c r="U521">
        <v>1</v>
      </c>
      <c r="V521" t="s">
        <v>38</v>
      </c>
      <c r="W521">
        <v>18</v>
      </c>
      <c r="X521">
        <v>3</v>
      </c>
      <c r="Y521">
        <v>4</v>
      </c>
      <c r="Z521">
        <v>1</v>
      </c>
      <c r="AA521">
        <v>10</v>
      </c>
      <c r="AB521" t="str">
        <f>IF(Table2[[#This Row],[TotalWorkingYears]]&lt;=5,"Early (0-5)",IF(Table2[[#This Row],[TotalWorkingYears]]&lt;=15,"Mid (6-15)","Senior (16+)"))</f>
        <v>Mid (6-15)</v>
      </c>
      <c r="AC521">
        <v>5</v>
      </c>
      <c r="AD521">
        <v>3</v>
      </c>
      <c r="AE521" t="s">
        <v>62</v>
      </c>
      <c r="AF521">
        <v>7</v>
      </c>
      <c r="AG521">
        <v>2</v>
      </c>
      <c r="AH521">
        <v>8</v>
      </c>
    </row>
    <row r="522" spans="1:34" x14ac:dyDescent="0.3">
      <c r="A522" t="s">
        <v>58</v>
      </c>
      <c r="B522">
        <v>0</v>
      </c>
      <c r="C522" t="s">
        <v>32</v>
      </c>
      <c r="D522">
        <v>817</v>
      </c>
      <c r="E522" t="s">
        <v>33</v>
      </c>
      <c r="F522">
        <v>2</v>
      </c>
      <c r="G522" t="str">
        <f>IF(Table2[[#This Row],[DistanceFromHome]]&lt;=5, "short", IF(Table2[[#This Row],[DistanceFromHome]]&lt;=15, "medium", "long"))</f>
        <v>short</v>
      </c>
      <c r="H522">
        <v>1</v>
      </c>
      <c r="I522" t="s">
        <v>54</v>
      </c>
      <c r="J522">
        <v>712</v>
      </c>
      <c r="K522">
        <v>2</v>
      </c>
      <c r="L522" t="s">
        <v>41</v>
      </c>
      <c r="M522">
        <v>56</v>
      </c>
      <c r="N522">
        <v>4</v>
      </c>
      <c r="O522">
        <v>2</v>
      </c>
      <c r="P522" t="s">
        <v>36</v>
      </c>
      <c r="Q522">
        <v>2</v>
      </c>
      <c r="R522" t="s">
        <v>43</v>
      </c>
      <c r="S522">
        <v>8120</v>
      </c>
      <c r="T522">
        <v>18597</v>
      </c>
      <c r="U522">
        <v>3</v>
      </c>
      <c r="V522" t="s">
        <v>38</v>
      </c>
      <c r="W522">
        <v>12</v>
      </c>
      <c r="X522">
        <v>3</v>
      </c>
      <c r="Y522">
        <v>4</v>
      </c>
      <c r="Z522">
        <v>0</v>
      </c>
      <c r="AA522">
        <v>12</v>
      </c>
      <c r="AB522" t="str">
        <f>IF(Table2[[#This Row],[TotalWorkingYears]]&lt;=5,"Early (0-5)",IF(Table2[[#This Row],[TotalWorkingYears]]&lt;=15,"Mid (6-15)","Senior (16+)"))</f>
        <v>Mid (6-15)</v>
      </c>
      <c r="AC522">
        <v>3</v>
      </c>
      <c r="AD522">
        <v>3</v>
      </c>
      <c r="AE522" t="s">
        <v>63</v>
      </c>
      <c r="AF522">
        <v>2</v>
      </c>
      <c r="AG522">
        <v>2</v>
      </c>
      <c r="AH522">
        <v>2</v>
      </c>
    </row>
    <row r="523" spans="1:34" x14ac:dyDescent="0.3">
      <c r="A523" t="s">
        <v>59</v>
      </c>
      <c r="B523">
        <v>0</v>
      </c>
      <c r="C523" t="s">
        <v>39</v>
      </c>
      <c r="D523">
        <v>1410</v>
      </c>
      <c r="E523" t="s">
        <v>33</v>
      </c>
      <c r="F523">
        <v>3</v>
      </c>
      <c r="G523" t="str">
        <f>IF(Table2[[#This Row],[DistanceFromHome]]&lt;=5, "short", IF(Table2[[#This Row],[DistanceFromHome]]&lt;=15, "medium", "long"))</f>
        <v>short</v>
      </c>
      <c r="H523">
        <v>1</v>
      </c>
      <c r="I523" t="s">
        <v>46</v>
      </c>
      <c r="J523">
        <v>714</v>
      </c>
      <c r="K523">
        <v>4</v>
      </c>
      <c r="L523" t="s">
        <v>35</v>
      </c>
      <c r="M523">
        <v>71</v>
      </c>
      <c r="N523">
        <v>4</v>
      </c>
      <c r="O523">
        <v>2</v>
      </c>
      <c r="P523" t="s">
        <v>36</v>
      </c>
      <c r="Q523">
        <v>4</v>
      </c>
      <c r="R523" t="s">
        <v>47</v>
      </c>
      <c r="S523">
        <v>4647</v>
      </c>
      <c r="T523">
        <v>16673</v>
      </c>
      <c r="U523">
        <v>1</v>
      </c>
      <c r="V523" t="s">
        <v>31</v>
      </c>
      <c r="W523">
        <v>20</v>
      </c>
      <c r="X523">
        <v>4</v>
      </c>
      <c r="Y523">
        <v>2</v>
      </c>
      <c r="Z523">
        <v>2</v>
      </c>
      <c r="AA523">
        <v>6</v>
      </c>
      <c r="AB523" t="str">
        <f>IF(Table2[[#This Row],[TotalWorkingYears]]&lt;=5,"Early (0-5)",IF(Table2[[#This Row],[TotalWorkingYears]]&lt;=15,"Mid (6-15)","Senior (16+)"))</f>
        <v>Mid (6-15)</v>
      </c>
      <c r="AC523">
        <v>3</v>
      </c>
      <c r="AD523">
        <v>3</v>
      </c>
      <c r="AE523" t="s">
        <v>62</v>
      </c>
      <c r="AF523">
        <v>5</v>
      </c>
      <c r="AG523">
        <v>0</v>
      </c>
      <c r="AH523">
        <v>4</v>
      </c>
    </row>
    <row r="524" spans="1:34" x14ac:dyDescent="0.3">
      <c r="A524" t="s">
        <v>57</v>
      </c>
      <c r="B524">
        <v>0</v>
      </c>
      <c r="C524" t="s">
        <v>32</v>
      </c>
      <c r="D524">
        <v>1225</v>
      </c>
      <c r="E524" t="s">
        <v>40</v>
      </c>
      <c r="F524">
        <v>10</v>
      </c>
      <c r="G524" t="str">
        <f>IF(Table2[[#This Row],[DistanceFromHome]]&lt;=5, "short", IF(Table2[[#This Row],[DistanceFromHome]]&lt;=15, "medium", "long"))</f>
        <v>medium</v>
      </c>
      <c r="H524">
        <v>2</v>
      </c>
      <c r="I524" t="s">
        <v>34</v>
      </c>
      <c r="J524">
        <v>715</v>
      </c>
      <c r="K524">
        <v>4</v>
      </c>
      <c r="L524" t="s">
        <v>41</v>
      </c>
      <c r="M524">
        <v>80</v>
      </c>
      <c r="N524">
        <v>4</v>
      </c>
      <c r="O524">
        <v>1</v>
      </c>
      <c r="P524" t="s">
        <v>42</v>
      </c>
      <c r="Q524">
        <v>4</v>
      </c>
      <c r="R524" t="s">
        <v>37</v>
      </c>
      <c r="S524">
        <v>4680</v>
      </c>
      <c r="T524">
        <v>15232</v>
      </c>
      <c r="U524">
        <v>3</v>
      </c>
      <c r="V524" t="s">
        <v>38</v>
      </c>
      <c r="W524">
        <v>17</v>
      </c>
      <c r="X524">
        <v>3</v>
      </c>
      <c r="Y524">
        <v>1</v>
      </c>
      <c r="Z524">
        <v>0</v>
      </c>
      <c r="AA524">
        <v>4</v>
      </c>
      <c r="AB524" t="str">
        <f>IF(Table2[[#This Row],[TotalWorkingYears]]&lt;=5,"Early (0-5)",IF(Table2[[#This Row],[TotalWorkingYears]]&lt;=15,"Mid (6-15)","Senior (16+)"))</f>
        <v>Early (0-5)</v>
      </c>
      <c r="AC524">
        <v>2</v>
      </c>
      <c r="AD524">
        <v>3</v>
      </c>
      <c r="AE524" t="s">
        <v>63</v>
      </c>
      <c r="AF524">
        <v>0</v>
      </c>
      <c r="AG524">
        <v>0</v>
      </c>
      <c r="AH524">
        <v>0</v>
      </c>
    </row>
    <row r="525" spans="1:34" x14ac:dyDescent="0.3">
      <c r="A525" t="s">
        <v>58</v>
      </c>
      <c r="B525">
        <v>0</v>
      </c>
      <c r="C525" t="s">
        <v>32</v>
      </c>
      <c r="D525">
        <v>1207</v>
      </c>
      <c r="E525" t="s">
        <v>40</v>
      </c>
      <c r="F525">
        <v>28</v>
      </c>
      <c r="G525" t="str">
        <f>IF(Table2[[#This Row],[DistanceFromHome]]&lt;=5, "short", IF(Table2[[#This Row],[DistanceFromHome]]&lt;=15, "medium", "long"))</f>
        <v>long</v>
      </c>
      <c r="H525">
        <v>1</v>
      </c>
      <c r="I525" t="s">
        <v>46</v>
      </c>
      <c r="J525">
        <v>716</v>
      </c>
      <c r="K525">
        <v>4</v>
      </c>
      <c r="L525" t="s">
        <v>41</v>
      </c>
      <c r="M525">
        <v>74</v>
      </c>
      <c r="N525">
        <v>4</v>
      </c>
      <c r="O525">
        <v>1</v>
      </c>
      <c r="P525" t="s">
        <v>45</v>
      </c>
      <c r="Q525">
        <v>3</v>
      </c>
      <c r="R525" t="s">
        <v>43</v>
      </c>
      <c r="S525">
        <v>3221</v>
      </c>
      <c r="T525">
        <v>3297</v>
      </c>
      <c r="U525">
        <v>1</v>
      </c>
      <c r="V525" t="s">
        <v>31</v>
      </c>
      <c r="W525">
        <v>11</v>
      </c>
      <c r="X525">
        <v>3</v>
      </c>
      <c r="Y525">
        <v>3</v>
      </c>
      <c r="Z525">
        <v>3</v>
      </c>
      <c r="AA525">
        <v>20</v>
      </c>
      <c r="AB525" t="str">
        <f>IF(Table2[[#This Row],[TotalWorkingYears]]&lt;=5,"Early (0-5)",IF(Table2[[#This Row],[TotalWorkingYears]]&lt;=15,"Mid (6-15)","Senior (16+)"))</f>
        <v>Senior (16+)</v>
      </c>
      <c r="AC525">
        <v>3</v>
      </c>
      <c r="AD525">
        <v>3</v>
      </c>
      <c r="AE525" t="s">
        <v>65</v>
      </c>
      <c r="AF525">
        <v>8</v>
      </c>
      <c r="AG525">
        <v>3</v>
      </c>
      <c r="AH525">
        <v>8</v>
      </c>
    </row>
    <row r="526" spans="1:34" x14ac:dyDescent="0.3">
      <c r="A526" t="s">
        <v>59</v>
      </c>
      <c r="B526">
        <v>0</v>
      </c>
      <c r="C526" t="s">
        <v>32</v>
      </c>
      <c r="D526">
        <v>1442</v>
      </c>
      <c r="E526" t="s">
        <v>40</v>
      </c>
      <c r="F526">
        <v>9</v>
      </c>
      <c r="G526" t="str">
        <f>IF(Table2[[#This Row],[DistanceFromHome]]&lt;=5, "short", IF(Table2[[#This Row],[DistanceFromHome]]&lt;=15, "medium", "long"))</f>
        <v>medium</v>
      </c>
      <c r="H526">
        <v>3</v>
      </c>
      <c r="I526" t="s">
        <v>46</v>
      </c>
      <c r="J526">
        <v>717</v>
      </c>
      <c r="K526">
        <v>4</v>
      </c>
      <c r="L526" t="s">
        <v>35</v>
      </c>
      <c r="M526">
        <v>46</v>
      </c>
      <c r="N526">
        <v>2</v>
      </c>
      <c r="O526">
        <v>3</v>
      </c>
      <c r="P526" t="s">
        <v>49</v>
      </c>
      <c r="Q526">
        <v>2</v>
      </c>
      <c r="R526" t="s">
        <v>37</v>
      </c>
      <c r="S526">
        <v>8621</v>
      </c>
      <c r="T526">
        <v>17654</v>
      </c>
      <c r="U526">
        <v>1</v>
      </c>
      <c r="V526" t="s">
        <v>38</v>
      </c>
      <c r="W526">
        <v>14</v>
      </c>
      <c r="X526">
        <v>3</v>
      </c>
      <c r="Y526">
        <v>2</v>
      </c>
      <c r="Z526">
        <v>0</v>
      </c>
      <c r="AA526">
        <v>9</v>
      </c>
      <c r="AB526" t="str">
        <f>IF(Table2[[#This Row],[TotalWorkingYears]]&lt;=5,"Early (0-5)",IF(Table2[[#This Row],[TotalWorkingYears]]&lt;=15,"Mid (6-15)","Senior (16+)"))</f>
        <v>Mid (6-15)</v>
      </c>
      <c r="AC526">
        <v>3</v>
      </c>
      <c r="AD526">
        <v>4</v>
      </c>
      <c r="AE526" t="s">
        <v>62</v>
      </c>
      <c r="AF526">
        <v>7</v>
      </c>
      <c r="AG526">
        <v>7</v>
      </c>
      <c r="AH526">
        <v>7</v>
      </c>
    </row>
    <row r="527" spans="1:34" x14ac:dyDescent="0.3">
      <c r="A527" t="s">
        <v>60</v>
      </c>
      <c r="B527">
        <v>1</v>
      </c>
      <c r="C527" t="s">
        <v>32</v>
      </c>
      <c r="D527">
        <v>693</v>
      </c>
      <c r="E527" t="s">
        <v>33</v>
      </c>
      <c r="F527">
        <v>3</v>
      </c>
      <c r="G527" t="str">
        <f>IF(Table2[[#This Row],[DistanceFromHome]]&lt;=5, "short", IF(Table2[[#This Row],[DistanceFromHome]]&lt;=15, "medium", "long"))</f>
        <v>short</v>
      </c>
      <c r="H527">
        <v>2</v>
      </c>
      <c r="I527" t="s">
        <v>34</v>
      </c>
      <c r="J527">
        <v>720</v>
      </c>
      <c r="K527">
        <v>1</v>
      </c>
      <c r="L527" t="s">
        <v>35</v>
      </c>
      <c r="M527">
        <v>65</v>
      </c>
      <c r="N527">
        <v>3</v>
      </c>
      <c r="O527">
        <v>2</v>
      </c>
      <c r="P527" t="s">
        <v>36</v>
      </c>
      <c r="Q527">
        <v>3</v>
      </c>
      <c r="R527" t="s">
        <v>37</v>
      </c>
      <c r="S527">
        <v>4577</v>
      </c>
      <c r="T527">
        <v>24785</v>
      </c>
      <c r="U527">
        <v>9</v>
      </c>
      <c r="V527" t="s">
        <v>38</v>
      </c>
      <c r="W527">
        <v>14</v>
      </c>
      <c r="X527">
        <v>3</v>
      </c>
      <c r="Y527">
        <v>1</v>
      </c>
      <c r="Z527">
        <v>0</v>
      </c>
      <c r="AA527">
        <v>4</v>
      </c>
      <c r="AB527" t="str">
        <f>IF(Table2[[#This Row],[TotalWorkingYears]]&lt;=5,"Early (0-5)",IF(Table2[[#This Row],[TotalWorkingYears]]&lt;=15,"Mid (6-15)","Senior (16+)"))</f>
        <v>Early (0-5)</v>
      </c>
      <c r="AC527">
        <v>3</v>
      </c>
      <c r="AD527">
        <v>3</v>
      </c>
      <c r="AE527" t="s">
        <v>63</v>
      </c>
      <c r="AF527">
        <v>2</v>
      </c>
      <c r="AG527">
        <v>2</v>
      </c>
      <c r="AH527">
        <v>0</v>
      </c>
    </row>
    <row r="528" spans="1:34" x14ac:dyDescent="0.3">
      <c r="A528" t="s">
        <v>57</v>
      </c>
      <c r="B528">
        <v>0</v>
      </c>
      <c r="C528" t="s">
        <v>32</v>
      </c>
      <c r="D528">
        <v>408</v>
      </c>
      <c r="E528" t="s">
        <v>40</v>
      </c>
      <c r="F528">
        <v>2</v>
      </c>
      <c r="G528" t="str">
        <f>IF(Table2[[#This Row],[DistanceFromHome]]&lt;=5, "short", IF(Table2[[#This Row],[DistanceFromHome]]&lt;=15, "medium", "long"))</f>
        <v>short</v>
      </c>
      <c r="H528">
        <v>4</v>
      </c>
      <c r="I528" t="s">
        <v>55</v>
      </c>
      <c r="J528">
        <v>721</v>
      </c>
      <c r="K528">
        <v>4</v>
      </c>
      <c r="L528" t="s">
        <v>35</v>
      </c>
      <c r="M528">
        <v>80</v>
      </c>
      <c r="N528">
        <v>2</v>
      </c>
      <c r="O528">
        <v>2</v>
      </c>
      <c r="P528" t="s">
        <v>49</v>
      </c>
      <c r="Q528">
        <v>3</v>
      </c>
      <c r="R528" t="s">
        <v>37</v>
      </c>
      <c r="S528">
        <v>4553</v>
      </c>
      <c r="T528">
        <v>20978</v>
      </c>
      <c r="U528">
        <v>1</v>
      </c>
      <c r="V528" t="s">
        <v>38</v>
      </c>
      <c r="W528">
        <v>11</v>
      </c>
      <c r="X528">
        <v>3</v>
      </c>
      <c r="Y528">
        <v>1</v>
      </c>
      <c r="Z528">
        <v>0</v>
      </c>
      <c r="AA528">
        <v>20</v>
      </c>
      <c r="AB528" t="str">
        <f>IF(Table2[[#This Row],[TotalWorkingYears]]&lt;=5,"Early (0-5)",IF(Table2[[#This Row],[TotalWorkingYears]]&lt;=15,"Mid (6-15)","Senior (16+)"))</f>
        <v>Senior (16+)</v>
      </c>
      <c r="AC528">
        <v>4</v>
      </c>
      <c r="AD528">
        <v>3</v>
      </c>
      <c r="AE528" t="s">
        <v>65</v>
      </c>
      <c r="AF528">
        <v>7</v>
      </c>
      <c r="AG528">
        <v>11</v>
      </c>
      <c r="AH528">
        <v>10</v>
      </c>
    </row>
    <row r="529" spans="1:34" x14ac:dyDescent="0.3">
      <c r="A529" t="s">
        <v>59</v>
      </c>
      <c r="B529">
        <v>0</v>
      </c>
      <c r="C529" t="s">
        <v>32</v>
      </c>
      <c r="D529">
        <v>929</v>
      </c>
      <c r="E529" t="s">
        <v>33</v>
      </c>
      <c r="F529">
        <v>10</v>
      </c>
      <c r="G529" t="str">
        <f>IF(Table2[[#This Row],[DistanceFromHome]]&lt;=5, "short", IF(Table2[[#This Row],[DistanceFromHome]]&lt;=15, "medium", "long"))</f>
        <v>medium</v>
      </c>
      <c r="H529">
        <v>3</v>
      </c>
      <c r="I529" t="s">
        <v>54</v>
      </c>
      <c r="J529">
        <v>722</v>
      </c>
      <c r="K529">
        <v>4</v>
      </c>
      <c r="L529" t="s">
        <v>41</v>
      </c>
      <c r="M529">
        <v>55</v>
      </c>
      <c r="N529">
        <v>3</v>
      </c>
      <c r="O529">
        <v>2</v>
      </c>
      <c r="P529" t="s">
        <v>36</v>
      </c>
      <c r="Q529">
        <v>4</v>
      </c>
      <c r="R529" t="s">
        <v>37</v>
      </c>
      <c r="S529">
        <v>5396</v>
      </c>
      <c r="T529">
        <v>21703</v>
      </c>
      <c r="U529">
        <v>1</v>
      </c>
      <c r="V529" t="s">
        <v>38</v>
      </c>
      <c r="W529">
        <v>12</v>
      </c>
      <c r="X529">
        <v>3</v>
      </c>
      <c r="Y529">
        <v>4</v>
      </c>
      <c r="Z529">
        <v>0</v>
      </c>
      <c r="AA529">
        <v>10</v>
      </c>
      <c r="AB529" t="str">
        <f>IF(Table2[[#This Row],[TotalWorkingYears]]&lt;=5,"Early (0-5)",IF(Table2[[#This Row],[TotalWorkingYears]]&lt;=15,"Mid (6-15)","Senior (16+)"))</f>
        <v>Mid (6-15)</v>
      </c>
      <c r="AC529">
        <v>2</v>
      </c>
      <c r="AD529">
        <v>2</v>
      </c>
      <c r="AE529" t="s">
        <v>62</v>
      </c>
      <c r="AF529">
        <v>7</v>
      </c>
      <c r="AG529">
        <v>0</v>
      </c>
      <c r="AH529">
        <v>8</v>
      </c>
    </row>
    <row r="530" spans="1:34" x14ac:dyDescent="0.3">
      <c r="A530" t="s">
        <v>58</v>
      </c>
      <c r="B530">
        <v>1</v>
      </c>
      <c r="C530" t="s">
        <v>39</v>
      </c>
      <c r="D530">
        <v>562</v>
      </c>
      <c r="E530" t="s">
        <v>33</v>
      </c>
      <c r="F530">
        <v>8</v>
      </c>
      <c r="G530" t="str">
        <f>IF(Table2[[#This Row],[DistanceFromHome]]&lt;=5, "short", IF(Table2[[#This Row],[DistanceFromHome]]&lt;=15, "medium", "long"))</f>
        <v>medium</v>
      </c>
      <c r="H530">
        <v>2</v>
      </c>
      <c r="I530" t="s">
        <v>55</v>
      </c>
      <c r="J530">
        <v>723</v>
      </c>
      <c r="K530">
        <v>2</v>
      </c>
      <c r="L530" t="s">
        <v>41</v>
      </c>
      <c r="M530">
        <v>50</v>
      </c>
      <c r="N530">
        <v>3</v>
      </c>
      <c r="O530">
        <v>2</v>
      </c>
      <c r="P530" t="s">
        <v>36</v>
      </c>
      <c r="Q530">
        <v>3</v>
      </c>
      <c r="R530" t="s">
        <v>43</v>
      </c>
      <c r="S530">
        <v>6796</v>
      </c>
      <c r="T530">
        <v>23452</v>
      </c>
      <c r="U530">
        <v>3</v>
      </c>
      <c r="V530" t="s">
        <v>31</v>
      </c>
      <c r="W530">
        <v>14</v>
      </c>
      <c r="X530">
        <v>3</v>
      </c>
      <c r="Y530">
        <v>1</v>
      </c>
      <c r="Z530">
        <v>1</v>
      </c>
      <c r="AA530">
        <v>18</v>
      </c>
      <c r="AB530" t="str">
        <f>IF(Table2[[#This Row],[TotalWorkingYears]]&lt;=5,"Early (0-5)",IF(Table2[[#This Row],[TotalWorkingYears]]&lt;=15,"Mid (6-15)","Senior (16+)"))</f>
        <v>Senior (16+)</v>
      </c>
      <c r="AC530">
        <v>4</v>
      </c>
      <c r="AD530">
        <v>3</v>
      </c>
      <c r="AE530" t="s">
        <v>64</v>
      </c>
      <c r="AF530">
        <v>3</v>
      </c>
      <c r="AG530">
        <v>1</v>
      </c>
      <c r="AH530">
        <v>3</v>
      </c>
    </row>
    <row r="531" spans="1:34" x14ac:dyDescent="0.3">
      <c r="A531" t="s">
        <v>57</v>
      </c>
      <c r="B531">
        <v>0</v>
      </c>
      <c r="C531" t="s">
        <v>32</v>
      </c>
      <c r="D531">
        <v>827</v>
      </c>
      <c r="E531" t="s">
        <v>40</v>
      </c>
      <c r="F531">
        <v>1</v>
      </c>
      <c r="G531" t="str">
        <f>IF(Table2[[#This Row],[DistanceFromHome]]&lt;=5, "short", IF(Table2[[#This Row],[DistanceFromHome]]&lt;=15, "medium", "long"))</f>
        <v>short</v>
      </c>
      <c r="H531">
        <v>4</v>
      </c>
      <c r="I531" t="s">
        <v>34</v>
      </c>
      <c r="J531">
        <v>724</v>
      </c>
      <c r="K531">
        <v>2</v>
      </c>
      <c r="L531" t="s">
        <v>35</v>
      </c>
      <c r="M531">
        <v>33</v>
      </c>
      <c r="N531">
        <v>4</v>
      </c>
      <c r="O531">
        <v>2</v>
      </c>
      <c r="P531" t="s">
        <v>49</v>
      </c>
      <c r="Q531">
        <v>4</v>
      </c>
      <c r="R531" t="s">
        <v>37</v>
      </c>
      <c r="S531">
        <v>7625</v>
      </c>
      <c r="T531">
        <v>19383</v>
      </c>
      <c r="U531">
        <v>0</v>
      </c>
      <c r="V531" t="s">
        <v>38</v>
      </c>
      <c r="W531">
        <v>13</v>
      </c>
      <c r="X531">
        <v>3</v>
      </c>
      <c r="Y531">
        <v>3</v>
      </c>
      <c r="Z531">
        <v>0</v>
      </c>
      <c r="AA531">
        <v>10</v>
      </c>
      <c r="AB531" t="str">
        <f>IF(Table2[[#This Row],[TotalWorkingYears]]&lt;=5,"Early (0-5)",IF(Table2[[#This Row],[TotalWorkingYears]]&lt;=15,"Mid (6-15)","Senior (16+)"))</f>
        <v>Mid (6-15)</v>
      </c>
      <c r="AC531">
        <v>4</v>
      </c>
      <c r="AD531">
        <v>2</v>
      </c>
      <c r="AE531" t="s">
        <v>62</v>
      </c>
      <c r="AF531">
        <v>7</v>
      </c>
      <c r="AG531">
        <v>1</v>
      </c>
      <c r="AH531">
        <v>8</v>
      </c>
    </row>
    <row r="532" spans="1:34" x14ac:dyDescent="0.3">
      <c r="A532" t="s">
        <v>59</v>
      </c>
      <c r="B532">
        <v>0</v>
      </c>
      <c r="C532" t="s">
        <v>32</v>
      </c>
      <c r="D532">
        <v>608</v>
      </c>
      <c r="E532" t="s">
        <v>40</v>
      </c>
      <c r="F532">
        <v>1</v>
      </c>
      <c r="G532" t="str">
        <f>IF(Table2[[#This Row],[DistanceFromHome]]&lt;=5, "short", IF(Table2[[#This Row],[DistanceFromHome]]&lt;=15, "medium", "long"))</f>
        <v>short</v>
      </c>
      <c r="H532">
        <v>2</v>
      </c>
      <c r="I532" t="s">
        <v>34</v>
      </c>
      <c r="J532">
        <v>725</v>
      </c>
      <c r="K532">
        <v>3</v>
      </c>
      <c r="L532" t="s">
        <v>35</v>
      </c>
      <c r="M532">
        <v>68</v>
      </c>
      <c r="N532">
        <v>3</v>
      </c>
      <c r="O532">
        <v>3</v>
      </c>
      <c r="P532" t="s">
        <v>48</v>
      </c>
      <c r="Q532">
        <v>1</v>
      </c>
      <c r="R532" t="s">
        <v>43</v>
      </c>
      <c r="S532">
        <v>7412</v>
      </c>
      <c r="T532">
        <v>6009</v>
      </c>
      <c r="U532">
        <v>1</v>
      </c>
      <c r="V532" t="s">
        <v>38</v>
      </c>
      <c r="W532">
        <v>11</v>
      </c>
      <c r="X532">
        <v>3</v>
      </c>
      <c r="Y532">
        <v>4</v>
      </c>
      <c r="Z532">
        <v>0</v>
      </c>
      <c r="AA532">
        <v>9</v>
      </c>
      <c r="AB532" t="str">
        <f>IF(Table2[[#This Row],[TotalWorkingYears]]&lt;=5,"Early (0-5)",IF(Table2[[#This Row],[TotalWorkingYears]]&lt;=15,"Mid (6-15)","Senior (16+)"))</f>
        <v>Mid (6-15)</v>
      </c>
      <c r="AC532">
        <v>3</v>
      </c>
      <c r="AD532">
        <v>3</v>
      </c>
      <c r="AE532" t="s">
        <v>62</v>
      </c>
      <c r="AF532">
        <v>7</v>
      </c>
      <c r="AG532">
        <v>0</v>
      </c>
      <c r="AH532">
        <v>7</v>
      </c>
    </row>
    <row r="533" spans="1:34" x14ac:dyDescent="0.3">
      <c r="A533" t="s">
        <v>59</v>
      </c>
      <c r="B533">
        <v>0</v>
      </c>
      <c r="C533" t="s">
        <v>32</v>
      </c>
      <c r="D533">
        <v>1018</v>
      </c>
      <c r="E533" t="s">
        <v>40</v>
      </c>
      <c r="F533">
        <v>3</v>
      </c>
      <c r="G533" t="str">
        <f>IF(Table2[[#This Row],[DistanceFromHome]]&lt;=5, "short", IF(Table2[[#This Row],[DistanceFromHome]]&lt;=15, "medium", "long"))</f>
        <v>short</v>
      </c>
      <c r="H533">
        <v>2</v>
      </c>
      <c r="I533" t="s">
        <v>34</v>
      </c>
      <c r="J533">
        <v>727</v>
      </c>
      <c r="K533">
        <v>3</v>
      </c>
      <c r="L533" t="s">
        <v>35</v>
      </c>
      <c r="M533">
        <v>39</v>
      </c>
      <c r="N533">
        <v>3</v>
      </c>
      <c r="O533">
        <v>3</v>
      </c>
      <c r="P533" t="s">
        <v>53</v>
      </c>
      <c r="Q533">
        <v>4</v>
      </c>
      <c r="R533" t="s">
        <v>37</v>
      </c>
      <c r="S533">
        <v>11159</v>
      </c>
      <c r="T533">
        <v>19373</v>
      </c>
      <c r="U533">
        <v>3</v>
      </c>
      <c r="V533" t="s">
        <v>38</v>
      </c>
      <c r="W533">
        <v>15</v>
      </c>
      <c r="X533">
        <v>3</v>
      </c>
      <c r="Y533">
        <v>4</v>
      </c>
      <c r="Z533">
        <v>0</v>
      </c>
      <c r="AA533">
        <v>10</v>
      </c>
      <c r="AB533" t="str">
        <f>IF(Table2[[#This Row],[TotalWorkingYears]]&lt;=5,"Early (0-5)",IF(Table2[[#This Row],[TotalWorkingYears]]&lt;=15,"Mid (6-15)","Senior (16+)"))</f>
        <v>Mid (6-15)</v>
      </c>
      <c r="AC533">
        <v>6</v>
      </c>
      <c r="AD533">
        <v>3</v>
      </c>
      <c r="AE533" t="s">
        <v>62</v>
      </c>
      <c r="AF533">
        <v>7</v>
      </c>
      <c r="AG533">
        <v>7</v>
      </c>
      <c r="AH533">
        <v>7</v>
      </c>
    </row>
    <row r="534" spans="1:34" x14ac:dyDescent="0.3">
      <c r="A534" t="s">
        <v>58</v>
      </c>
      <c r="B534">
        <v>0</v>
      </c>
      <c r="C534" t="s">
        <v>32</v>
      </c>
      <c r="D534">
        <v>703</v>
      </c>
      <c r="E534" t="s">
        <v>33</v>
      </c>
      <c r="F534">
        <v>14</v>
      </c>
      <c r="G534" t="str">
        <f>IF(Table2[[#This Row],[DistanceFromHome]]&lt;=5, "short", IF(Table2[[#This Row],[DistanceFromHome]]&lt;=15, "medium", "long"))</f>
        <v>medium</v>
      </c>
      <c r="H534">
        <v>4</v>
      </c>
      <c r="I534" t="s">
        <v>54</v>
      </c>
      <c r="J534">
        <v>728</v>
      </c>
      <c r="K534">
        <v>4</v>
      </c>
      <c r="L534" t="s">
        <v>41</v>
      </c>
      <c r="M534">
        <v>42</v>
      </c>
      <c r="N534">
        <v>3</v>
      </c>
      <c r="O534">
        <v>2</v>
      </c>
      <c r="P534" t="s">
        <v>36</v>
      </c>
      <c r="Q534">
        <v>1</v>
      </c>
      <c r="R534" t="s">
        <v>37</v>
      </c>
      <c r="S534">
        <v>4960</v>
      </c>
      <c r="T534">
        <v>11825</v>
      </c>
      <c r="U534">
        <v>2</v>
      </c>
      <c r="V534" t="s">
        <v>38</v>
      </c>
      <c r="W534">
        <v>12</v>
      </c>
      <c r="X534">
        <v>3</v>
      </c>
      <c r="Y534">
        <v>4</v>
      </c>
      <c r="Z534">
        <v>0</v>
      </c>
      <c r="AA534">
        <v>20</v>
      </c>
      <c r="AB534" t="str">
        <f>IF(Table2[[#This Row],[TotalWorkingYears]]&lt;=5,"Early (0-5)",IF(Table2[[#This Row],[TotalWorkingYears]]&lt;=15,"Mid (6-15)","Senior (16+)"))</f>
        <v>Senior (16+)</v>
      </c>
      <c r="AC534">
        <v>2</v>
      </c>
      <c r="AD534">
        <v>3</v>
      </c>
      <c r="AE534" t="s">
        <v>62</v>
      </c>
      <c r="AF534">
        <v>7</v>
      </c>
      <c r="AG534">
        <v>1</v>
      </c>
      <c r="AH534">
        <v>7</v>
      </c>
    </row>
    <row r="535" spans="1:34" x14ac:dyDescent="0.3">
      <c r="A535" t="s">
        <v>57</v>
      </c>
      <c r="B535">
        <v>0</v>
      </c>
      <c r="C535" t="s">
        <v>39</v>
      </c>
      <c r="D535">
        <v>580</v>
      </c>
      <c r="E535" t="s">
        <v>33</v>
      </c>
      <c r="F535">
        <v>5</v>
      </c>
      <c r="G535" t="str">
        <f>IF(Table2[[#This Row],[DistanceFromHome]]&lt;=5, "short", IF(Table2[[#This Row],[DistanceFromHome]]&lt;=15, "medium", "long"))</f>
        <v>short</v>
      </c>
      <c r="H535">
        <v>4</v>
      </c>
      <c r="I535" t="s">
        <v>34</v>
      </c>
      <c r="J535">
        <v>729</v>
      </c>
      <c r="K535">
        <v>4</v>
      </c>
      <c r="L535" t="s">
        <v>41</v>
      </c>
      <c r="M535">
        <v>48</v>
      </c>
      <c r="N535">
        <v>2</v>
      </c>
      <c r="O535">
        <v>3</v>
      </c>
      <c r="P535" t="s">
        <v>36</v>
      </c>
      <c r="Q535">
        <v>1</v>
      </c>
      <c r="R535" t="s">
        <v>43</v>
      </c>
      <c r="S535">
        <v>10475</v>
      </c>
      <c r="T535">
        <v>23772</v>
      </c>
      <c r="U535">
        <v>5</v>
      </c>
      <c r="V535" t="s">
        <v>31</v>
      </c>
      <c r="W535">
        <v>21</v>
      </c>
      <c r="X535">
        <v>4</v>
      </c>
      <c r="Y535">
        <v>3</v>
      </c>
      <c r="Z535">
        <v>1</v>
      </c>
      <c r="AA535">
        <v>20</v>
      </c>
      <c r="AB535" t="str">
        <f>IF(Table2[[#This Row],[TotalWorkingYears]]&lt;=5,"Early (0-5)",IF(Table2[[#This Row],[TotalWorkingYears]]&lt;=15,"Mid (6-15)","Senior (16+)"))</f>
        <v>Senior (16+)</v>
      </c>
      <c r="AC535">
        <v>2</v>
      </c>
      <c r="AD535">
        <v>3</v>
      </c>
      <c r="AE535" t="s">
        <v>65</v>
      </c>
      <c r="AF535">
        <v>13</v>
      </c>
      <c r="AG535">
        <v>1</v>
      </c>
      <c r="AH535">
        <v>12</v>
      </c>
    </row>
    <row r="536" spans="1:34" x14ac:dyDescent="0.3">
      <c r="A536" t="s">
        <v>58</v>
      </c>
      <c r="B536">
        <v>0</v>
      </c>
      <c r="C536" t="s">
        <v>32</v>
      </c>
      <c r="D536">
        <v>970</v>
      </c>
      <c r="E536" t="s">
        <v>40</v>
      </c>
      <c r="F536">
        <v>7</v>
      </c>
      <c r="G536" t="str">
        <f>IF(Table2[[#This Row],[DistanceFromHome]]&lt;=5, "short", IF(Table2[[#This Row],[DistanceFromHome]]&lt;=15, "medium", "long"))</f>
        <v>medium</v>
      </c>
      <c r="H536">
        <v>3</v>
      </c>
      <c r="I536" t="s">
        <v>34</v>
      </c>
      <c r="J536">
        <v>730</v>
      </c>
      <c r="K536">
        <v>3</v>
      </c>
      <c r="L536" t="s">
        <v>41</v>
      </c>
      <c r="M536">
        <v>59</v>
      </c>
      <c r="N536">
        <v>4</v>
      </c>
      <c r="O536">
        <v>4</v>
      </c>
      <c r="P536" t="s">
        <v>53</v>
      </c>
      <c r="Q536">
        <v>3</v>
      </c>
      <c r="R536" t="s">
        <v>43</v>
      </c>
      <c r="S536">
        <v>14814</v>
      </c>
      <c r="T536">
        <v>13514</v>
      </c>
      <c r="U536">
        <v>3</v>
      </c>
      <c r="V536" t="s">
        <v>38</v>
      </c>
      <c r="W536">
        <v>19</v>
      </c>
      <c r="X536">
        <v>3</v>
      </c>
      <c r="Y536">
        <v>3</v>
      </c>
      <c r="Z536">
        <v>0</v>
      </c>
      <c r="AA536">
        <v>32</v>
      </c>
      <c r="AB536" t="str">
        <f>IF(Table2[[#This Row],[TotalWorkingYears]]&lt;=5,"Early (0-5)",IF(Table2[[#This Row],[TotalWorkingYears]]&lt;=15,"Mid (6-15)","Senior (16+)"))</f>
        <v>Senior (16+)</v>
      </c>
      <c r="AC536">
        <v>3</v>
      </c>
      <c r="AD536">
        <v>3</v>
      </c>
      <c r="AE536" t="s">
        <v>64</v>
      </c>
      <c r="AF536">
        <v>1</v>
      </c>
      <c r="AG536">
        <v>1</v>
      </c>
      <c r="AH536">
        <v>3</v>
      </c>
    </row>
    <row r="537" spans="1:34" x14ac:dyDescent="0.3">
      <c r="A537" t="s">
        <v>57</v>
      </c>
      <c r="B537">
        <v>0</v>
      </c>
      <c r="C537" t="s">
        <v>32</v>
      </c>
      <c r="D537">
        <v>427</v>
      </c>
      <c r="E537" t="s">
        <v>56</v>
      </c>
      <c r="F537">
        <v>10</v>
      </c>
      <c r="G537" t="str">
        <f>IF(Table2[[#This Row],[DistanceFromHome]]&lt;=5, "short", IF(Table2[[#This Row],[DistanceFromHome]]&lt;=15, "medium", "long"))</f>
        <v>medium</v>
      </c>
      <c r="H537">
        <v>4</v>
      </c>
      <c r="I537" t="s">
        <v>56</v>
      </c>
      <c r="J537">
        <v>731</v>
      </c>
      <c r="K537">
        <v>2</v>
      </c>
      <c r="L537" t="s">
        <v>41</v>
      </c>
      <c r="M537">
        <v>73</v>
      </c>
      <c r="N537">
        <v>2</v>
      </c>
      <c r="O537">
        <v>5</v>
      </c>
      <c r="P537" t="s">
        <v>51</v>
      </c>
      <c r="Q537">
        <v>4</v>
      </c>
      <c r="R537" t="s">
        <v>47</v>
      </c>
      <c r="S537">
        <v>19141</v>
      </c>
      <c r="T537">
        <v>8861</v>
      </c>
      <c r="U537">
        <v>3</v>
      </c>
      <c r="V537" t="s">
        <v>38</v>
      </c>
      <c r="W537">
        <v>15</v>
      </c>
      <c r="X537">
        <v>3</v>
      </c>
      <c r="Y537">
        <v>2</v>
      </c>
      <c r="Z537">
        <v>3</v>
      </c>
      <c r="AA537">
        <v>23</v>
      </c>
      <c r="AB537" t="str">
        <f>IF(Table2[[#This Row],[TotalWorkingYears]]&lt;=5,"Early (0-5)",IF(Table2[[#This Row],[TotalWorkingYears]]&lt;=15,"Mid (6-15)","Senior (16+)"))</f>
        <v>Senior (16+)</v>
      </c>
      <c r="AC537">
        <v>2</v>
      </c>
      <c r="AD537">
        <v>2</v>
      </c>
      <c r="AE537" t="s">
        <v>65</v>
      </c>
      <c r="AF537">
        <v>6</v>
      </c>
      <c r="AG537">
        <v>12</v>
      </c>
      <c r="AH537">
        <v>6</v>
      </c>
    </row>
    <row r="538" spans="1:34" x14ac:dyDescent="0.3">
      <c r="A538" t="s">
        <v>58</v>
      </c>
      <c r="B538">
        <v>0</v>
      </c>
      <c r="C538" t="s">
        <v>32</v>
      </c>
      <c r="D538">
        <v>1179</v>
      </c>
      <c r="E538" t="s">
        <v>33</v>
      </c>
      <c r="F538">
        <v>16</v>
      </c>
      <c r="G538" t="str">
        <f>IF(Table2[[#This Row],[DistanceFromHome]]&lt;=5, "short", IF(Table2[[#This Row],[DistanceFromHome]]&lt;=15, "medium", "long"))</f>
        <v>long</v>
      </c>
      <c r="H538">
        <v>4</v>
      </c>
      <c r="I538" t="s">
        <v>54</v>
      </c>
      <c r="J538">
        <v>732</v>
      </c>
      <c r="K538">
        <v>1</v>
      </c>
      <c r="L538" t="s">
        <v>41</v>
      </c>
      <c r="M538">
        <v>84</v>
      </c>
      <c r="N538">
        <v>3</v>
      </c>
      <c r="O538">
        <v>2</v>
      </c>
      <c r="P538" t="s">
        <v>36</v>
      </c>
      <c r="Q538">
        <v>1</v>
      </c>
      <c r="R538" t="s">
        <v>37</v>
      </c>
      <c r="S538">
        <v>5405</v>
      </c>
      <c r="T538">
        <v>11924</v>
      </c>
      <c r="U538">
        <v>8</v>
      </c>
      <c r="V538" t="s">
        <v>38</v>
      </c>
      <c r="W538">
        <v>14</v>
      </c>
      <c r="X538">
        <v>3</v>
      </c>
      <c r="Y538">
        <v>4</v>
      </c>
      <c r="Z538">
        <v>0</v>
      </c>
      <c r="AA538">
        <v>10</v>
      </c>
      <c r="AB538" t="str">
        <f>IF(Table2[[#This Row],[TotalWorkingYears]]&lt;=5,"Early (0-5)",IF(Table2[[#This Row],[TotalWorkingYears]]&lt;=15,"Mid (6-15)","Senior (16+)"))</f>
        <v>Mid (6-15)</v>
      </c>
      <c r="AC538">
        <v>1</v>
      </c>
      <c r="AD538">
        <v>3</v>
      </c>
      <c r="AE538" t="s">
        <v>63</v>
      </c>
      <c r="AF538">
        <v>2</v>
      </c>
      <c r="AG538">
        <v>2</v>
      </c>
      <c r="AH538">
        <v>2</v>
      </c>
    </row>
    <row r="539" spans="1:34" x14ac:dyDescent="0.3">
      <c r="A539" t="s">
        <v>59</v>
      </c>
      <c r="B539">
        <v>0</v>
      </c>
      <c r="C539" t="s">
        <v>39</v>
      </c>
      <c r="D539">
        <v>294</v>
      </c>
      <c r="E539" t="s">
        <v>40</v>
      </c>
      <c r="F539">
        <v>10</v>
      </c>
      <c r="G539" t="str">
        <f>IF(Table2[[#This Row],[DistanceFromHome]]&lt;=5, "short", IF(Table2[[#This Row],[DistanceFromHome]]&lt;=15, "medium", "long"))</f>
        <v>medium</v>
      </c>
      <c r="H539">
        <v>2</v>
      </c>
      <c r="I539" t="s">
        <v>34</v>
      </c>
      <c r="J539">
        <v>733</v>
      </c>
      <c r="K539">
        <v>4</v>
      </c>
      <c r="L539" t="s">
        <v>41</v>
      </c>
      <c r="M539">
        <v>32</v>
      </c>
      <c r="N539">
        <v>3</v>
      </c>
      <c r="O539">
        <v>3</v>
      </c>
      <c r="P539" t="s">
        <v>48</v>
      </c>
      <c r="Q539">
        <v>1</v>
      </c>
      <c r="R539" t="s">
        <v>47</v>
      </c>
      <c r="S539">
        <v>8793</v>
      </c>
      <c r="T539">
        <v>4809</v>
      </c>
      <c r="U539">
        <v>1</v>
      </c>
      <c r="V539" t="s">
        <v>38</v>
      </c>
      <c r="W539">
        <v>21</v>
      </c>
      <c r="X539">
        <v>4</v>
      </c>
      <c r="Y539">
        <v>3</v>
      </c>
      <c r="Z539">
        <v>2</v>
      </c>
      <c r="AA539">
        <v>9</v>
      </c>
      <c r="AB539" t="str">
        <f>IF(Table2[[#This Row],[TotalWorkingYears]]&lt;=5,"Early (0-5)",IF(Table2[[#This Row],[TotalWorkingYears]]&lt;=15,"Mid (6-15)","Senior (16+)"))</f>
        <v>Mid (6-15)</v>
      </c>
      <c r="AC539">
        <v>4</v>
      </c>
      <c r="AD539">
        <v>2</v>
      </c>
      <c r="AE539" t="s">
        <v>62</v>
      </c>
      <c r="AF539">
        <v>7</v>
      </c>
      <c r="AG539">
        <v>1</v>
      </c>
      <c r="AH539">
        <v>7</v>
      </c>
    </row>
    <row r="540" spans="1:34" x14ac:dyDescent="0.3">
      <c r="A540" t="s">
        <v>57</v>
      </c>
      <c r="B540">
        <v>0</v>
      </c>
      <c r="C540" t="s">
        <v>32</v>
      </c>
      <c r="D540">
        <v>314</v>
      </c>
      <c r="E540" t="s">
        <v>56</v>
      </c>
      <c r="F540">
        <v>1</v>
      </c>
      <c r="G540" t="str">
        <f>IF(Table2[[#This Row],[DistanceFromHome]]&lt;=5, "short", IF(Table2[[#This Row],[DistanceFromHome]]&lt;=15, "medium", "long"))</f>
        <v>short</v>
      </c>
      <c r="H540">
        <v>3</v>
      </c>
      <c r="I540" t="s">
        <v>56</v>
      </c>
      <c r="J540">
        <v>734</v>
      </c>
      <c r="K540">
        <v>4</v>
      </c>
      <c r="L540" t="s">
        <v>41</v>
      </c>
      <c r="M540">
        <v>59</v>
      </c>
      <c r="N540">
        <v>2</v>
      </c>
      <c r="O540">
        <v>5</v>
      </c>
      <c r="P540" t="s">
        <v>51</v>
      </c>
      <c r="Q540">
        <v>3</v>
      </c>
      <c r="R540" t="s">
        <v>43</v>
      </c>
      <c r="S540">
        <v>19189</v>
      </c>
      <c r="T540">
        <v>19562</v>
      </c>
      <c r="U540">
        <v>1</v>
      </c>
      <c r="V540" t="s">
        <v>38</v>
      </c>
      <c r="W540">
        <v>12</v>
      </c>
      <c r="X540">
        <v>3</v>
      </c>
      <c r="Y540">
        <v>2</v>
      </c>
      <c r="Z540">
        <v>1</v>
      </c>
      <c r="AA540">
        <v>22</v>
      </c>
      <c r="AB540" t="str">
        <f>IF(Table2[[#This Row],[TotalWorkingYears]]&lt;=5,"Early (0-5)",IF(Table2[[#This Row],[TotalWorkingYears]]&lt;=15,"Mid (6-15)","Senior (16+)"))</f>
        <v>Senior (16+)</v>
      </c>
      <c r="AC540">
        <v>3</v>
      </c>
      <c r="AD540">
        <v>3</v>
      </c>
      <c r="AE540" t="s">
        <v>65</v>
      </c>
      <c r="AF540">
        <v>7</v>
      </c>
      <c r="AG540">
        <v>2</v>
      </c>
      <c r="AH540">
        <v>10</v>
      </c>
    </row>
    <row r="541" spans="1:34" x14ac:dyDescent="0.3">
      <c r="A541" t="s">
        <v>58</v>
      </c>
      <c r="B541">
        <v>0</v>
      </c>
      <c r="C541" t="s">
        <v>32</v>
      </c>
      <c r="D541">
        <v>316</v>
      </c>
      <c r="E541" t="s">
        <v>33</v>
      </c>
      <c r="F541">
        <v>8</v>
      </c>
      <c r="G541" t="str">
        <f>IF(Table2[[#This Row],[DistanceFromHome]]&lt;=5, "short", IF(Table2[[#This Row],[DistanceFromHome]]&lt;=15, "medium", "long"))</f>
        <v>medium</v>
      </c>
      <c r="H541">
        <v>4</v>
      </c>
      <c r="I541" t="s">
        <v>54</v>
      </c>
      <c r="J541">
        <v>738</v>
      </c>
      <c r="K541">
        <v>4</v>
      </c>
      <c r="L541" t="s">
        <v>41</v>
      </c>
      <c r="M541">
        <v>54</v>
      </c>
      <c r="N541">
        <v>3</v>
      </c>
      <c r="O541">
        <v>1</v>
      </c>
      <c r="P541" t="s">
        <v>52</v>
      </c>
      <c r="Q541">
        <v>2</v>
      </c>
      <c r="R541" t="s">
        <v>43</v>
      </c>
      <c r="S541">
        <v>3875</v>
      </c>
      <c r="T541">
        <v>9983</v>
      </c>
      <c r="U541">
        <v>7</v>
      </c>
      <c r="V541" t="s">
        <v>38</v>
      </c>
      <c r="W541">
        <v>15</v>
      </c>
      <c r="X541">
        <v>3</v>
      </c>
      <c r="Y541">
        <v>4</v>
      </c>
      <c r="Z541">
        <v>1</v>
      </c>
      <c r="AA541">
        <v>4</v>
      </c>
      <c r="AB541" t="str">
        <f>IF(Table2[[#This Row],[TotalWorkingYears]]&lt;=5,"Early (0-5)",IF(Table2[[#This Row],[TotalWorkingYears]]&lt;=15,"Mid (6-15)","Senior (16+)"))</f>
        <v>Early (0-5)</v>
      </c>
      <c r="AC541">
        <v>2</v>
      </c>
      <c r="AD541">
        <v>3</v>
      </c>
      <c r="AE541" t="s">
        <v>63</v>
      </c>
      <c r="AF541">
        <v>2</v>
      </c>
      <c r="AG541">
        <v>2</v>
      </c>
      <c r="AH541">
        <v>2</v>
      </c>
    </row>
    <row r="542" spans="1:34" x14ac:dyDescent="0.3">
      <c r="A542" t="s">
        <v>59</v>
      </c>
      <c r="B542">
        <v>1</v>
      </c>
      <c r="C542" t="s">
        <v>32</v>
      </c>
      <c r="D542">
        <v>654</v>
      </c>
      <c r="E542" t="s">
        <v>40</v>
      </c>
      <c r="F542">
        <v>1</v>
      </c>
      <c r="G542" t="str">
        <f>IF(Table2[[#This Row],[DistanceFromHome]]&lt;=5, "short", IF(Table2[[#This Row],[DistanceFromHome]]&lt;=15, "medium", "long"))</f>
        <v>short</v>
      </c>
      <c r="H542">
        <v>2</v>
      </c>
      <c r="I542" t="s">
        <v>34</v>
      </c>
      <c r="J542">
        <v>741</v>
      </c>
      <c r="K542">
        <v>1</v>
      </c>
      <c r="L542" t="s">
        <v>35</v>
      </c>
      <c r="M542">
        <v>67</v>
      </c>
      <c r="N542">
        <v>1</v>
      </c>
      <c r="O542">
        <v>1</v>
      </c>
      <c r="P542" t="s">
        <v>42</v>
      </c>
      <c r="Q542">
        <v>2</v>
      </c>
      <c r="R542" t="s">
        <v>37</v>
      </c>
      <c r="S542">
        <v>2216</v>
      </c>
      <c r="T542">
        <v>3872</v>
      </c>
      <c r="U542">
        <v>7</v>
      </c>
      <c r="V542" t="s">
        <v>31</v>
      </c>
      <c r="W542">
        <v>13</v>
      </c>
      <c r="X542">
        <v>3</v>
      </c>
      <c r="Y542">
        <v>4</v>
      </c>
      <c r="Z542">
        <v>0</v>
      </c>
      <c r="AA542">
        <v>10</v>
      </c>
      <c r="AB542" t="str">
        <f>IF(Table2[[#This Row],[TotalWorkingYears]]&lt;=5,"Early (0-5)",IF(Table2[[#This Row],[TotalWorkingYears]]&lt;=15,"Mid (6-15)","Senior (16+)"))</f>
        <v>Mid (6-15)</v>
      </c>
      <c r="AC542">
        <v>4</v>
      </c>
      <c r="AD542">
        <v>3</v>
      </c>
      <c r="AE542" t="s">
        <v>62</v>
      </c>
      <c r="AF542">
        <v>7</v>
      </c>
      <c r="AG542">
        <v>3</v>
      </c>
      <c r="AH542">
        <v>7</v>
      </c>
    </row>
    <row r="543" spans="1:34" x14ac:dyDescent="0.3">
      <c r="A543" t="s">
        <v>57</v>
      </c>
      <c r="B543">
        <v>0</v>
      </c>
      <c r="C543" t="s">
        <v>50</v>
      </c>
      <c r="D543">
        <v>427</v>
      </c>
      <c r="E543" t="s">
        <v>40</v>
      </c>
      <c r="F543">
        <v>8</v>
      </c>
      <c r="G543" t="str">
        <f>IF(Table2[[#This Row],[DistanceFromHome]]&lt;=5, "short", IF(Table2[[#This Row],[DistanceFromHome]]&lt;=15, "medium", "long"))</f>
        <v>medium</v>
      </c>
      <c r="H543">
        <v>3</v>
      </c>
      <c r="I543" t="s">
        <v>34</v>
      </c>
      <c r="J543">
        <v>742</v>
      </c>
      <c r="K543">
        <v>1</v>
      </c>
      <c r="L543" t="s">
        <v>35</v>
      </c>
      <c r="M543">
        <v>63</v>
      </c>
      <c r="N543">
        <v>4</v>
      </c>
      <c r="O543">
        <v>3</v>
      </c>
      <c r="P543" t="s">
        <v>53</v>
      </c>
      <c r="Q543">
        <v>1</v>
      </c>
      <c r="R543" t="s">
        <v>43</v>
      </c>
      <c r="S543">
        <v>11713</v>
      </c>
      <c r="T543">
        <v>20335</v>
      </c>
      <c r="U543">
        <v>9</v>
      </c>
      <c r="V543" t="s">
        <v>38</v>
      </c>
      <c r="W543">
        <v>14</v>
      </c>
      <c r="X543">
        <v>3</v>
      </c>
      <c r="Y543">
        <v>1</v>
      </c>
      <c r="Z543">
        <v>1</v>
      </c>
      <c r="AA543">
        <v>10</v>
      </c>
      <c r="AB543" t="str">
        <f>IF(Table2[[#This Row],[TotalWorkingYears]]&lt;=5,"Early (0-5)",IF(Table2[[#This Row],[TotalWorkingYears]]&lt;=15,"Mid (6-15)","Senior (16+)"))</f>
        <v>Mid (6-15)</v>
      </c>
      <c r="AC543">
        <v>2</v>
      </c>
      <c r="AD543">
        <v>3</v>
      </c>
      <c r="AE543" t="s">
        <v>62</v>
      </c>
      <c r="AF543">
        <v>7</v>
      </c>
      <c r="AG543">
        <v>0</v>
      </c>
      <c r="AH543">
        <v>5</v>
      </c>
    </row>
    <row r="544" spans="1:34" x14ac:dyDescent="0.3">
      <c r="A544" t="s">
        <v>57</v>
      </c>
      <c r="B544">
        <v>0</v>
      </c>
      <c r="C544" t="s">
        <v>32</v>
      </c>
      <c r="D544">
        <v>168</v>
      </c>
      <c r="E544" t="s">
        <v>40</v>
      </c>
      <c r="F544">
        <v>1</v>
      </c>
      <c r="G544" t="str">
        <f>IF(Table2[[#This Row],[DistanceFromHome]]&lt;=5, "short", IF(Table2[[#This Row],[DistanceFromHome]]&lt;=15, "medium", "long"))</f>
        <v>short</v>
      </c>
      <c r="H544">
        <v>3</v>
      </c>
      <c r="I544" t="s">
        <v>34</v>
      </c>
      <c r="J544">
        <v>743</v>
      </c>
      <c r="K544">
        <v>3</v>
      </c>
      <c r="L544" t="s">
        <v>35</v>
      </c>
      <c r="M544">
        <v>81</v>
      </c>
      <c r="N544">
        <v>3</v>
      </c>
      <c r="O544">
        <v>3</v>
      </c>
      <c r="P544" t="s">
        <v>48</v>
      </c>
      <c r="Q544">
        <v>3</v>
      </c>
      <c r="R544" t="s">
        <v>37</v>
      </c>
      <c r="S544">
        <v>7861</v>
      </c>
      <c r="T544">
        <v>15397</v>
      </c>
      <c r="U544">
        <v>4</v>
      </c>
      <c r="V544" t="s">
        <v>31</v>
      </c>
      <c r="W544">
        <v>14</v>
      </c>
      <c r="X544">
        <v>3</v>
      </c>
      <c r="Y544">
        <v>4</v>
      </c>
      <c r="Z544">
        <v>0</v>
      </c>
      <c r="AA544">
        <v>10</v>
      </c>
      <c r="AB544" t="str">
        <f>IF(Table2[[#This Row],[TotalWorkingYears]]&lt;=5,"Early (0-5)",IF(Table2[[#This Row],[TotalWorkingYears]]&lt;=15,"Mid (6-15)","Senior (16+)"))</f>
        <v>Mid (6-15)</v>
      </c>
      <c r="AC544">
        <v>4</v>
      </c>
      <c r="AD544">
        <v>4</v>
      </c>
      <c r="AE544" t="s">
        <v>63</v>
      </c>
      <c r="AF544">
        <v>0</v>
      </c>
      <c r="AG544">
        <v>0</v>
      </c>
      <c r="AH544">
        <v>0</v>
      </c>
    </row>
    <row r="545" spans="1:34" x14ac:dyDescent="0.3">
      <c r="A545" t="s">
        <v>57</v>
      </c>
      <c r="B545">
        <v>0</v>
      </c>
      <c r="C545" t="s">
        <v>50</v>
      </c>
      <c r="D545">
        <v>381</v>
      </c>
      <c r="E545" t="s">
        <v>40</v>
      </c>
      <c r="F545">
        <v>24</v>
      </c>
      <c r="G545" t="str">
        <f>IF(Table2[[#This Row],[DistanceFromHome]]&lt;=5, "short", IF(Table2[[#This Row],[DistanceFromHome]]&lt;=15, "medium", "long"))</f>
        <v>long</v>
      </c>
      <c r="H545">
        <v>3</v>
      </c>
      <c r="I545" t="s">
        <v>46</v>
      </c>
      <c r="J545">
        <v>744</v>
      </c>
      <c r="K545">
        <v>1</v>
      </c>
      <c r="L545" t="s">
        <v>41</v>
      </c>
      <c r="M545">
        <v>49</v>
      </c>
      <c r="N545">
        <v>1</v>
      </c>
      <c r="O545">
        <v>1</v>
      </c>
      <c r="P545" t="s">
        <v>45</v>
      </c>
      <c r="Q545">
        <v>3</v>
      </c>
      <c r="R545" t="s">
        <v>37</v>
      </c>
      <c r="S545">
        <v>3708</v>
      </c>
      <c r="T545">
        <v>2104</v>
      </c>
      <c r="U545">
        <v>2</v>
      </c>
      <c r="V545" t="s">
        <v>38</v>
      </c>
      <c r="W545">
        <v>14</v>
      </c>
      <c r="X545">
        <v>3</v>
      </c>
      <c r="Y545">
        <v>3</v>
      </c>
      <c r="Z545">
        <v>0</v>
      </c>
      <c r="AA545">
        <v>9</v>
      </c>
      <c r="AB545" t="str">
        <f>IF(Table2[[#This Row],[TotalWorkingYears]]&lt;=5,"Early (0-5)",IF(Table2[[#This Row],[TotalWorkingYears]]&lt;=15,"Mid (6-15)","Senior (16+)"))</f>
        <v>Mid (6-15)</v>
      </c>
      <c r="AC545">
        <v>5</v>
      </c>
      <c r="AD545">
        <v>3</v>
      </c>
      <c r="AE545" t="s">
        <v>64</v>
      </c>
      <c r="AF545">
        <v>2</v>
      </c>
      <c r="AG545">
        <v>1</v>
      </c>
      <c r="AH545">
        <v>4</v>
      </c>
    </row>
    <row r="546" spans="1:34" x14ac:dyDescent="0.3">
      <c r="A546" t="s">
        <v>58</v>
      </c>
      <c r="B546">
        <v>0</v>
      </c>
      <c r="C546" t="s">
        <v>39</v>
      </c>
      <c r="D546">
        <v>217</v>
      </c>
      <c r="E546" t="s">
        <v>33</v>
      </c>
      <c r="F546">
        <v>3</v>
      </c>
      <c r="G546" t="str">
        <f>IF(Table2[[#This Row],[DistanceFromHome]]&lt;=5, "short", IF(Table2[[#This Row],[DistanceFromHome]]&lt;=15, "medium", "long"))</f>
        <v>short</v>
      </c>
      <c r="H546">
        <v>3</v>
      </c>
      <c r="I546" t="s">
        <v>46</v>
      </c>
      <c r="J546">
        <v>746</v>
      </c>
      <c r="K546">
        <v>4</v>
      </c>
      <c r="L546" t="s">
        <v>35</v>
      </c>
      <c r="M546">
        <v>49</v>
      </c>
      <c r="N546">
        <v>3</v>
      </c>
      <c r="O546">
        <v>4</v>
      </c>
      <c r="P546" t="s">
        <v>36</v>
      </c>
      <c r="Q546">
        <v>3</v>
      </c>
      <c r="R546" t="s">
        <v>47</v>
      </c>
      <c r="S546">
        <v>13770</v>
      </c>
      <c r="T546">
        <v>10225</v>
      </c>
      <c r="U546">
        <v>9</v>
      </c>
      <c r="V546" t="s">
        <v>31</v>
      </c>
      <c r="W546">
        <v>12</v>
      </c>
      <c r="X546">
        <v>3</v>
      </c>
      <c r="Y546">
        <v>4</v>
      </c>
      <c r="Z546">
        <v>2</v>
      </c>
      <c r="AA546">
        <v>28</v>
      </c>
      <c r="AB546" t="str">
        <f>IF(Table2[[#This Row],[TotalWorkingYears]]&lt;=5,"Early (0-5)",IF(Table2[[#This Row],[TotalWorkingYears]]&lt;=15,"Mid (6-15)","Senior (16+)"))</f>
        <v>Senior (16+)</v>
      </c>
      <c r="AC546">
        <v>2</v>
      </c>
      <c r="AD546">
        <v>2</v>
      </c>
      <c r="AE546" t="s">
        <v>65</v>
      </c>
      <c r="AF546">
        <v>2</v>
      </c>
      <c r="AG546">
        <v>11</v>
      </c>
      <c r="AH546">
        <v>13</v>
      </c>
    </row>
    <row r="547" spans="1:34" x14ac:dyDescent="0.3">
      <c r="A547" t="s">
        <v>59</v>
      </c>
      <c r="B547">
        <v>0</v>
      </c>
      <c r="C547" t="s">
        <v>32</v>
      </c>
      <c r="D547">
        <v>501</v>
      </c>
      <c r="E547" t="s">
        <v>33</v>
      </c>
      <c r="F547">
        <v>27</v>
      </c>
      <c r="G547" t="str">
        <f>IF(Table2[[#This Row],[DistanceFromHome]]&lt;=5, "short", IF(Table2[[#This Row],[DistanceFromHome]]&lt;=15, "medium", "long"))</f>
        <v>long</v>
      </c>
      <c r="H547">
        <v>5</v>
      </c>
      <c r="I547" t="s">
        <v>54</v>
      </c>
      <c r="J547">
        <v>747</v>
      </c>
      <c r="K547">
        <v>3</v>
      </c>
      <c r="L547" t="s">
        <v>41</v>
      </c>
      <c r="M547">
        <v>99</v>
      </c>
      <c r="N547">
        <v>3</v>
      </c>
      <c r="O547">
        <v>2</v>
      </c>
      <c r="P547" t="s">
        <v>36</v>
      </c>
      <c r="Q547">
        <v>4</v>
      </c>
      <c r="R547" t="s">
        <v>47</v>
      </c>
      <c r="S547">
        <v>5304</v>
      </c>
      <c r="T547">
        <v>25275</v>
      </c>
      <c r="U547">
        <v>7</v>
      </c>
      <c r="V547" t="s">
        <v>38</v>
      </c>
      <c r="W547">
        <v>23</v>
      </c>
      <c r="X547">
        <v>4</v>
      </c>
      <c r="Y547">
        <v>4</v>
      </c>
      <c r="Z547">
        <v>1</v>
      </c>
      <c r="AA547">
        <v>10</v>
      </c>
      <c r="AB547" t="str">
        <f>IF(Table2[[#This Row],[TotalWorkingYears]]&lt;=5,"Early (0-5)",IF(Table2[[#This Row],[TotalWorkingYears]]&lt;=15,"Mid (6-15)","Senior (16+)"))</f>
        <v>Mid (6-15)</v>
      </c>
      <c r="AC547">
        <v>2</v>
      </c>
      <c r="AD547">
        <v>2</v>
      </c>
      <c r="AE547" t="s">
        <v>62</v>
      </c>
      <c r="AF547">
        <v>7</v>
      </c>
      <c r="AG547">
        <v>7</v>
      </c>
      <c r="AH547">
        <v>7</v>
      </c>
    </row>
    <row r="548" spans="1:34" x14ac:dyDescent="0.3">
      <c r="A548" t="s">
        <v>59</v>
      </c>
      <c r="B548">
        <v>0</v>
      </c>
      <c r="C548" t="s">
        <v>32</v>
      </c>
      <c r="D548">
        <v>1396</v>
      </c>
      <c r="E548" t="s">
        <v>33</v>
      </c>
      <c r="F548">
        <v>10</v>
      </c>
      <c r="G548" t="str">
        <f>IF(Table2[[#This Row],[DistanceFromHome]]&lt;=5, "short", IF(Table2[[#This Row],[DistanceFromHome]]&lt;=15, "medium", "long"))</f>
        <v>medium</v>
      </c>
      <c r="H548">
        <v>3</v>
      </c>
      <c r="I548" t="s">
        <v>34</v>
      </c>
      <c r="J548">
        <v>749</v>
      </c>
      <c r="K548">
        <v>3</v>
      </c>
      <c r="L548" t="s">
        <v>41</v>
      </c>
      <c r="M548">
        <v>99</v>
      </c>
      <c r="N548">
        <v>3</v>
      </c>
      <c r="O548">
        <v>1</v>
      </c>
      <c r="P548" t="s">
        <v>52</v>
      </c>
      <c r="Q548">
        <v>3</v>
      </c>
      <c r="R548" t="s">
        <v>37</v>
      </c>
      <c r="S548">
        <v>2642</v>
      </c>
      <c r="T548">
        <v>2755</v>
      </c>
      <c r="U548">
        <v>1</v>
      </c>
      <c r="V548" t="s">
        <v>38</v>
      </c>
      <c r="W548">
        <v>11</v>
      </c>
      <c r="X548">
        <v>3</v>
      </c>
      <c r="Y548">
        <v>3</v>
      </c>
      <c r="Z548">
        <v>0</v>
      </c>
      <c r="AA548">
        <v>1</v>
      </c>
      <c r="AB548" t="str">
        <f>IF(Table2[[#This Row],[TotalWorkingYears]]&lt;=5,"Early (0-5)",IF(Table2[[#This Row],[TotalWorkingYears]]&lt;=15,"Mid (6-15)","Senior (16+)"))</f>
        <v>Early (0-5)</v>
      </c>
      <c r="AC548">
        <v>6</v>
      </c>
      <c r="AD548">
        <v>3</v>
      </c>
      <c r="AE548" t="s">
        <v>63</v>
      </c>
      <c r="AF548">
        <v>0</v>
      </c>
      <c r="AG548">
        <v>0</v>
      </c>
      <c r="AH548">
        <v>0</v>
      </c>
    </row>
    <row r="549" spans="1:34" x14ac:dyDescent="0.3">
      <c r="A549" t="s">
        <v>57</v>
      </c>
      <c r="B549">
        <v>1</v>
      </c>
      <c r="C549" t="s">
        <v>39</v>
      </c>
      <c r="D549">
        <v>933</v>
      </c>
      <c r="E549" t="s">
        <v>40</v>
      </c>
      <c r="F549">
        <v>19</v>
      </c>
      <c r="G549" t="str">
        <f>IF(Table2[[#This Row],[DistanceFromHome]]&lt;=5, "short", IF(Table2[[#This Row],[DistanceFromHome]]&lt;=15, "medium", "long"))</f>
        <v>long</v>
      </c>
      <c r="H549">
        <v>3</v>
      </c>
      <c r="I549" t="s">
        <v>46</v>
      </c>
      <c r="J549">
        <v>752</v>
      </c>
      <c r="K549">
        <v>3</v>
      </c>
      <c r="L549" t="s">
        <v>41</v>
      </c>
      <c r="M549">
        <v>57</v>
      </c>
      <c r="N549">
        <v>4</v>
      </c>
      <c r="O549">
        <v>1</v>
      </c>
      <c r="P549" t="s">
        <v>42</v>
      </c>
      <c r="Q549">
        <v>3</v>
      </c>
      <c r="R549" t="s">
        <v>47</v>
      </c>
      <c r="S549">
        <v>2759</v>
      </c>
      <c r="T549">
        <v>20366</v>
      </c>
      <c r="U549">
        <v>6</v>
      </c>
      <c r="V549" t="s">
        <v>31</v>
      </c>
      <c r="W549">
        <v>12</v>
      </c>
      <c r="X549">
        <v>3</v>
      </c>
      <c r="Y549">
        <v>4</v>
      </c>
      <c r="Z549">
        <v>0</v>
      </c>
      <c r="AA549">
        <v>7</v>
      </c>
      <c r="AB549" t="str">
        <f>IF(Table2[[#This Row],[TotalWorkingYears]]&lt;=5,"Early (0-5)",IF(Table2[[#This Row],[TotalWorkingYears]]&lt;=15,"Mid (6-15)","Senior (16+)"))</f>
        <v>Mid (6-15)</v>
      </c>
      <c r="AC549">
        <v>2</v>
      </c>
      <c r="AD549">
        <v>3</v>
      </c>
      <c r="AE549" t="s">
        <v>63</v>
      </c>
      <c r="AF549">
        <v>2</v>
      </c>
      <c r="AG549">
        <v>2</v>
      </c>
      <c r="AH549">
        <v>2</v>
      </c>
    </row>
    <row r="550" spans="1:34" x14ac:dyDescent="0.3">
      <c r="A550" t="s">
        <v>57</v>
      </c>
      <c r="B550">
        <v>0</v>
      </c>
      <c r="C550" t="s">
        <v>39</v>
      </c>
      <c r="D550">
        <v>775</v>
      </c>
      <c r="E550" t="s">
        <v>33</v>
      </c>
      <c r="F550">
        <v>15</v>
      </c>
      <c r="G550" t="str">
        <f>IF(Table2[[#This Row],[DistanceFromHome]]&lt;=5, "short", IF(Table2[[#This Row],[DistanceFromHome]]&lt;=15, "medium", "long"))</f>
        <v>medium</v>
      </c>
      <c r="H550">
        <v>3</v>
      </c>
      <c r="I550" t="s">
        <v>34</v>
      </c>
      <c r="J550">
        <v>754</v>
      </c>
      <c r="K550">
        <v>4</v>
      </c>
      <c r="L550" t="s">
        <v>41</v>
      </c>
      <c r="M550">
        <v>47</v>
      </c>
      <c r="N550">
        <v>2</v>
      </c>
      <c r="O550">
        <v>2</v>
      </c>
      <c r="P550" t="s">
        <v>36</v>
      </c>
      <c r="Q550">
        <v>4</v>
      </c>
      <c r="R550" t="s">
        <v>43</v>
      </c>
      <c r="S550">
        <v>6804</v>
      </c>
      <c r="T550">
        <v>23683</v>
      </c>
      <c r="U550">
        <v>3</v>
      </c>
      <c r="V550" t="s">
        <v>38</v>
      </c>
      <c r="W550">
        <v>18</v>
      </c>
      <c r="X550">
        <v>3</v>
      </c>
      <c r="Y550">
        <v>3</v>
      </c>
      <c r="Z550">
        <v>1</v>
      </c>
      <c r="AA550">
        <v>7</v>
      </c>
      <c r="AB550" t="str">
        <f>IF(Table2[[#This Row],[TotalWorkingYears]]&lt;=5,"Early (0-5)",IF(Table2[[#This Row],[TotalWorkingYears]]&lt;=15,"Mid (6-15)","Senior (16+)"))</f>
        <v>Mid (6-15)</v>
      </c>
      <c r="AC550">
        <v>5</v>
      </c>
      <c r="AD550">
        <v>3</v>
      </c>
      <c r="AE550" t="s">
        <v>63</v>
      </c>
      <c r="AF550">
        <v>2</v>
      </c>
      <c r="AG550">
        <v>2</v>
      </c>
      <c r="AH550">
        <v>2</v>
      </c>
    </row>
    <row r="551" spans="1:34" x14ac:dyDescent="0.3">
      <c r="A551" t="s">
        <v>59</v>
      </c>
      <c r="B551">
        <v>0</v>
      </c>
      <c r="C551" t="s">
        <v>32</v>
      </c>
      <c r="D551">
        <v>970</v>
      </c>
      <c r="E551" t="s">
        <v>40</v>
      </c>
      <c r="F551">
        <v>8</v>
      </c>
      <c r="G551" t="str">
        <f>IF(Table2[[#This Row],[DistanceFromHome]]&lt;=5, "short", IF(Table2[[#This Row],[DistanceFromHome]]&lt;=15, "medium", "long"))</f>
        <v>medium</v>
      </c>
      <c r="H551">
        <v>2</v>
      </c>
      <c r="I551" t="s">
        <v>46</v>
      </c>
      <c r="J551">
        <v>757</v>
      </c>
      <c r="K551">
        <v>2</v>
      </c>
      <c r="L551" t="s">
        <v>35</v>
      </c>
      <c r="M551">
        <v>96</v>
      </c>
      <c r="N551">
        <v>3</v>
      </c>
      <c r="O551">
        <v>2</v>
      </c>
      <c r="P551" t="s">
        <v>49</v>
      </c>
      <c r="Q551">
        <v>3</v>
      </c>
      <c r="R551" t="s">
        <v>37</v>
      </c>
      <c r="S551">
        <v>6142</v>
      </c>
      <c r="T551">
        <v>7360</v>
      </c>
      <c r="U551">
        <v>3</v>
      </c>
      <c r="V551" t="s">
        <v>38</v>
      </c>
      <c r="W551">
        <v>11</v>
      </c>
      <c r="X551">
        <v>3</v>
      </c>
      <c r="Y551">
        <v>4</v>
      </c>
      <c r="Z551">
        <v>0</v>
      </c>
      <c r="AA551">
        <v>10</v>
      </c>
      <c r="AB551" t="str">
        <f>IF(Table2[[#This Row],[TotalWorkingYears]]&lt;=5,"Early (0-5)",IF(Table2[[#This Row],[TotalWorkingYears]]&lt;=15,"Mid (6-15)","Senior (16+)"))</f>
        <v>Mid (6-15)</v>
      </c>
      <c r="AC551">
        <v>2</v>
      </c>
      <c r="AD551">
        <v>3</v>
      </c>
      <c r="AE551" t="s">
        <v>64</v>
      </c>
      <c r="AF551">
        <v>1</v>
      </c>
      <c r="AG551">
        <v>4</v>
      </c>
      <c r="AH551">
        <v>3</v>
      </c>
    </row>
    <row r="552" spans="1:34" x14ac:dyDescent="0.3">
      <c r="A552" t="s">
        <v>60</v>
      </c>
      <c r="B552">
        <v>0</v>
      </c>
      <c r="C552" t="s">
        <v>32</v>
      </c>
      <c r="D552">
        <v>650</v>
      </c>
      <c r="E552" t="s">
        <v>40</v>
      </c>
      <c r="F552">
        <v>9</v>
      </c>
      <c r="G552" t="str">
        <f>IF(Table2[[#This Row],[DistanceFromHome]]&lt;=5, "short", IF(Table2[[#This Row],[DistanceFromHome]]&lt;=15, "medium", "long"))</f>
        <v>medium</v>
      </c>
      <c r="H552">
        <v>1</v>
      </c>
      <c r="I552" t="s">
        <v>46</v>
      </c>
      <c r="J552">
        <v>758</v>
      </c>
      <c r="K552">
        <v>2</v>
      </c>
      <c r="L552" t="s">
        <v>41</v>
      </c>
      <c r="M552">
        <v>37</v>
      </c>
      <c r="N552">
        <v>3</v>
      </c>
      <c r="O552">
        <v>1</v>
      </c>
      <c r="P552" t="s">
        <v>45</v>
      </c>
      <c r="Q552">
        <v>1</v>
      </c>
      <c r="R552" t="s">
        <v>43</v>
      </c>
      <c r="S552">
        <v>2500</v>
      </c>
      <c r="T552">
        <v>4344</v>
      </c>
      <c r="U552">
        <v>1</v>
      </c>
      <c r="V552" t="s">
        <v>38</v>
      </c>
      <c r="W552">
        <v>14</v>
      </c>
      <c r="X552">
        <v>3</v>
      </c>
      <c r="Y552">
        <v>4</v>
      </c>
      <c r="Z552">
        <v>1</v>
      </c>
      <c r="AA552">
        <v>5</v>
      </c>
      <c r="AB552" t="str">
        <f>IF(Table2[[#This Row],[TotalWorkingYears]]&lt;=5,"Early (0-5)",IF(Table2[[#This Row],[TotalWorkingYears]]&lt;=15,"Mid (6-15)","Senior (16+)"))</f>
        <v>Early (0-5)</v>
      </c>
      <c r="AC552">
        <v>2</v>
      </c>
      <c r="AD552">
        <v>4</v>
      </c>
      <c r="AE552" t="s">
        <v>64</v>
      </c>
      <c r="AF552">
        <v>3</v>
      </c>
      <c r="AG552">
        <v>0</v>
      </c>
      <c r="AH552">
        <v>2</v>
      </c>
    </row>
    <row r="553" spans="1:34" x14ac:dyDescent="0.3">
      <c r="A553" t="s">
        <v>57</v>
      </c>
      <c r="B553">
        <v>0</v>
      </c>
      <c r="C553" t="s">
        <v>32</v>
      </c>
      <c r="D553">
        <v>141</v>
      </c>
      <c r="E553" t="s">
        <v>56</v>
      </c>
      <c r="F553">
        <v>3</v>
      </c>
      <c r="G553" t="str">
        <f>IF(Table2[[#This Row],[DistanceFromHome]]&lt;=5, "short", IF(Table2[[#This Row],[DistanceFromHome]]&lt;=15, "medium", "long"))</f>
        <v>short</v>
      </c>
      <c r="H553">
        <v>3</v>
      </c>
      <c r="I553" t="s">
        <v>56</v>
      </c>
      <c r="J553">
        <v>760</v>
      </c>
      <c r="K553">
        <v>3</v>
      </c>
      <c r="L553" t="s">
        <v>35</v>
      </c>
      <c r="M553">
        <v>44</v>
      </c>
      <c r="N553">
        <v>4</v>
      </c>
      <c r="O553">
        <v>2</v>
      </c>
      <c r="P553" t="s">
        <v>56</v>
      </c>
      <c r="Q553">
        <v>2</v>
      </c>
      <c r="R553" t="s">
        <v>43</v>
      </c>
      <c r="S553">
        <v>6389</v>
      </c>
      <c r="T553">
        <v>18767</v>
      </c>
      <c r="U553">
        <v>9</v>
      </c>
      <c r="V553" t="s">
        <v>38</v>
      </c>
      <c r="W553">
        <v>15</v>
      </c>
      <c r="X553">
        <v>3</v>
      </c>
      <c r="Y553">
        <v>3</v>
      </c>
      <c r="Z553">
        <v>1</v>
      </c>
      <c r="AA553">
        <v>12</v>
      </c>
      <c r="AB553" t="str">
        <f>IF(Table2[[#This Row],[TotalWorkingYears]]&lt;=5,"Early (0-5)",IF(Table2[[#This Row],[TotalWorkingYears]]&lt;=15,"Mid (6-15)","Senior (16+)"))</f>
        <v>Mid (6-15)</v>
      </c>
      <c r="AC553">
        <v>3</v>
      </c>
      <c r="AD553">
        <v>1</v>
      </c>
      <c r="AE553" t="s">
        <v>62</v>
      </c>
      <c r="AF553">
        <v>3</v>
      </c>
      <c r="AG553">
        <v>3</v>
      </c>
      <c r="AH553">
        <v>6</v>
      </c>
    </row>
    <row r="554" spans="1:34" x14ac:dyDescent="0.3">
      <c r="A554" t="s">
        <v>58</v>
      </c>
      <c r="B554">
        <v>0</v>
      </c>
      <c r="C554" t="s">
        <v>32</v>
      </c>
      <c r="D554">
        <v>832</v>
      </c>
      <c r="E554" t="s">
        <v>40</v>
      </c>
      <c r="F554">
        <v>9</v>
      </c>
      <c r="G554" t="str">
        <f>IF(Table2[[#This Row],[DistanceFromHome]]&lt;=5, "short", IF(Table2[[#This Row],[DistanceFromHome]]&lt;=15, "medium", "long"))</f>
        <v>medium</v>
      </c>
      <c r="H554">
        <v>3</v>
      </c>
      <c r="I554" t="s">
        <v>46</v>
      </c>
      <c r="J554">
        <v>762</v>
      </c>
      <c r="K554">
        <v>3</v>
      </c>
      <c r="L554" t="s">
        <v>41</v>
      </c>
      <c r="M554">
        <v>81</v>
      </c>
      <c r="N554">
        <v>3</v>
      </c>
      <c r="O554">
        <v>4</v>
      </c>
      <c r="P554" t="s">
        <v>49</v>
      </c>
      <c r="Q554">
        <v>4</v>
      </c>
      <c r="R554" t="s">
        <v>43</v>
      </c>
      <c r="S554">
        <v>11103</v>
      </c>
      <c r="T554">
        <v>20420</v>
      </c>
      <c r="U554">
        <v>7</v>
      </c>
      <c r="V554" t="s">
        <v>38</v>
      </c>
      <c r="W554">
        <v>11</v>
      </c>
      <c r="X554">
        <v>3</v>
      </c>
      <c r="Y554">
        <v>3</v>
      </c>
      <c r="Z554">
        <v>0</v>
      </c>
      <c r="AA554">
        <v>30</v>
      </c>
      <c r="AB554" t="str">
        <f>IF(Table2[[#This Row],[TotalWorkingYears]]&lt;=5,"Early (0-5)",IF(Table2[[#This Row],[TotalWorkingYears]]&lt;=15,"Mid (6-15)","Senior (16+)"))</f>
        <v>Senior (16+)</v>
      </c>
      <c r="AC554">
        <v>1</v>
      </c>
      <c r="AD554">
        <v>2</v>
      </c>
      <c r="AE554" t="s">
        <v>62</v>
      </c>
      <c r="AF554">
        <v>7</v>
      </c>
      <c r="AG554">
        <v>1</v>
      </c>
      <c r="AH554">
        <v>1</v>
      </c>
    </row>
    <row r="555" spans="1:34" x14ac:dyDescent="0.3">
      <c r="A555" t="s">
        <v>57</v>
      </c>
      <c r="B555">
        <v>0</v>
      </c>
      <c r="C555" t="s">
        <v>32</v>
      </c>
      <c r="D555">
        <v>804</v>
      </c>
      <c r="E555" t="s">
        <v>40</v>
      </c>
      <c r="F555">
        <v>2</v>
      </c>
      <c r="G555" t="str">
        <f>IF(Table2[[#This Row],[DistanceFromHome]]&lt;=5, "short", IF(Table2[[#This Row],[DistanceFromHome]]&lt;=15, "medium", "long"))</f>
        <v>short</v>
      </c>
      <c r="H555">
        <v>1</v>
      </c>
      <c r="I555" t="s">
        <v>46</v>
      </c>
      <c r="J555">
        <v>763</v>
      </c>
      <c r="K555">
        <v>4</v>
      </c>
      <c r="L555" t="s">
        <v>35</v>
      </c>
      <c r="M555">
        <v>86</v>
      </c>
      <c r="N555">
        <v>2</v>
      </c>
      <c r="O555">
        <v>1</v>
      </c>
      <c r="P555" t="s">
        <v>42</v>
      </c>
      <c r="Q555">
        <v>4</v>
      </c>
      <c r="R555" t="s">
        <v>37</v>
      </c>
      <c r="S555">
        <v>2342</v>
      </c>
      <c r="T555">
        <v>22929</v>
      </c>
      <c r="U555">
        <v>0</v>
      </c>
      <c r="V555" t="s">
        <v>31</v>
      </c>
      <c r="W555">
        <v>20</v>
      </c>
      <c r="X555">
        <v>4</v>
      </c>
      <c r="Y555">
        <v>4</v>
      </c>
      <c r="Z555">
        <v>0</v>
      </c>
      <c r="AA555">
        <v>5</v>
      </c>
      <c r="AB555" t="str">
        <f>IF(Table2[[#This Row],[TotalWorkingYears]]&lt;=5,"Early (0-5)",IF(Table2[[#This Row],[TotalWorkingYears]]&lt;=15,"Mid (6-15)","Senior (16+)"))</f>
        <v>Early (0-5)</v>
      </c>
      <c r="AC555">
        <v>2</v>
      </c>
      <c r="AD555">
        <v>2</v>
      </c>
      <c r="AE555" t="s">
        <v>64</v>
      </c>
      <c r="AF555">
        <v>2</v>
      </c>
      <c r="AG555">
        <v>2</v>
      </c>
      <c r="AH555">
        <v>3</v>
      </c>
    </row>
    <row r="556" spans="1:34" x14ac:dyDescent="0.3">
      <c r="A556" t="s">
        <v>59</v>
      </c>
      <c r="B556">
        <v>0</v>
      </c>
      <c r="C556" t="s">
        <v>32</v>
      </c>
      <c r="D556">
        <v>975</v>
      </c>
      <c r="E556" t="s">
        <v>40</v>
      </c>
      <c r="F556">
        <v>7</v>
      </c>
      <c r="G556" t="str">
        <f>IF(Table2[[#This Row],[DistanceFromHome]]&lt;=5, "short", IF(Table2[[#This Row],[DistanceFromHome]]&lt;=15, "medium", "long"))</f>
        <v>medium</v>
      </c>
      <c r="H556">
        <v>3</v>
      </c>
      <c r="I556" t="s">
        <v>46</v>
      </c>
      <c r="J556">
        <v>764</v>
      </c>
      <c r="K556">
        <v>4</v>
      </c>
      <c r="L556" t="s">
        <v>35</v>
      </c>
      <c r="M556">
        <v>55</v>
      </c>
      <c r="N556">
        <v>2</v>
      </c>
      <c r="O556">
        <v>2</v>
      </c>
      <c r="P556" t="s">
        <v>49</v>
      </c>
      <c r="Q556">
        <v>1</v>
      </c>
      <c r="R556" t="s">
        <v>37</v>
      </c>
      <c r="S556">
        <v>6811</v>
      </c>
      <c r="T556">
        <v>23398</v>
      </c>
      <c r="U556">
        <v>8</v>
      </c>
      <c r="V556" t="s">
        <v>38</v>
      </c>
      <c r="W556">
        <v>19</v>
      </c>
      <c r="X556">
        <v>3</v>
      </c>
      <c r="Y556">
        <v>1</v>
      </c>
      <c r="Z556">
        <v>0</v>
      </c>
      <c r="AA556">
        <v>9</v>
      </c>
      <c r="AB556" t="str">
        <f>IF(Table2[[#This Row],[TotalWorkingYears]]&lt;=5,"Early (0-5)",IF(Table2[[#This Row],[TotalWorkingYears]]&lt;=15,"Mid (6-15)","Senior (16+)"))</f>
        <v>Mid (6-15)</v>
      </c>
      <c r="AC556">
        <v>2</v>
      </c>
      <c r="AD556">
        <v>1</v>
      </c>
      <c r="AE556" t="s">
        <v>62</v>
      </c>
      <c r="AF556">
        <v>6</v>
      </c>
      <c r="AG556">
        <v>0</v>
      </c>
      <c r="AH556">
        <v>7</v>
      </c>
    </row>
    <row r="557" spans="1:34" x14ac:dyDescent="0.3">
      <c r="A557" t="s">
        <v>59</v>
      </c>
      <c r="B557">
        <v>0</v>
      </c>
      <c r="C557" t="s">
        <v>32</v>
      </c>
      <c r="D557">
        <v>1090</v>
      </c>
      <c r="E557" t="s">
        <v>33</v>
      </c>
      <c r="F557">
        <v>10</v>
      </c>
      <c r="G557" t="str">
        <f>IF(Table2[[#This Row],[DistanceFromHome]]&lt;=5, "short", IF(Table2[[#This Row],[DistanceFromHome]]&lt;=15, "medium", "long"))</f>
        <v>medium</v>
      </c>
      <c r="H557">
        <v>3</v>
      </c>
      <c r="I557" t="s">
        <v>54</v>
      </c>
      <c r="J557">
        <v>766</v>
      </c>
      <c r="K557">
        <v>4</v>
      </c>
      <c r="L557" t="s">
        <v>41</v>
      </c>
      <c r="M557">
        <v>83</v>
      </c>
      <c r="N557">
        <v>3</v>
      </c>
      <c r="O557">
        <v>1</v>
      </c>
      <c r="P557" t="s">
        <v>52</v>
      </c>
      <c r="Q557">
        <v>2</v>
      </c>
      <c r="R557" t="s">
        <v>47</v>
      </c>
      <c r="S557">
        <v>2297</v>
      </c>
      <c r="T557">
        <v>17967</v>
      </c>
      <c r="U557">
        <v>1</v>
      </c>
      <c r="V557" t="s">
        <v>38</v>
      </c>
      <c r="W557">
        <v>14</v>
      </c>
      <c r="X557">
        <v>3</v>
      </c>
      <c r="Y557">
        <v>4</v>
      </c>
      <c r="Z557">
        <v>2</v>
      </c>
      <c r="AA557">
        <v>2</v>
      </c>
      <c r="AB557" t="str">
        <f>IF(Table2[[#This Row],[TotalWorkingYears]]&lt;=5,"Early (0-5)",IF(Table2[[#This Row],[TotalWorkingYears]]&lt;=15,"Mid (6-15)","Senior (16+)"))</f>
        <v>Early (0-5)</v>
      </c>
      <c r="AC557">
        <v>2</v>
      </c>
      <c r="AD557">
        <v>3</v>
      </c>
      <c r="AE557" t="s">
        <v>63</v>
      </c>
      <c r="AF557">
        <v>2</v>
      </c>
      <c r="AG557">
        <v>2</v>
      </c>
      <c r="AH557">
        <v>2</v>
      </c>
    </row>
    <row r="558" spans="1:34" x14ac:dyDescent="0.3">
      <c r="A558" t="s">
        <v>58</v>
      </c>
      <c r="B558">
        <v>0</v>
      </c>
      <c r="C558" t="s">
        <v>32</v>
      </c>
      <c r="D558">
        <v>346</v>
      </c>
      <c r="E558" t="s">
        <v>40</v>
      </c>
      <c r="F558">
        <v>6</v>
      </c>
      <c r="G558" t="str">
        <f>IF(Table2[[#This Row],[DistanceFromHome]]&lt;=5, "short", IF(Table2[[#This Row],[DistanceFromHome]]&lt;=15, "medium", "long"))</f>
        <v>medium</v>
      </c>
      <c r="H558">
        <v>3</v>
      </c>
      <c r="I558" t="s">
        <v>34</v>
      </c>
      <c r="J558">
        <v>769</v>
      </c>
      <c r="K558">
        <v>4</v>
      </c>
      <c r="L558" t="s">
        <v>41</v>
      </c>
      <c r="M558">
        <v>86</v>
      </c>
      <c r="N558">
        <v>3</v>
      </c>
      <c r="O558">
        <v>2</v>
      </c>
      <c r="P558" t="s">
        <v>45</v>
      </c>
      <c r="Q558">
        <v>4</v>
      </c>
      <c r="R558" t="s">
        <v>37</v>
      </c>
      <c r="S558">
        <v>2450</v>
      </c>
      <c r="T558">
        <v>10919</v>
      </c>
      <c r="U558">
        <v>2</v>
      </c>
      <c r="V558" t="s">
        <v>38</v>
      </c>
      <c r="W558">
        <v>17</v>
      </c>
      <c r="X558">
        <v>3</v>
      </c>
      <c r="Y558">
        <v>4</v>
      </c>
      <c r="Z558">
        <v>0</v>
      </c>
      <c r="AA558">
        <v>19</v>
      </c>
      <c r="AB558" t="str">
        <f>IF(Table2[[#This Row],[TotalWorkingYears]]&lt;=5,"Early (0-5)",IF(Table2[[#This Row],[TotalWorkingYears]]&lt;=15,"Mid (6-15)","Senior (16+)"))</f>
        <v>Senior (16+)</v>
      </c>
      <c r="AC558">
        <v>4</v>
      </c>
      <c r="AD558">
        <v>3</v>
      </c>
      <c r="AE558" t="s">
        <v>63</v>
      </c>
      <c r="AF558">
        <v>2</v>
      </c>
      <c r="AG558">
        <v>2</v>
      </c>
      <c r="AH558">
        <v>2</v>
      </c>
    </row>
    <row r="559" spans="1:34" x14ac:dyDescent="0.3">
      <c r="A559" t="s">
        <v>59</v>
      </c>
      <c r="B559">
        <v>0</v>
      </c>
      <c r="C559" t="s">
        <v>50</v>
      </c>
      <c r="D559">
        <v>1225</v>
      </c>
      <c r="E559" t="s">
        <v>40</v>
      </c>
      <c r="F559">
        <v>2</v>
      </c>
      <c r="G559" t="str">
        <f>IF(Table2[[#This Row],[DistanceFromHome]]&lt;=5, "short", IF(Table2[[#This Row],[DistanceFromHome]]&lt;=15, "medium", "long"))</f>
        <v>short</v>
      </c>
      <c r="H559">
        <v>4</v>
      </c>
      <c r="I559" t="s">
        <v>34</v>
      </c>
      <c r="J559">
        <v>771</v>
      </c>
      <c r="K559">
        <v>4</v>
      </c>
      <c r="L559" t="s">
        <v>35</v>
      </c>
      <c r="M559">
        <v>61</v>
      </c>
      <c r="N559">
        <v>3</v>
      </c>
      <c r="O559">
        <v>2</v>
      </c>
      <c r="P559" t="s">
        <v>49</v>
      </c>
      <c r="Q559">
        <v>1</v>
      </c>
      <c r="R559" t="s">
        <v>47</v>
      </c>
      <c r="S559">
        <v>5093</v>
      </c>
      <c r="T559">
        <v>4761</v>
      </c>
      <c r="U559">
        <v>2</v>
      </c>
      <c r="V559" t="s">
        <v>38</v>
      </c>
      <c r="W559">
        <v>11</v>
      </c>
      <c r="X559">
        <v>3</v>
      </c>
      <c r="Y559">
        <v>1</v>
      </c>
      <c r="Z559">
        <v>1</v>
      </c>
      <c r="AA559">
        <v>16</v>
      </c>
      <c r="AB559" t="str">
        <f>IF(Table2[[#This Row],[TotalWorkingYears]]&lt;=5,"Early (0-5)",IF(Table2[[#This Row],[TotalWorkingYears]]&lt;=15,"Mid (6-15)","Senior (16+)"))</f>
        <v>Senior (16+)</v>
      </c>
      <c r="AC559">
        <v>2</v>
      </c>
      <c r="AD559">
        <v>4</v>
      </c>
      <c r="AE559" t="s">
        <v>63</v>
      </c>
      <c r="AF559">
        <v>0</v>
      </c>
      <c r="AG559">
        <v>0</v>
      </c>
      <c r="AH559">
        <v>0</v>
      </c>
    </row>
    <row r="560" spans="1:34" x14ac:dyDescent="0.3">
      <c r="A560" t="s">
        <v>59</v>
      </c>
      <c r="B560">
        <v>0</v>
      </c>
      <c r="C560" t="s">
        <v>39</v>
      </c>
      <c r="D560">
        <v>430</v>
      </c>
      <c r="E560" t="s">
        <v>40</v>
      </c>
      <c r="F560">
        <v>24</v>
      </c>
      <c r="G560" t="str">
        <f>IF(Table2[[#This Row],[DistanceFromHome]]&lt;=5, "short", IF(Table2[[#This Row],[DistanceFromHome]]&lt;=15, "medium", "long"))</f>
        <v>long</v>
      </c>
      <c r="H560">
        <v>4</v>
      </c>
      <c r="I560" t="s">
        <v>34</v>
      </c>
      <c r="J560">
        <v>772</v>
      </c>
      <c r="K560">
        <v>1</v>
      </c>
      <c r="L560" t="s">
        <v>41</v>
      </c>
      <c r="M560">
        <v>80</v>
      </c>
      <c r="N560">
        <v>3</v>
      </c>
      <c r="O560">
        <v>2</v>
      </c>
      <c r="P560" t="s">
        <v>45</v>
      </c>
      <c r="Q560">
        <v>4</v>
      </c>
      <c r="R560" t="s">
        <v>43</v>
      </c>
      <c r="S560">
        <v>5309</v>
      </c>
      <c r="T560">
        <v>21146</v>
      </c>
      <c r="U560">
        <v>1</v>
      </c>
      <c r="V560" t="s">
        <v>38</v>
      </c>
      <c r="W560">
        <v>15</v>
      </c>
      <c r="X560">
        <v>3</v>
      </c>
      <c r="Y560">
        <v>4</v>
      </c>
      <c r="Z560">
        <v>2</v>
      </c>
      <c r="AA560">
        <v>10</v>
      </c>
      <c r="AB560" t="str">
        <f>IF(Table2[[#This Row],[TotalWorkingYears]]&lt;=5,"Early (0-5)",IF(Table2[[#This Row],[TotalWorkingYears]]&lt;=15,"Mid (6-15)","Senior (16+)"))</f>
        <v>Mid (6-15)</v>
      </c>
      <c r="AC560">
        <v>2</v>
      </c>
      <c r="AD560">
        <v>3</v>
      </c>
      <c r="AE560" t="s">
        <v>62</v>
      </c>
      <c r="AF560">
        <v>8</v>
      </c>
      <c r="AG560">
        <v>4</v>
      </c>
      <c r="AH560">
        <v>7</v>
      </c>
    </row>
    <row r="561" spans="1:34" x14ac:dyDescent="0.3">
      <c r="A561" t="s">
        <v>57</v>
      </c>
      <c r="B561">
        <v>0</v>
      </c>
      <c r="C561" t="s">
        <v>32</v>
      </c>
      <c r="D561">
        <v>268</v>
      </c>
      <c r="E561" t="s">
        <v>40</v>
      </c>
      <c r="F561">
        <v>2</v>
      </c>
      <c r="G561" t="str">
        <f>IF(Table2[[#This Row],[DistanceFromHome]]&lt;=5, "short", IF(Table2[[#This Row],[DistanceFromHome]]&lt;=15, "medium", "long"))</f>
        <v>short</v>
      </c>
      <c r="H561">
        <v>5</v>
      </c>
      <c r="I561" t="s">
        <v>46</v>
      </c>
      <c r="J561">
        <v>773</v>
      </c>
      <c r="K561">
        <v>4</v>
      </c>
      <c r="L561" t="s">
        <v>41</v>
      </c>
      <c r="M561">
        <v>92</v>
      </c>
      <c r="N561">
        <v>3</v>
      </c>
      <c r="O561">
        <v>1</v>
      </c>
      <c r="P561" t="s">
        <v>42</v>
      </c>
      <c r="Q561">
        <v>3</v>
      </c>
      <c r="R561" t="s">
        <v>43</v>
      </c>
      <c r="S561">
        <v>3057</v>
      </c>
      <c r="T561">
        <v>20471</v>
      </c>
      <c r="U561">
        <v>6</v>
      </c>
      <c r="V561" t="s">
        <v>31</v>
      </c>
      <c r="W561">
        <v>13</v>
      </c>
      <c r="X561">
        <v>3</v>
      </c>
      <c r="Y561">
        <v>2</v>
      </c>
      <c r="Z561">
        <v>1</v>
      </c>
      <c r="AA561">
        <v>6</v>
      </c>
      <c r="AB561" t="str">
        <f>IF(Table2[[#This Row],[TotalWorkingYears]]&lt;=5,"Early (0-5)",IF(Table2[[#This Row],[TotalWorkingYears]]&lt;=15,"Mid (6-15)","Senior (16+)"))</f>
        <v>Mid (6-15)</v>
      </c>
      <c r="AC561">
        <v>0</v>
      </c>
      <c r="AD561">
        <v>1</v>
      </c>
      <c r="AE561" t="s">
        <v>63</v>
      </c>
      <c r="AF561">
        <v>0</v>
      </c>
      <c r="AG561">
        <v>0</v>
      </c>
      <c r="AH561">
        <v>1</v>
      </c>
    </row>
    <row r="562" spans="1:34" x14ac:dyDescent="0.3">
      <c r="A562" t="s">
        <v>59</v>
      </c>
      <c r="B562">
        <v>0</v>
      </c>
      <c r="C562" t="s">
        <v>32</v>
      </c>
      <c r="D562">
        <v>167</v>
      </c>
      <c r="E562" t="s">
        <v>40</v>
      </c>
      <c r="F562">
        <v>8</v>
      </c>
      <c r="G562" t="str">
        <f>IF(Table2[[#This Row],[DistanceFromHome]]&lt;=5, "short", IF(Table2[[#This Row],[DistanceFromHome]]&lt;=15, "medium", "long"))</f>
        <v>medium</v>
      </c>
      <c r="H562">
        <v>5</v>
      </c>
      <c r="I562" t="s">
        <v>34</v>
      </c>
      <c r="J562">
        <v>775</v>
      </c>
      <c r="K562">
        <v>2</v>
      </c>
      <c r="L562" t="s">
        <v>35</v>
      </c>
      <c r="M562">
        <v>32</v>
      </c>
      <c r="N562">
        <v>3</v>
      </c>
      <c r="O562">
        <v>2</v>
      </c>
      <c r="P562" t="s">
        <v>48</v>
      </c>
      <c r="Q562">
        <v>1</v>
      </c>
      <c r="R562" t="s">
        <v>47</v>
      </c>
      <c r="S562">
        <v>5121</v>
      </c>
      <c r="T562">
        <v>4187</v>
      </c>
      <c r="U562">
        <v>3</v>
      </c>
      <c r="V562" t="s">
        <v>38</v>
      </c>
      <c r="W562">
        <v>14</v>
      </c>
      <c r="X562">
        <v>3</v>
      </c>
      <c r="Y562">
        <v>3</v>
      </c>
      <c r="Z562">
        <v>1</v>
      </c>
      <c r="AA562">
        <v>7</v>
      </c>
      <c r="AB562" t="str">
        <f>IF(Table2[[#This Row],[TotalWorkingYears]]&lt;=5,"Early (0-5)",IF(Table2[[#This Row],[TotalWorkingYears]]&lt;=15,"Mid (6-15)","Senior (16+)"))</f>
        <v>Mid (6-15)</v>
      </c>
      <c r="AC562">
        <v>3</v>
      </c>
      <c r="AD562">
        <v>3</v>
      </c>
      <c r="AE562" t="s">
        <v>63</v>
      </c>
      <c r="AF562">
        <v>0</v>
      </c>
      <c r="AG562">
        <v>0</v>
      </c>
      <c r="AH562">
        <v>0</v>
      </c>
    </row>
    <row r="563" spans="1:34" x14ac:dyDescent="0.3">
      <c r="A563" t="s">
        <v>58</v>
      </c>
      <c r="B563">
        <v>0</v>
      </c>
      <c r="C563" t="s">
        <v>32</v>
      </c>
      <c r="D563">
        <v>621</v>
      </c>
      <c r="E563" t="s">
        <v>33</v>
      </c>
      <c r="F563">
        <v>3</v>
      </c>
      <c r="G563" t="str">
        <f>IF(Table2[[#This Row],[DistanceFromHome]]&lt;=5, "short", IF(Table2[[#This Row],[DistanceFromHome]]&lt;=15, "medium", "long"))</f>
        <v>short</v>
      </c>
      <c r="H563">
        <v>4</v>
      </c>
      <c r="I563" t="s">
        <v>54</v>
      </c>
      <c r="J563">
        <v>776</v>
      </c>
      <c r="K563">
        <v>3</v>
      </c>
      <c r="L563" t="s">
        <v>41</v>
      </c>
      <c r="M563">
        <v>31</v>
      </c>
      <c r="N563">
        <v>2</v>
      </c>
      <c r="O563">
        <v>4</v>
      </c>
      <c r="P563" t="s">
        <v>51</v>
      </c>
      <c r="Q563">
        <v>1</v>
      </c>
      <c r="R563" t="s">
        <v>43</v>
      </c>
      <c r="S563">
        <v>16856</v>
      </c>
      <c r="T563">
        <v>10084</v>
      </c>
      <c r="U563">
        <v>1</v>
      </c>
      <c r="V563" t="s">
        <v>38</v>
      </c>
      <c r="W563">
        <v>11</v>
      </c>
      <c r="X563">
        <v>3</v>
      </c>
      <c r="Y563">
        <v>1</v>
      </c>
      <c r="Z563">
        <v>0</v>
      </c>
      <c r="AA563">
        <v>34</v>
      </c>
      <c r="AB563" t="str">
        <f>IF(Table2[[#This Row],[TotalWorkingYears]]&lt;=5,"Early (0-5)",IF(Table2[[#This Row],[TotalWorkingYears]]&lt;=15,"Mid (6-15)","Senior (16+)"))</f>
        <v>Senior (16+)</v>
      </c>
      <c r="AC563">
        <v>3</v>
      </c>
      <c r="AD563">
        <v>4</v>
      </c>
      <c r="AE563" t="s">
        <v>65</v>
      </c>
      <c r="AF563">
        <v>6</v>
      </c>
      <c r="AG563">
        <v>1</v>
      </c>
      <c r="AH563">
        <v>16</v>
      </c>
    </row>
    <row r="564" spans="1:34" x14ac:dyDescent="0.3">
      <c r="A564" t="s">
        <v>59</v>
      </c>
      <c r="B564">
        <v>1</v>
      </c>
      <c r="C564" t="s">
        <v>32</v>
      </c>
      <c r="D564">
        <v>527</v>
      </c>
      <c r="E564" t="s">
        <v>40</v>
      </c>
      <c r="F564">
        <v>1</v>
      </c>
      <c r="G564" t="str">
        <f>IF(Table2[[#This Row],[DistanceFromHome]]&lt;=5, "short", IF(Table2[[#This Row],[DistanceFromHome]]&lt;=15, "medium", "long"))</f>
        <v>short</v>
      </c>
      <c r="H564">
        <v>4</v>
      </c>
      <c r="I564" t="s">
        <v>44</v>
      </c>
      <c r="J564">
        <v>780</v>
      </c>
      <c r="K564">
        <v>4</v>
      </c>
      <c r="L564" t="s">
        <v>41</v>
      </c>
      <c r="M564">
        <v>63</v>
      </c>
      <c r="N564">
        <v>3</v>
      </c>
      <c r="O564">
        <v>1</v>
      </c>
      <c r="P564" t="s">
        <v>42</v>
      </c>
      <c r="Q564">
        <v>4</v>
      </c>
      <c r="R564" t="s">
        <v>37</v>
      </c>
      <c r="S564">
        <v>2686</v>
      </c>
      <c r="T564">
        <v>5207</v>
      </c>
      <c r="U564">
        <v>1</v>
      </c>
      <c r="V564" t="s">
        <v>31</v>
      </c>
      <c r="W564">
        <v>13</v>
      </c>
      <c r="X564">
        <v>3</v>
      </c>
      <c r="Y564">
        <v>3</v>
      </c>
      <c r="Z564">
        <v>0</v>
      </c>
      <c r="AA564">
        <v>10</v>
      </c>
      <c r="AB564" t="str">
        <f>IF(Table2[[#This Row],[TotalWorkingYears]]&lt;=5,"Early (0-5)",IF(Table2[[#This Row],[TotalWorkingYears]]&lt;=15,"Mid (6-15)","Senior (16+)"))</f>
        <v>Mid (6-15)</v>
      </c>
      <c r="AC564">
        <v>2</v>
      </c>
      <c r="AD564">
        <v>2</v>
      </c>
      <c r="AE564" t="s">
        <v>62</v>
      </c>
      <c r="AF564">
        <v>9</v>
      </c>
      <c r="AG564">
        <v>7</v>
      </c>
      <c r="AH564">
        <v>8</v>
      </c>
    </row>
    <row r="565" spans="1:34" x14ac:dyDescent="0.3">
      <c r="A565" t="s">
        <v>60</v>
      </c>
      <c r="B565">
        <v>0</v>
      </c>
      <c r="C565" t="s">
        <v>32</v>
      </c>
      <c r="D565">
        <v>883</v>
      </c>
      <c r="E565" t="s">
        <v>33</v>
      </c>
      <c r="F565">
        <v>26</v>
      </c>
      <c r="G565" t="str">
        <f>IF(Table2[[#This Row],[DistanceFromHome]]&lt;=5, "short", IF(Table2[[#This Row],[DistanceFromHome]]&lt;=15, "medium", "long"))</f>
        <v>long</v>
      </c>
      <c r="H565">
        <v>1</v>
      </c>
      <c r="I565" t="s">
        <v>46</v>
      </c>
      <c r="J565">
        <v>781</v>
      </c>
      <c r="K565">
        <v>3</v>
      </c>
      <c r="L565" t="s">
        <v>35</v>
      </c>
      <c r="M565">
        <v>32</v>
      </c>
      <c r="N565">
        <v>3</v>
      </c>
      <c r="O565">
        <v>2</v>
      </c>
      <c r="P565" t="s">
        <v>36</v>
      </c>
      <c r="Q565">
        <v>4</v>
      </c>
      <c r="R565" t="s">
        <v>37</v>
      </c>
      <c r="S565">
        <v>6180</v>
      </c>
      <c r="T565">
        <v>22807</v>
      </c>
      <c r="U565">
        <v>1</v>
      </c>
      <c r="V565" t="s">
        <v>38</v>
      </c>
      <c r="W565">
        <v>23</v>
      </c>
      <c r="X565">
        <v>4</v>
      </c>
      <c r="Y565">
        <v>2</v>
      </c>
      <c r="Z565">
        <v>0</v>
      </c>
      <c r="AA565">
        <v>6</v>
      </c>
      <c r="AB565" t="str">
        <f>IF(Table2[[#This Row],[TotalWorkingYears]]&lt;=5,"Early (0-5)",IF(Table2[[#This Row],[TotalWorkingYears]]&lt;=15,"Mid (6-15)","Senior (16+)"))</f>
        <v>Mid (6-15)</v>
      </c>
      <c r="AC565">
        <v>5</v>
      </c>
      <c r="AD565">
        <v>2</v>
      </c>
      <c r="AE565" t="s">
        <v>62</v>
      </c>
      <c r="AF565">
        <v>5</v>
      </c>
      <c r="AG565">
        <v>1</v>
      </c>
      <c r="AH565">
        <v>4</v>
      </c>
    </row>
    <row r="566" spans="1:34" x14ac:dyDescent="0.3">
      <c r="A566" t="s">
        <v>57</v>
      </c>
      <c r="B566">
        <v>0</v>
      </c>
      <c r="C566" t="s">
        <v>32</v>
      </c>
      <c r="D566">
        <v>954</v>
      </c>
      <c r="E566" t="s">
        <v>33</v>
      </c>
      <c r="F566">
        <v>2</v>
      </c>
      <c r="G566" t="str">
        <f>IF(Table2[[#This Row],[DistanceFromHome]]&lt;=5, "short", IF(Table2[[#This Row],[DistanceFromHome]]&lt;=15, "medium", "long"))</f>
        <v>short</v>
      </c>
      <c r="H566">
        <v>2</v>
      </c>
      <c r="I566" t="s">
        <v>55</v>
      </c>
      <c r="J566">
        <v>783</v>
      </c>
      <c r="K566">
        <v>2</v>
      </c>
      <c r="L566" t="s">
        <v>41</v>
      </c>
      <c r="M566">
        <v>46</v>
      </c>
      <c r="N566">
        <v>1</v>
      </c>
      <c r="O566">
        <v>2</v>
      </c>
      <c r="P566" t="s">
        <v>52</v>
      </c>
      <c r="Q566">
        <v>3</v>
      </c>
      <c r="R566" t="s">
        <v>37</v>
      </c>
      <c r="S566">
        <v>6632</v>
      </c>
      <c r="T566">
        <v>12388</v>
      </c>
      <c r="U566">
        <v>0</v>
      </c>
      <c r="V566" t="s">
        <v>38</v>
      </c>
      <c r="W566">
        <v>13</v>
      </c>
      <c r="X566">
        <v>3</v>
      </c>
      <c r="Y566">
        <v>1</v>
      </c>
      <c r="Z566">
        <v>0</v>
      </c>
      <c r="AA566">
        <v>9</v>
      </c>
      <c r="AB566" t="str">
        <f>IF(Table2[[#This Row],[TotalWorkingYears]]&lt;=5,"Early (0-5)",IF(Table2[[#This Row],[TotalWorkingYears]]&lt;=15,"Mid (6-15)","Senior (16+)"))</f>
        <v>Mid (6-15)</v>
      </c>
      <c r="AC566">
        <v>3</v>
      </c>
      <c r="AD566">
        <v>3</v>
      </c>
      <c r="AE566" t="s">
        <v>62</v>
      </c>
      <c r="AF566">
        <v>7</v>
      </c>
      <c r="AG566">
        <v>3</v>
      </c>
      <c r="AH566">
        <v>1</v>
      </c>
    </row>
    <row r="567" spans="1:34" x14ac:dyDescent="0.3">
      <c r="A567" t="s">
        <v>60</v>
      </c>
      <c r="B567">
        <v>0</v>
      </c>
      <c r="C567" t="s">
        <v>32</v>
      </c>
      <c r="D567">
        <v>310</v>
      </c>
      <c r="E567" t="s">
        <v>40</v>
      </c>
      <c r="F567">
        <v>10</v>
      </c>
      <c r="G567" t="str">
        <f>IF(Table2[[#This Row],[DistanceFromHome]]&lt;=5, "short", IF(Table2[[#This Row],[DistanceFromHome]]&lt;=15, "medium", "long"))</f>
        <v>medium</v>
      </c>
      <c r="H567">
        <v>1</v>
      </c>
      <c r="I567" t="s">
        <v>46</v>
      </c>
      <c r="J567">
        <v>784</v>
      </c>
      <c r="K567">
        <v>1</v>
      </c>
      <c r="L567" t="s">
        <v>41</v>
      </c>
      <c r="M567">
        <v>79</v>
      </c>
      <c r="N567">
        <v>4</v>
      </c>
      <c r="O567">
        <v>1</v>
      </c>
      <c r="P567" t="s">
        <v>42</v>
      </c>
      <c r="Q567">
        <v>3</v>
      </c>
      <c r="R567" t="s">
        <v>37</v>
      </c>
      <c r="S567">
        <v>3505</v>
      </c>
      <c r="T567">
        <v>19630</v>
      </c>
      <c r="U567">
        <v>1</v>
      </c>
      <c r="V567" t="s">
        <v>38</v>
      </c>
      <c r="W567">
        <v>18</v>
      </c>
      <c r="X567">
        <v>3</v>
      </c>
      <c r="Y567">
        <v>4</v>
      </c>
      <c r="Z567">
        <v>0</v>
      </c>
      <c r="AA567">
        <v>2</v>
      </c>
      <c r="AB567" t="str">
        <f>IF(Table2[[#This Row],[TotalWorkingYears]]&lt;=5,"Early (0-5)",IF(Table2[[#This Row],[TotalWorkingYears]]&lt;=15,"Mid (6-15)","Senior (16+)"))</f>
        <v>Early (0-5)</v>
      </c>
      <c r="AC567">
        <v>3</v>
      </c>
      <c r="AD567">
        <v>3</v>
      </c>
      <c r="AE567" t="s">
        <v>63</v>
      </c>
      <c r="AF567">
        <v>2</v>
      </c>
      <c r="AG567">
        <v>0</v>
      </c>
      <c r="AH567">
        <v>2</v>
      </c>
    </row>
    <row r="568" spans="1:34" x14ac:dyDescent="0.3">
      <c r="A568" t="s">
        <v>58</v>
      </c>
      <c r="B568">
        <v>1</v>
      </c>
      <c r="C568" t="s">
        <v>39</v>
      </c>
      <c r="D568">
        <v>719</v>
      </c>
      <c r="E568" t="s">
        <v>33</v>
      </c>
      <c r="F568">
        <v>27</v>
      </c>
      <c r="G568" t="str">
        <f>IF(Table2[[#This Row],[DistanceFromHome]]&lt;=5, "short", IF(Table2[[#This Row],[DistanceFromHome]]&lt;=15, "medium", "long"))</f>
        <v>long</v>
      </c>
      <c r="H568">
        <v>2</v>
      </c>
      <c r="I568" t="s">
        <v>34</v>
      </c>
      <c r="J568">
        <v>785</v>
      </c>
      <c r="K568">
        <v>2</v>
      </c>
      <c r="L568" t="s">
        <v>35</v>
      </c>
      <c r="M568">
        <v>77</v>
      </c>
      <c r="N568">
        <v>4</v>
      </c>
      <c r="O568">
        <v>2</v>
      </c>
      <c r="P568" t="s">
        <v>36</v>
      </c>
      <c r="Q568">
        <v>3</v>
      </c>
      <c r="R568" t="s">
        <v>37</v>
      </c>
      <c r="S568">
        <v>6397</v>
      </c>
      <c r="T568">
        <v>10339</v>
      </c>
      <c r="U568">
        <v>4</v>
      </c>
      <c r="V568" t="s">
        <v>31</v>
      </c>
      <c r="W568">
        <v>12</v>
      </c>
      <c r="X568">
        <v>3</v>
      </c>
      <c r="Y568">
        <v>4</v>
      </c>
      <c r="Z568">
        <v>0</v>
      </c>
      <c r="AA568">
        <v>8</v>
      </c>
      <c r="AB568" t="str">
        <f>IF(Table2[[#This Row],[TotalWorkingYears]]&lt;=5,"Early (0-5)",IF(Table2[[#This Row],[TotalWorkingYears]]&lt;=15,"Mid (6-15)","Senior (16+)"))</f>
        <v>Mid (6-15)</v>
      </c>
      <c r="AC568">
        <v>2</v>
      </c>
      <c r="AD568">
        <v>3</v>
      </c>
      <c r="AE568" t="s">
        <v>64</v>
      </c>
      <c r="AF568">
        <v>4</v>
      </c>
      <c r="AG568">
        <v>1</v>
      </c>
      <c r="AH568">
        <v>3</v>
      </c>
    </row>
    <row r="569" spans="1:34" x14ac:dyDescent="0.3">
      <c r="A569" t="s">
        <v>59</v>
      </c>
      <c r="B569">
        <v>0</v>
      </c>
      <c r="C569" t="s">
        <v>32</v>
      </c>
      <c r="D569">
        <v>304</v>
      </c>
      <c r="E569" t="s">
        <v>33</v>
      </c>
      <c r="F569">
        <v>2</v>
      </c>
      <c r="G569" t="str">
        <f>IF(Table2[[#This Row],[DistanceFromHome]]&lt;=5, "short", IF(Table2[[#This Row],[DistanceFromHome]]&lt;=15, "medium", "long"))</f>
        <v>short</v>
      </c>
      <c r="H569">
        <v>3</v>
      </c>
      <c r="I569" t="s">
        <v>44</v>
      </c>
      <c r="J569">
        <v>786</v>
      </c>
      <c r="K569">
        <v>4</v>
      </c>
      <c r="L569" t="s">
        <v>41</v>
      </c>
      <c r="M569">
        <v>60</v>
      </c>
      <c r="N569">
        <v>3</v>
      </c>
      <c r="O569">
        <v>2</v>
      </c>
      <c r="P569" t="s">
        <v>36</v>
      </c>
      <c r="Q569">
        <v>4</v>
      </c>
      <c r="R569" t="s">
        <v>37</v>
      </c>
      <c r="S569">
        <v>6274</v>
      </c>
      <c r="T569">
        <v>18686</v>
      </c>
      <c r="U569">
        <v>1</v>
      </c>
      <c r="V569" t="s">
        <v>38</v>
      </c>
      <c r="W569">
        <v>22</v>
      </c>
      <c r="X569">
        <v>4</v>
      </c>
      <c r="Y569">
        <v>3</v>
      </c>
      <c r="Z569">
        <v>0</v>
      </c>
      <c r="AA569">
        <v>6</v>
      </c>
      <c r="AB569" t="str">
        <f>IF(Table2[[#This Row],[TotalWorkingYears]]&lt;=5,"Early (0-5)",IF(Table2[[#This Row],[TotalWorkingYears]]&lt;=15,"Mid (6-15)","Senior (16+)"))</f>
        <v>Mid (6-15)</v>
      </c>
      <c r="AC569">
        <v>5</v>
      </c>
      <c r="AD569">
        <v>3</v>
      </c>
      <c r="AE569" t="s">
        <v>62</v>
      </c>
      <c r="AF569">
        <v>5</v>
      </c>
      <c r="AG569">
        <v>1</v>
      </c>
      <c r="AH569">
        <v>4</v>
      </c>
    </row>
    <row r="570" spans="1:34" x14ac:dyDescent="0.3">
      <c r="A570" t="s">
        <v>58</v>
      </c>
      <c r="B570">
        <v>1</v>
      </c>
      <c r="C570" t="s">
        <v>32</v>
      </c>
      <c r="D570">
        <v>725</v>
      </c>
      <c r="E570" t="s">
        <v>40</v>
      </c>
      <c r="F570">
        <v>2</v>
      </c>
      <c r="G570" t="str">
        <f>IF(Table2[[#This Row],[DistanceFromHome]]&lt;=5, "short", IF(Table2[[#This Row],[DistanceFromHome]]&lt;=15, "medium", "long"))</f>
        <v>short</v>
      </c>
      <c r="H570">
        <v>3</v>
      </c>
      <c r="I570" t="s">
        <v>46</v>
      </c>
      <c r="J570">
        <v>787</v>
      </c>
      <c r="K570">
        <v>4</v>
      </c>
      <c r="L570" t="s">
        <v>41</v>
      </c>
      <c r="M570">
        <v>78</v>
      </c>
      <c r="N570">
        <v>3</v>
      </c>
      <c r="O570">
        <v>5</v>
      </c>
      <c r="P570" t="s">
        <v>51</v>
      </c>
      <c r="Q570">
        <v>1</v>
      </c>
      <c r="R570" t="s">
        <v>43</v>
      </c>
      <c r="S570">
        <v>19859</v>
      </c>
      <c r="T570">
        <v>21199</v>
      </c>
      <c r="U570">
        <v>5</v>
      </c>
      <c r="V570" t="s">
        <v>31</v>
      </c>
      <c r="W570">
        <v>13</v>
      </c>
      <c r="X570">
        <v>3</v>
      </c>
      <c r="Y570">
        <v>4</v>
      </c>
      <c r="Z570">
        <v>1</v>
      </c>
      <c r="AA570">
        <v>24</v>
      </c>
      <c r="AB570" t="str">
        <f>IF(Table2[[#This Row],[TotalWorkingYears]]&lt;=5,"Early (0-5)",IF(Table2[[#This Row],[TotalWorkingYears]]&lt;=15,"Mid (6-15)","Senior (16+)"))</f>
        <v>Senior (16+)</v>
      </c>
      <c r="AC570">
        <v>2</v>
      </c>
      <c r="AD570">
        <v>3</v>
      </c>
      <c r="AE570" t="s">
        <v>64</v>
      </c>
      <c r="AF570">
        <v>2</v>
      </c>
      <c r="AG570">
        <v>1</v>
      </c>
      <c r="AH570">
        <v>4</v>
      </c>
    </row>
    <row r="571" spans="1:34" x14ac:dyDescent="0.3">
      <c r="A571" t="s">
        <v>57</v>
      </c>
      <c r="B571">
        <v>0</v>
      </c>
      <c r="C571" t="s">
        <v>50</v>
      </c>
      <c r="D571">
        <v>1434</v>
      </c>
      <c r="E571" t="s">
        <v>33</v>
      </c>
      <c r="F571">
        <v>8</v>
      </c>
      <c r="G571" t="str">
        <f>IF(Table2[[#This Row],[DistanceFromHome]]&lt;=5, "short", IF(Table2[[#This Row],[DistanceFromHome]]&lt;=15, "medium", "long"))</f>
        <v>medium</v>
      </c>
      <c r="H571">
        <v>4</v>
      </c>
      <c r="I571" t="s">
        <v>34</v>
      </c>
      <c r="J571">
        <v>789</v>
      </c>
      <c r="K571">
        <v>1</v>
      </c>
      <c r="L571" t="s">
        <v>41</v>
      </c>
      <c r="M571">
        <v>76</v>
      </c>
      <c r="N571">
        <v>2</v>
      </c>
      <c r="O571">
        <v>3</v>
      </c>
      <c r="P571" t="s">
        <v>36</v>
      </c>
      <c r="Q571">
        <v>1</v>
      </c>
      <c r="R571" t="s">
        <v>37</v>
      </c>
      <c r="S571">
        <v>7587</v>
      </c>
      <c r="T571">
        <v>14229</v>
      </c>
      <c r="U571">
        <v>1</v>
      </c>
      <c r="V571" t="s">
        <v>38</v>
      </c>
      <c r="W571">
        <v>15</v>
      </c>
      <c r="X571">
        <v>3</v>
      </c>
      <c r="Y571">
        <v>2</v>
      </c>
      <c r="Z571">
        <v>0</v>
      </c>
      <c r="AA571">
        <v>10</v>
      </c>
      <c r="AB571" t="str">
        <f>IF(Table2[[#This Row],[TotalWorkingYears]]&lt;=5,"Early (0-5)",IF(Table2[[#This Row],[TotalWorkingYears]]&lt;=15,"Mid (6-15)","Senior (16+)"))</f>
        <v>Mid (6-15)</v>
      </c>
      <c r="AC571">
        <v>1</v>
      </c>
      <c r="AD571">
        <v>3</v>
      </c>
      <c r="AE571" t="s">
        <v>62</v>
      </c>
      <c r="AF571">
        <v>7</v>
      </c>
      <c r="AG571">
        <v>0</v>
      </c>
      <c r="AH571">
        <v>9</v>
      </c>
    </row>
    <row r="572" spans="1:34" x14ac:dyDescent="0.3">
      <c r="A572" t="s">
        <v>58</v>
      </c>
      <c r="B572">
        <v>0</v>
      </c>
      <c r="C572" t="s">
        <v>50</v>
      </c>
      <c r="D572">
        <v>715</v>
      </c>
      <c r="E572" t="s">
        <v>40</v>
      </c>
      <c r="F572">
        <v>19</v>
      </c>
      <c r="G572" t="str">
        <f>IF(Table2[[#This Row],[DistanceFromHome]]&lt;=5, "short", IF(Table2[[#This Row],[DistanceFromHome]]&lt;=15, "medium", "long"))</f>
        <v>long</v>
      </c>
      <c r="H572">
        <v>4</v>
      </c>
      <c r="I572" t="s">
        <v>46</v>
      </c>
      <c r="J572">
        <v>791</v>
      </c>
      <c r="K572">
        <v>4</v>
      </c>
      <c r="L572" t="s">
        <v>41</v>
      </c>
      <c r="M572">
        <v>41</v>
      </c>
      <c r="N572">
        <v>3</v>
      </c>
      <c r="O572">
        <v>1</v>
      </c>
      <c r="P572" t="s">
        <v>42</v>
      </c>
      <c r="Q572">
        <v>4</v>
      </c>
      <c r="R572" t="s">
        <v>43</v>
      </c>
      <c r="S572">
        <v>4258</v>
      </c>
      <c r="T572">
        <v>26589</v>
      </c>
      <c r="U572">
        <v>0</v>
      </c>
      <c r="V572" t="s">
        <v>38</v>
      </c>
      <c r="W572">
        <v>18</v>
      </c>
      <c r="X572">
        <v>3</v>
      </c>
      <c r="Y572">
        <v>1</v>
      </c>
      <c r="Z572">
        <v>1</v>
      </c>
      <c r="AA572">
        <v>5</v>
      </c>
      <c r="AB572" t="str">
        <f>IF(Table2[[#This Row],[TotalWorkingYears]]&lt;=5,"Early (0-5)",IF(Table2[[#This Row],[TotalWorkingYears]]&lt;=15,"Mid (6-15)","Senior (16+)"))</f>
        <v>Early (0-5)</v>
      </c>
      <c r="AC572">
        <v>3</v>
      </c>
      <c r="AD572">
        <v>3</v>
      </c>
      <c r="AE572" t="s">
        <v>64</v>
      </c>
      <c r="AF572">
        <v>3</v>
      </c>
      <c r="AG572">
        <v>1</v>
      </c>
      <c r="AH572">
        <v>2</v>
      </c>
    </row>
    <row r="573" spans="1:34" x14ac:dyDescent="0.3">
      <c r="A573" t="s">
        <v>59</v>
      </c>
      <c r="B573">
        <v>0</v>
      </c>
      <c r="C573" t="s">
        <v>39</v>
      </c>
      <c r="D573">
        <v>575</v>
      </c>
      <c r="E573" t="s">
        <v>40</v>
      </c>
      <c r="F573">
        <v>1</v>
      </c>
      <c r="G573" t="str">
        <f>IF(Table2[[#This Row],[DistanceFromHome]]&lt;=5, "short", IF(Table2[[#This Row],[DistanceFromHome]]&lt;=15, "medium", "long"))</f>
        <v>short</v>
      </c>
      <c r="H573">
        <v>2</v>
      </c>
      <c r="I573" t="s">
        <v>34</v>
      </c>
      <c r="J573">
        <v>792</v>
      </c>
      <c r="K573">
        <v>1</v>
      </c>
      <c r="L573" t="s">
        <v>35</v>
      </c>
      <c r="M573">
        <v>71</v>
      </c>
      <c r="N573">
        <v>1</v>
      </c>
      <c r="O573">
        <v>1</v>
      </c>
      <c r="P573" t="s">
        <v>45</v>
      </c>
      <c r="Q573">
        <v>4</v>
      </c>
      <c r="R573" t="s">
        <v>47</v>
      </c>
      <c r="S573">
        <v>4364</v>
      </c>
      <c r="T573">
        <v>5288</v>
      </c>
      <c r="U573">
        <v>3</v>
      </c>
      <c r="V573" t="s">
        <v>38</v>
      </c>
      <c r="W573">
        <v>14</v>
      </c>
      <c r="X573">
        <v>3</v>
      </c>
      <c r="Y573">
        <v>1</v>
      </c>
      <c r="Z573">
        <v>1</v>
      </c>
      <c r="AA573">
        <v>5</v>
      </c>
      <c r="AB573" t="str">
        <f>IF(Table2[[#This Row],[TotalWorkingYears]]&lt;=5,"Early (0-5)",IF(Table2[[#This Row],[TotalWorkingYears]]&lt;=15,"Mid (6-15)","Senior (16+)"))</f>
        <v>Early (0-5)</v>
      </c>
      <c r="AC573">
        <v>2</v>
      </c>
      <c r="AD573">
        <v>3</v>
      </c>
      <c r="AE573" t="s">
        <v>63</v>
      </c>
      <c r="AF573">
        <v>2</v>
      </c>
      <c r="AG573">
        <v>2</v>
      </c>
      <c r="AH573">
        <v>0</v>
      </c>
    </row>
    <row r="574" spans="1:34" x14ac:dyDescent="0.3">
      <c r="A574" t="s">
        <v>59</v>
      </c>
      <c r="B574">
        <v>0</v>
      </c>
      <c r="C574" t="s">
        <v>32</v>
      </c>
      <c r="D574">
        <v>657</v>
      </c>
      <c r="E574" t="s">
        <v>40</v>
      </c>
      <c r="F574">
        <v>27</v>
      </c>
      <c r="G574" t="str">
        <f>IF(Table2[[#This Row],[DistanceFromHome]]&lt;=5, "short", IF(Table2[[#This Row],[DistanceFromHome]]&lt;=15, "medium", "long"))</f>
        <v>long</v>
      </c>
      <c r="H574">
        <v>3</v>
      </c>
      <c r="I574" t="s">
        <v>46</v>
      </c>
      <c r="J574">
        <v>793</v>
      </c>
      <c r="K574">
        <v>2</v>
      </c>
      <c r="L574" t="s">
        <v>35</v>
      </c>
      <c r="M574">
        <v>66</v>
      </c>
      <c r="N574">
        <v>3</v>
      </c>
      <c r="O574">
        <v>2</v>
      </c>
      <c r="P574" t="s">
        <v>49</v>
      </c>
      <c r="Q574">
        <v>3</v>
      </c>
      <c r="R574" t="s">
        <v>43</v>
      </c>
      <c r="S574">
        <v>4335</v>
      </c>
      <c r="T574">
        <v>25549</v>
      </c>
      <c r="U574">
        <v>4</v>
      </c>
      <c r="V574" t="s">
        <v>38</v>
      </c>
      <c r="W574">
        <v>12</v>
      </c>
      <c r="X574">
        <v>3</v>
      </c>
      <c r="Y574">
        <v>1</v>
      </c>
      <c r="Z574">
        <v>1</v>
      </c>
      <c r="AA574">
        <v>11</v>
      </c>
      <c r="AB574" t="str">
        <f>IF(Table2[[#This Row],[TotalWorkingYears]]&lt;=5,"Early (0-5)",IF(Table2[[#This Row],[TotalWorkingYears]]&lt;=15,"Mid (6-15)","Senior (16+)"))</f>
        <v>Mid (6-15)</v>
      </c>
      <c r="AC574">
        <v>3</v>
      </c>
      <c r="AD574">
        <v>2</v>
      </c>
      <c r="AE574" t="s">
        <v>62</v>
      </c>
      <c r="AF574">
        <v>7</v>
      </c>
      <c r="AG574">
        <v>1</v>
      </c>
      <c r="AH574">
        <v>1</v>
      </c>
    </row>
    <row r="575" spans="1:34" x14ac:dyDescent="0.3">
      <c r="A575" t="s">
        <v>59</v>
      </c>
      <c r="B575">
        <v>1</v>
      </c>
      <c r="C575" t="s">
        <v>32</v>
      </c>
      <c r="D575">
        <v>1146</v>
      </c>
      <c r="E575" t="s">
        <v>33</v>
      </c>
      <c r="F575">
        <v>8</v>
      </c>
      <c r="G575" t="str">
        <f>IF(Table2[[#This Row],[DistanceFromHome]]&lt;=5, "short", IF(Table2[[#This Row],[DistanceFromHome]]&lt;=15, "medium", "long"))</f>
        <v>medium</v>
      </c>
      <c r="H575">
        <v>3</v>
      </c>
      <c r="I575" t="s">
        <v>55</v>
      </c>
      <c r="J575">
        <v>796</v>
      </c>
      <c r="K575">
        <v>4</v>
      </c>
      <c r="L575" t="s">
        <v>41</v>
      </c>
      <c r="M575">
        <v>38</v>
      </c>
      <c r="N575">
        <v>2</v>
      </c>
      <c r="O575">
        <v>2</v>
      </c>
      <c r="P575" t="s">
        <v>36</v>
      </c>
      <c r="Q575">
        <v>1</v>
      </c>
      <c r="R575" t="s">
        <v>37</v>
      </c>
      <c r="S575">
        <v>5326</v>
      </c>
      <c r="T575">
        <v>3064</v>
      </c>
      <c r="U575">
        <v>6</v>
      </c>
      <c r="V575" t="s">
        <v>38</v>
      </c>
      <c r="W575">
        <v>17</v>
      </c>
      <c r="X575">
        <v>3</v>
      </c>
      <c r="Y575">
        <v>3</v>
      </c>
      <c r="Z575">
        <v>0</v>
      </c>
      <c r="AA575">
        <v>6</v>
      </c>
      <c r="AB575" t="str">
        <f>IF(Table2[[#This Row],[TotalWorkingYears]]&lt;=5,"Early (0-5)",IF(Table2[[#This Row],[TotalWorkingYears]]&lt;=15,"Mid (6-15)","Senior (16+)"))</f>
        <v>Mid (6-15)</v>
      </c>
      <c r="AC575">
        <v>2</v>
      </c>
      <c r="AD575">
        <v>2</v>
      </c>
      <c r="AE575" t="s">
        <v>64</v>
      </c>
      <c r="AF575">
        <v>3</v>
      </c>
      <c r="AG575">
        <v>1</v>
      </c>
      <c r="AH575">
        <v>2</v>
      </c>
    </row>
    <row r="576" spans="1:34" x14ac:dyDescent="0.3">
      <c r="A576" t="s">
        <v>59</v>
      </c>
      <c r="B576">
        <v>0</v>
      </c>
      <c r="C576" t="s">
        <v>32</v>
      </c>
      <c r="D576">
        <v>182</v>
      </c>
      <c r="E576" t="s">
        <v>40</v>
      </c>
      <c r="F576">
        <v>1</v>
      </c>
      <c r="G576" t="str">
        <f>IF(Table2[[#This Row],[DistanceFromHome]]&lt;=5, "short", IF(Table2[[#This Row],[DistanceFromHome]]&lt;=15, "medium", "long"))</f>
        <v>short</v>
      </c>
      <c r="H576">
        <v>4</v>
      </c>
      <c r="I576" t="s">
        <v>34</v>
      </c>
      <c r="J576">
        <v>797</v>
      </c>
      <c r="K576">
        <v>2</v>
      </c>
      <c r="L576" t="s">
        <v>35</v>
      </c>
      <c r="M576">
        <v>72</v>
      </c>
      <c r="N576">
        <v>4</v>
      </c>
      <c r="O576">
        <v>1</v>
      </c>
      <c r="P576" t="s">
        <v>42</v>
      </c>
      <c r="Q576">
        <v>4</v>
      </c>
      <c r="R576" t="s">
        <v>37</v>
      </c>
      <c r="S576">
        <v>3280</v>
      </c>
      <c r="T576">
        <v>13551</v>
      </c>
      <c r="U576">
        <v>2</v>
      </c>
      <c r="V576" t="s">
        <v>38</v>
      </c>
      <c r="W576">
        <v>16</v>
      </c>
      <c r="X576">
        <v>3</v>
      </c>
      <c r="Y576">
        <v>3</v>
      </c>
      <c r="Z576">
        <v>0</v>
      </c>
      <c r="AA576">
        <v>10</v>
      </c>
      <c r="AB576" t="str">
        <f>IF(Table2[[#This Row],[TotalWorkingYears]]&lt;=5,"Early (0-5)",IF(Table2[[#This Row],[TotalWorkingYears]]&lt;=15,"Mid (6-15)","Senior (16+)"))</f>
        <v>Mid (6-15)</v>
      </c>
      <c r="AC576">
        <v>2</v>
      </c>
      <c r="AD576">
        <v>3</v>
      </c>
      <c r="AE576" t="s">
        <v>64</v>
      </c>
      <c r="AF576">
        <v>2</v>
      </c>
      <c r="AG576">
        <v>1</v>
      </c>
      <c r="AH576">
        <v>3</v>
      </c>
    </row>
    <row r="577" spans="1:34" x14ac:dyDescent="0.3">
      <c r="A577" t="s">
        <v>58</v>
      </c>
      <c r="B577">
        <v>0</v>
      </c>
      <c r="C577" t="s">
        <v>32</v>
      </c>
      <c r="D577">
        <v>376</v>
      </c>
      <c r="E577" t="s">
        <v>40</v>
      </c>
      <c r="F577">
        <v>19</v>
      </c>
      <c r="G577" t="str">
        <f>IF(Table2[[#This Row],[DistanceFromHome]]&lt;=5, "short", IF(Table2[[#This Row],[DistanceFromHome]]&lt;=15, "medium", "long"))</f>
        <v>long</v>
      </c>
      <c r="H577">
        <v>4</v>
      </c>
      <c r="I577" t="s">
        <v>46</v>
      </c>
      <c r="J577">
        <v>799</v>
      </c>
      <c r="K577">
        <v>4</v>
      </c>
      <c r="L577" t="s">
        <v>35</v>
      </c>
      <c r="M577">
        <v>95</v>
      </c>
      <c r="N577">
        <v>3</v>
      </c>
      <c r="O577">
        <v>2</v>
      </c>
      <c r="P577" t="s">
        <v>48</v>
      </c>
      <c r="Q577">
        <v>1</v>
      </c>
      <c r="R577" t="s">
        <v>47</v>
      </c>
      <c r="S577">
        <v>5485</v>
      </c>
      <c r="T577">
        <v>22670</v>
      </c>
      <c r="U577">
        <v>9</v>
      </c>
      <c r="V577" t="s">
        <v>31</v>
      </c>
      <c r="W577">
        <v>11</v>
      </c>
      <c r="X577">
        <v>3</v>
      </c>
      <c r="Y577">
        <v>2</v>
      </c>
      <c r="Z577">
        <v>2</v>
      </c>
      <c r="AA577">
        <v>9</v>
      </c>
      <c r="AB577" t="str">
        <f>IF(Table2[[#This Row],[TotalWorkingYears]]&lt;=5,"Early (0-5)",IF(Table2[[#This Row],[TotalWorkingYears]]&lt;=15,"Mid (6-15)","Senior (16+)"))</f>
        <v>Mid (6-15)</v>
      </c>
      <c r="AC577">
        <v>4</v>
      </c>
      <c r="AD577">
        <v>3</v>
      </c>
      <c r="AE577" t="s">
        <v>64</v>
      </c>
      <c r="AF577">
        <v>3</v>
      </c>
      <c r="AG577">
        <v>1</v>
      </c>
      <c r="AH577">
        <v>4</v>
      </c>
    </row>
    <row r="578" spans="1:34" x14ac:dyDescent="0.3">
      <c r="A578" t="s">
        <v>59</v>
      </c>
      <c r="B578">
        <v>0</v>
      </c>
      <c r="C578" t="s">
        <v>39</v>
      </c>
      <c r="D578">
        <v>829</v>
      </c>
      <c r="E578" t="s">
        <v>33</v>
      </c>
      <c r="F578">
        <v>8</v>
      </c>
      <c r="G578" t="str">
        <f>IF(Table2[[#This Row],[DistanceFromHome]]&lt;=5, "short", IF(Table2[[#This Row],[DistanceFromHome]]&lt;=15, "medium", "long"))</f>
        <v>medium</v>
      </c>
      <c r="H578">
        <v>1</v>
      </c>
      <c r="I578" t="s">
        <v>54</v>
      </c>
      <c r="J578">
        <v>800</v>
      </c>
      <c r="K578">
        <v>3</v>
      </c>
      <c r="L578" t="s">
        <v>41</v>
      </c>
      <c r="M578">
        <v>84</v>
      </c>
      <c r="N578">
        <v>3</v>
      </c>
      <c r="O578">
        <v>2</v>
      </c>
      <c r="P578" t="s">
        <v>36</v>
      </c>
      <c r="Q578">
        <v>4</v>
      </c>
      <c r="R578" t="s">
        <v>43</v>
      </c>
      <c r="S578">
        <v>4342</v>
      </c>
      <c r="T578">
        <v>24008</v>
      </c>
      <c r="U578">
        <v>0</v>
      </c>
      <c r="V578" t="s">
        <v>38</v>
      </c>
      <c r="W578">
        <v>19</v>
      </c>
      <c r="X578">
        <v>3</v>
      </c>
      <c r="Y578">
        <v>2</v>
      </c>
      <c r="Z578">
        <v>1</v>
      </c>
      <c r="AA578">
        <v>5</v>
      </c>
      <c r="AB578" t="str">
        <f>IF(Table2[[#This Row],[TotalWorkingYears]]&lt;=5,"Early (0-5)",IF(Table2[[#This Row],[TotalWorkingYears]]&lt;=15,"Mid (6-15)","Senior (16+)"))</f>
        <v>Early (0-5)</v>
      </c>
      <c r="AC578">
        <v>3</v>
      </c>
      <c r="AD578">
        <v>3</v>
      </c>
      <c r="AE578" t="s">
        <v>64</v>
      </c>
      <c r="AF578">
        <v>2</v>
      </c>
      <c r="AG578">
        <v>1</v>
      </c>
      <c r="AH578">
        <v>1</v>
      </c>
    </row>
    <row r="579" spans="1:34" x14ac:dyDescent="0.3">
      <c r="A579" t="s">
        <v>57</v>
      </c>
      <c r="B579">
        <v>0</v>
      </c>
      <c r="C579" t="s">
        <v>32</v>
      </c>
      <c r="D579">
        <v>571</v>
      </c>
      <c r="E579" t="s">
        <v>40</v>
      </c>
      <c r="F579">
        <v>10</v>
      </c>
      <c r="G579" t="str">
        <f>IF(Table2[[#This Row],[DistanceFromHome]]&lt;=5, "short", IF(Table2[[#This Row],[DistanceFromHome]]&lt;=15, "medium", "long"))</f>
        <v>medium</v>
      </c>
      <c r="H579">
        <v>1</v>
      </c>
      <c r="I579" t="s">
        <v>34</v>
      </c>
      <c r="J579">
        <v>802</v>
      </c>
      <c r="K579">
        <v>4</v>
      </c>
      <c r="L579" t="s">
        <v>35</v>
      </c>
      <c r="M579">
        <v>82</v>
      </c>
      <c r="N579">
        <v>3</v>
      </c>
      <c r="O579">
        <v>1</v>
      </c>
      <c r="P579" t="s">
        <v>42</v>
      </c>
      <c r="Q579">
        <v>1</v>
      </c>
      <c r="R579" t="s">
        <v>47</v>
      </c>
      <c r="S579">
        <v>2782</v>
      </c>
      <c r="T579">
        <v>19905</v>
      </c>
      <c r="U579">
        <v>0</v>
      </c>
      <c r="V579" t="s">
        <v>31</v>
      </c>
      <c r="W579">
        <v>13</v>
      </c>
      <c r="X579">
        <v>3</v>
      </c>
      <c r="Y579">
        <v>2</v>
      </c>
      <c r="Z579">
        <v>2</v>
      </c>
      <c r="AA579">
        <v>6</v>
      </c>
      <c r="AB579" t="str">
        <f>IF(Table2[[#This Row],[TotalWorkingYears]]&lt;=5,"Early (0-5)",IF(Table2[[#This Row],[TotalWorkingYears]]&lt;=15,"Mid (6-15)","Senior (16+)"))</f>
        <v>Mid (6-15)</v>
      </c>
      <c r="AC579">
        <v>3</v>
      </c>
      <c r="AD579">
        <v>2</v>
      </c>
      <c r="AE579" t="s">
        <v>64</v>
      </c>
      <c r="AF579">
        <v>3</v>
      </c>
      <c r="AG579">
        <v>4</v>
      </c>
      <c r="AH579">
        <v>3</v>
      </c>
    </row>
    <row r="580" spans="1:34" x14ac:dyDescent="0.3">
      <c r="A580" t="s">
        <v>57</v>
      </c>
      <c r="B580">
        <v>0</v>
      </c>
      <c r="C580" t="s">
        <v>39</v>
      </c>
      <c r="D580">
        <v>240</v>
      </c>
      <c r="E580" t="s">
        <v>40</v>
      </c>
      <c r="F580">
        <v>2</v>
      </c>
      <c r="G580" t="str">
        <f>IF(Table2[[#This Row],[DistanceFromHome]]&lt;=5, "short", IF(Table2[[#This Row],[DistanceFromHome]]&lt;=15, "medium", "long"))</f>
        <v>short</v>
      </c>
      <c r="H580">
        <v>4</v>
      </c>
      <c r="I580" t="s">
        <v>34</v>
      </c>
      <c r="J580">
        <v>803</v>
      </c>
      <c r="K580">
        <v>1</v>
      </c>
      <c r="L580" t="s">
        <v>35</v>
      </c>
      <c r="M580">
        <v>75</v>
      </c>
      <c r="N580">
        <v>4</v>
      </c>
      <c r="O580">
        <v>2</v>
      </c>
      <c r="P580" t="s">
        <v>48</v>
      </c>
      <c r="Q580">
        <v>1</v>
      </c>
      <c r="R580" t="s">
        <v>37</v>
      </c>
      <c r="S580">
        <v>5980</v>
      </c>
      <c r="T580">
        <v>26085</v>
      </c>
      <c r="U580">
        <v>6</v>
      </c>
      <c r="V580" t="s">
        <v>31</v>
      </c>
      <c r="W580">
        <v>12</v>
      </c>
      <c r="X580">
        <v>3</v>
      </c>
      <c r="Y580">
        <v>4</v>
      </c>
      <c r="Z580">
        <v>0</v>
      </c>
      <c r="AA580">
        <v>17</v>
      </c>
      <c r="AB580" t="str">
        <f>IF(Table2[[#This Row],[TotalWorkingYears]]&lt;=5,"Early (0-5)",IF(Table2[[#This Row],[TotalWorkingYears]]&lt;=15,"Mid (6-15)","Senior (16+)"))</f>
        <v>Senior (16+)</v>
      </c>
      <c r="AC580">
        <v>2</v>
      </c>
      <c r="AD580">
        <v>3</v>
      </c>
      <c r="AE580" t="s">
        <v>65</v>
      </c>
      <c r="AF580">
        <v>7</v>
      </c>
      <c r="AG580">
        <v>4</v>
      </c>
      <c r="AH580">
        <v>12</v>
      </c>
    </row>
    <row r="581" spans="1:34" x14ac:dyDescent="0.3">
      <c r="A581" t="s">
        <v>59</v>
      </c>
      <c r="B581">
        <v>0</v>
      </c>
      <c r="C581" t="s">
        <v>32</v>
      </c>
      <c r="D581">
        <v>121</v>
      </c>
      <c r="E581" t="s">
        <v>40</v>
      </c>
      <c r="F581">
        <v>2</v>
      </c>
      <c r="G581" t="str">
        <f>IF(Table2[[#This Row],[DistanceFromHome]]&lt;=5, "short", IF(Table2[[#This Row],[DistanceFromHome]]&lt;=15, "medium", "long"))</f>
        <v>short</v>
      </c>
      <c r="H581">
        <v>4</v>
      </c>
      <c r="I581" t="s">
        <v>46</v>
      </c>
      <c r="J581">
        <v>804</v>
      </c>
      <c r="K581">
        <v>3</v>
      </c>
      <c r="L581" t="s">
        <v>35</v>
      </c>
      <c r="M581">
        <v>86</v>
      </c>
      <c r="N581">
        <v>2</v>
      </c>
      <c r="O581">
        <v>1</v>
      </c>
      <c r="P581" t="s">
        <v>42</v>
      </c>
      <c r="Q581">
        <v>1</v>
      </c>
      <c r="R581" t="s">
        <v>37</v>
      </c>
      <c r="S581">
        <v>4381</v>
      </c>
      <c r="T581">
        <v>7530</v>
      </c>
      <c r="U581">
        <v>1</v>
      </c>
      <c r="V581" t="s">
        <v>38</v>
      </c>
      <c r="W581">
        <v>11</v>
      </c>
      <c r="X581">
        <v>3</v>
      </c>
      <c r="Y581">
        <v>3</v>
      </c>
      <c r="Z581">
        <v>0</v>
      </c>
      <c r="AA581">
        <v>6</v>
      </c>
      <c r="AB581" t="str">
        <f>IF(Table2[[#This Row],[TotalWorkingYears]]&lt;=5,"Early (0-5)",IF(Table2[[#This Row],[TotalWorkingYears]]&lt;=15,"Mid (6-15)","Senior (16+)"))</f>
        <v>Mid (6-15)</v>
      </c>
      <c r="AC581">
        <v>3</v>
      </c>
      <c r="AD581">
        <v>3</v>
      </c>
      <c r="AE581" t="s">
        <v>62</v>
      </c>
      <c r="AF581">
        <v>5</v>
      </c>
      <c r="AG581">
        <v>1</v>
      </c>
      <c r="AH581">
        <v>3</v>
      </c>
    </row>
    <row r="582" spans="1:34" x14ac:dyDescent="0.3">
      <c r="A582" t="s">
        <v>59</v>
      </c>
      <c r="B582">
        <v>0</v>
      </c>
      <c r="C582" t="s">
        <v>32</v>
      </c>
      <c r="D582">
        <v>384</v>
      </c>
      <c r="E582" t="s">
        <v>33</v>
      </c>
      <c r="F582">
        <v>8</v>
      </c>
      <c r="G582" t="str">
        <f>IF(Table2[[#This Row],[DistanceFromHome]]&lt;=5, "short", IF(Table2[[#This Row],[DistanceFromHome]]&lt;=15, "medium", "long"))</f>
        <v>medium</v>
      </c>
      <c r="H582">
        <v>4</v>
      </c>
      <c r="I582" t="s">
        <v>34</v>
      </c>
      <c r="J582">
        <v>805</v>
      </c>
      <c r="K582">
        <v>1</v>
      </c>
      <c r="L582" t="s">
        <v>35</v>
      </c>
      <c r="M582">
        <v>72</v>
      </c>
      <c r="N582">
        <v>3</v>
      </c>
      <c r="O582">
        <v>1</v>
      </c>
      <c r="P582" t="s">
        <v>52</v>
      </c>
      <c r="Q582">
        <v>4</v>
      </c>
      <c r="R582" t="s">
        <v>43</v>
      </c>
      <c r="S582">
        <v>2572</v>
      </c>
      <c r="T582">
        <v>20317</v>
      </c>
      <c r="U582">
        <v>1</v>
      </c>
      <c r="V582" t="s">
        <v>38</v>
      </c>
      <c r="W582">
        <v>16</v>
      </c>
      <c r="X582">
        <v>3</v>
      </c>
      <c r="Y582">
        <v>2</v>
      </c>
      <c r="Z582">
        <v>1</v>
      </c>
      <c r="AA582">
        <v>3</v>
      </c>
      <c r="AB582" t="str">
        <f>IF(Table2[[#This Row],[TotalWorkingYears]]&lt;=5,"Early (0-5)",IF(Table2[[#This Row],[TotalWorkingYears]]&lt;=15,"Mid (6-15)","Senior (16+)"))</f>
        <v>Early (0-5)</v>
      </c>
      <c r="AC582">
        <v>1</v>
      </c>
      <c r="AD582">
        <v>2</v>
      </c>
      <c r="AE582" t="s">
        <v>64</v>
      </c>
      <c r="AF582">
        <v>2</v>
      </c>
      <c r="AG582">
        <v>0</v>
      </c>
      <c r="AH582">
        <v>2</v>
      </c>
    </row>
    <row r="583" spans="1:34" x14ac:dyDescent="0.3">
      <c r="A583" t="s">
        <v>59</v>
      </c>
      <c r="B583">
        <v>0</v>
      </c>
      <c r="C583" t="s">
        <v>32</v>
      </c>
      <c r="D583">
        <v>921</v>
      </c>
      <c r="E583" t="s">
        <v>40</v>
      </c>
      <c r="F583">
        <v>1</v>
      </c>
      <c r="G583" t="str">
        <f>IF(Table2[[#This Row],[DistanceFromHome]]&lt;=5, "short", IF(Table2[[#This Row],[DistanceFromHome]]&lt;=15, "medium", "long"))</f>
        <v>short</v>
      </c>
      <c r="H583">
        <v>3</v>
      </c>
      <c r="I583" t="s">
        <v>34</v>
      </c>
      <c r="J583">
        <v>806</v>
      </c>
      <c r="K583">
        <v>4</v>
      </c>
      <c r="L583" t="s">
        <v>41</v>
      </c>
      <c r="M583">
        <v>38</v>
      </c>
      <c r="N583">
        <v>1</v>
      </c>
      <c r="O583">
        <v>1</v>
      </c>
      <c r="P583" t="s">
        <v>45</v>
      </c>
      <c r="Q583">
        <v>3</v>
      </c>
      <c r="R583" t="s">
        <v>43</v>
      </c>
      <c r="S583">
        <v>3833</v>
      </c>
      <c r="T583">
        <v>24375</v>
      </c>
      <c r="U583">
        <v>3</v>
      </c>
      <c r="V583" t="s">
        <v>38</v>
      </c>
      <c r="W583">
        <v>21</v>
      </c>
      <c r="X583">
        <v>4</v>
      </c>
      <c r="Y583">
        <v>3</v>
      </c>
      <c r="Z583">
        <v>2</v>
      </c>
      <c r="AA583">
        <v>7</v>
      </c>
      <c r="AB583" t="str">
        <f>IF(Table2[[#This Row],[TotalWorkingYears]]&lt;=5,"Early (0-5)",IF(Table2[[#This Row],[TotalWorkingYears]]&lt;=15,"Mid (6-15)","Senior (16+)"))</f>
        <v>Mid (6-15)</v>
      </c>
      <c r="AC583">
        <v>2</v>
      </c>
      <c r="AD583">
        <v>3</v>
      </c>
      <c r="AE583" t="s">
        <v>63</v>
      </c>
      <c r="AF583">
        <v>2</v>
      </c>
      <c r="AG583">
        <v>0</v>
      </c>
      <c r="AH583">
        <v>2</v>
      </c>
    </row>
    <row r="584" spans="1:34" x14ac:dyDescent="0.3">
      <c r="A584" t="s">
        <v>57</v>
      </c>
      <c r="B584">
        <v>0</v>
      </c>
      <c r="C584" t="s">
        <v>39</v>
      </c>
      <c r="D584">
        <v>791</v>
      </c>
      <c r="E584" t="s">
        <v>40</v>
      </c>
      <c r="F584">
        <v>2</v>
      </c>
      <c r="G584" t="str">
        <f>IF(Table2[[#This Row],[DistanceFromHome]]&lt;=5, "short", IF(Table2[[#This Row],[DistanceFromHome]]&lt;=15, "medium", "long"))</f>
        <v>short</v>
      </c>
      <c r="H584">
        <v>2</v>
      </c>
      <c r="I584" t="s">
        <v>46</v>
      </c>
      <c r="J584">
        <v>807</v>
      </c>
      <c r="K584">
        <v>3</v>
      </c>
      <c r="L584" t="s">
        <v>35</v>
      </c>
      <c r="M584">
        <v>38</v>
      </c>
      <c r="N584">
        <v>4</v>
      </c>
      <c r="O584">
        <v>2</v>
      </c>
      <c r="P584" t="s">
        <v>49</v>
      </c>
      <c r="Q584">
        <v>2</v>
      </c>
      <c r="R584" t="s">
        <v>43</v>
      </c>
      <c r="S584">
        <v>4244</v>
      </c>
      <c r="T584">
        <v>9931</v>
      </c>
      <c r="U584">
        <v>1</v>
      </c>
      <c r="V584" t="s">
        <v>38</v>
      </c>
      <c r="W584">
        <v>24</v>
      </c>
      <c r="X584">
        <v>4</v>
      </c>
      <c r="Y584">
        <v>4</v>
      </c>
      <c r="Z584">
        <v>1</v>
      </c>
      <c r="AA584">
        <v>8</v>
      </c>
      <c r="AB584" t="str">
        <f>IF(Table2[[#This Row],[TotalWorkingYears]]&lt;=5,"Early (0-5)",IF(Table2[[#This Row],[TotalWorkingYears]]&lt;=15,"Mid (6-15)","Senior (16+)"))</f>
        <v>Mid (6-15)</v>
      </c>
      <c r="AC584">
        <v>2</v>
      </c>
      <c r="AD584">
        <v>3</v>
      </c>
      <c r="AE584" t="s">
        <v>62</v>
      </c>
      <c r="AF584">
        <v>7</v>
      </c>
      <c r="AG584">
        <v>3</v>
      </c>
      <c r="AH584">
        <v>7</v>
      </c>
    </row>
    <row r="585" spans="1:34" x14ac:dyDescent="0.3">
      <c r="A585" t="s">
        <v>59</v>
      </c>
      <c r="B585">
        <v>0</v>
      </c>
      <c r="C585" t="s">
        <v>32</v>
      </c>
      <c r="D585">
        <v>1111</v>
      </c>
      <c r="E585" t="s">
        <v>33</v>
      </c>
      <c r="F585">
        <v>8</v>
      </c>
      <c r="G585" t="str">
        <f>IF(Table2[[#This Row],[DistanceFromHome]]&lt;=5, "short", IF(Table2[[#This Row],[DistanceFromHome]]&lt;=15, "medium", "long"))</f>
        <v>medium</v>
      </c>
      <c r="H585">
        <v>2</v>
      </c>
      <c r="I585" t="s">
        <v>34</v>
      </c>
      <c r="J585">
        <v>808</v>
      </c>
      <c r="K585">
        <v>3</v>
      </c>
      <c r="L585" t="s">
        <v>35</v>
      </c>
      <c r="M585">
        <v>93</v>
      </c>
      <c r="N585">
        <v>3</v>
      </c>
      <c r="O585">
        <v>2</v>
      </c>
      <c r="P585" t="s">
        <v>36</v>
      </c>
      <c r="Q585">
        <v>1</v>
      </c>
      <c r="R585" t="s">
        <v>43</v>
      </c>
      <c r="S585">
        <v>6500</v>
      </c>
      <c r="T585">
        <v>13305</v>
      </c>
      <c r="U585">
        <v>5</v>
      </c>
      <c r="V585" t="s">
        <v>38</v>
      </c>
      <c r="W585">
        <v>17</v>
      </c>
      <c r="X585">
        <v>3</v>
      </c>
      <c r="Y585">
        <v>2</v>
      </c>
      <c r="Z585">
        <v>1</v>
      </c>
      <c r="AA585">
        <v>6</v>
      </c>
      <c r="AB585" t="str">
        <f>IF(Table2[[#This Row],[TotalWorkingYears]]&lt;=5,"Early (0-5)",IF(Table2[[#This Row],[TotalWorkingYears]]&lt;=15,"Mid (6-15)","Senior (16+)"))</f>
        <v>Mid (6-15)</v>
      </c>
      <c r="AC585">
        <v>1</v>
      </c>
      <c r="AD585">
        <v>3</v>
      </c>
      <c r="AE585" t="s">
        <v>64</v>
      </c>
      <c r="AF585">
        <v>2</v>
      </c>
      <c r="AG585">
        <v>1</v>
      </c>
      <c r="AH585">
        <v>2</v>
      </c>
    </row>
    <row r="586" spans="1:34" x14ac:dyDescent="0.3">
      <c r="A586" t="s">
        <v>57</v>
      </c>
      <c r="B586">
        <v>0</v>
      </c>
      <c r="C586" t="s">
        <v>39</v>
      </c>
      <c r="D586">
        <v>570</v>
      </c>
      <c r="E586" t="s">
        <v>40</v>
      </c>
      <c r="F586">
        <v>8</v>
      </c>
      <c r="G586" t="str">
        <f>IF(Table2[[#This Row],[DistanceFromHome]]&lt;=5, "short", IF(Table2[[#This Row],[DistanceFromHome]]&lt;=15, "medium", "long"))</f>
        <v>medium</v>
      </c>
      <c r="H586">
        <v>3</v>
      </c>
      <c r="I586" t="s">
        <v>34</v>
      </c>
      <c r="J586">
        <v>809</v>
      </c>
      <c r="K586">
        <v>2</v>
      </c>
      <c r="L586" t="s">
        <v>41</v>
      </c>
      <c r="M586">
        <v>66</v>
      </c>
      <c r="N586">
        <v>3</v>
      </c>
      <c r="O586">
        <v>5</v>
      </c>
      <c r="P586" t="s">
        <v>51</v>
      </c>
      <c r="Q586">
        <v>4</v>
      </c>
      <c r="R586" t="s">
        <v>47</v>
      </c>
      <c r="S586">
        <v>18430</v>
      </c>
      <c r="T586">
        <v>16225</v>
      </c>
      <c r="U586">
        <v>1</v>
      </c>
      <c r="V586" t="s">
        <v>38</v>
      </c>
      <c r="W586">
        <v>13</v>
      </c>
      <c r="X586">
        <v>3</v>
      </c>
      <c r="Y586">
        <v>2</v>
      </c>
      <c r="Z586">
        <v>1</v>
      </c>
      <c r="AA586">
        <v>24</v>
      </c>
      <c r="AB586" t="str">
        <f>IF(Table2[[#This Row],[TotalWorkingYears]]&lt;=5,"Early (0-5)",IF(Table2[[#This Row],[TotalWorkingYears]]&lt;=15,"Mid (6-15)","Senior (16+)"))</f>
        <v>Senior (16+)</v>
      </c>
      <c r="AC586">
        <v>4</v>
      </c>
      <c r="AD586">
        <v>2</v>
      </c>
      <c r="AE586" t="s">
        <v>65</v>
      </c>
      <c r="AF586">
        <v>7</v>
      </c>
      <c r="AG586">
        <v>14</v>
      </c>
      <c r="AH586">
        <v>9</v>
      </c>
    </row>
    <row r="587" spans="1:34" x14ac:dyDescent="0.3">
      <c r="A587" t="s">
        <v>60</v>
      </c>
      <c r="B587">
        <v>1</v>
      </c>
      <c r="C587" t="s">
        <v>32</v>
      </c>
      <c r="D587">
        <v>1243</v>
      </c>
      <c r="E587" t="s">
        <v>40</v>
      </c>
      <c r="F587">
        <v>6</v>
      </c>
      <c r="G587" t="str">
        <f>IF(Table2[[#This Row],[DistanceFromHome]]&lt;=5, "short", IF(Table2[[#This Row],[DistanceFromHome]]&lt;=15, "medium", "long"))</f>
        <v>medium</v>
      </c>
      <c r="H587">
        <v>3</v>
      </c>
      <c r="I587" t="s">
        <v>34</v>
      </c>
      <c r="J587">
        <v>811</v>
      </c>
      <c r="K587">
        <v>3</v>
      </c>
      <c r="L587" t="s">
        <v>41</v>
      </c>
      <c r="M587">
        <v>63</v>
      </c>
      <c r="N587">
        <v>4</v>
      </c>
      <c r="O587">
        <v>1</v>
      </c>
      <c r="P587" t="s">
        <v>45</v>
      </c>
      <c r="Q587">
        <v>1</v>
      </c>
      <c r="R587" t="s">
        <v>43</v>
      </c>
      <c r="S587">
        <v>1601</v>
      </c>
      <c r="T587">
        <v>3445</v>
      </c>
      <c r="U587">
        <v>1</v>
      </c>
      <c r="V587" t="s">
        <v>31</v>
      </c>
      <c r="W587">
        <v>21</v>
      </c>
      <c r="X587">
        <v>4</v>
      </c>
      <c r="Y587">
        <v>3</v>
      </c>
      <c r="Z587">
        <v>2</v>
      </c>
      <c r="AA587">
        <v>1</v>
      </c>
      <c r="AB587" t="str">
        <f>IF(Table2[[#This Row],[TotalWorkingYears]]&lt;=5,"Early (0-5)",IF(Table2[[#This Row],[TotalWorkingYears]]&lt;=15,"Mid (6-15)","Senior (16+)"))</f>
        <v>Early (0-5)</v>
      </c>
      <c r="AC587">
        <v>2</v>
      </c>
      <c r="AD587">
        <v>3</v>
      </c>
      <c r="AE587" t="s">
        <v>63</v>
      </c>
      <c r="AF587">
        <v>0</v>
      </c>
      <c r="AG587">
        <v>0</v>
      </c>
      <c r="AH587">
        <v>0</v>
      </c>
    </row>
    <row r="588" spans="1:34" x14ac:dyDescent="0.3">
      <c r="A588" t="s">
        <v>60</v>
      </c>
      <c r="B588">
        <v>0</v>
      </c>
      <c r="C588" t="s">
        <v>50</v>
      </c>
      <c r="D588">
        <v>1092</v>
      </c>
      <c r="E588" t="s">
        <v>40</v>
      </c>
      <c r="F588">
        <v>9</v>
      </c>
      <c r="G588" t="str">
        <f>IF(Table2[[#This Row],[DistanceFromHome]]&lt;=5, "short", IF(Table2[[#This Row],[DistanceFromHome]]&lt;=15, "medium", "long"))</f>
        <v>medium</v>
      </c>
      <c r="H588">
        <v>3</v>
      </c>
      <c r="I588" t="s">
        <v>34</v>
      </c>
      <c r="J588">
        <v>812</v>
      </c>
      <c r="K588">
        <v>3</v>
      </c>
      <c r="L588" t="s">
        <v>41</v>
      </c>
      <c r="M588">
        <v>60</v>
      </c>
      <c r="N588">
        <v>2</v>
      </c>
      <c r="O588">
        <v>1</v>
      </c>
      <c r="P588" t="s">
        <v>45</v>
      </c>
      <c r="Q588">
        <v>2</v>
      </c>
      <c r="R588" t="s">
        <v>47</v>
      </c>
      <c r="S588">
        <v>2694</v>
      </c>
      <c r="T588">
        <v>26551</v>
      </c>
      <c r="U588">
        <v>1</v>
      </c>
      <c r="V588" t="s">
        <v>38</v>
      </c>
      <c r="W588">
        <v>11</v>
      </c>
      <c r="X588">
        <v>3</v>
      </c>
      <c r="Y588">
        <v>3</v>
      </c>
      <c r="Z588">
        <v>3</v>
      </c>
      <c r="AA588">
        <v>1</v>
      </c>
      <c r="AB588" t="str">
        <f>IF(Table2[[#This Row],[TotalWorkingYears]]&lt;=5,"Early (0-5)",IF(Table2[[#This Row],[TotalWorkingYears]]&lt;=15,"Mid (6-15)","Senior (16+)"))</f>
        <v>Early (0-5)</v>
      </c>
      <c r="AC588">
        <v>4</v>
      </c>
      <c r="AD588">
        <v>3</v>
      </c>
      <c r="AE588" t="s">
        <v>63</v>
      </c>
      <c r="AF588">
        <v>0</v>
      </c>
      <c r="AG588">
        <v>0</v>
      </c>
      <c r="AH588">
        <v>0</v>
      </c>
    </row>
    <row r="589" spans="1:34" x14ac:dyDescent="0.3">
      <c r="A589" t="s">
        <v>58</v>
      </c>
      <c r="B589">
        <v>0</v>
      </c>
      <c r="C589" t="s">
        <v>32</v>
      </c>
      <c r="D589">
        <v>1325</v>
      </c>
      <c r="E589" t="s">
        <v>40</v>
      </c>
      <c r="F589">
        <v>11</v>
      </c>
      <c r="G589" t="str">
        <f>IF(Table2[[#This Row],[DistanceFromHome]]&lt;=5, "short", IF(Table2[[#This Row],[DistanceFromHome]]&lt;=15, "medium", "long"))</f>
        <v>medium</v>
      </c>
      <c r="H589">
        <v>4</v>
      </c>
      <c r="I589" t="s">
        <v>34</v>
      </c>
      <c r="J589">
        <v>813</v>
      </c>
      <c r="K589">
        <v>4</v>
      </c>
      <c r="L589" t="s">
        <v>35</v>
      </c>
      <c r="M589">
        <v>82</v>
      </c>
      <c r="N589">
        <v>3</v>
      </c>
      <c r="O589">
        <v>2</v>
      </c>
      <c r="P589" t="s">
        <v>45</v>
      </c>
      <c r="Q589">
        <v>3</v>
      </c>
      <c r="R589" t="s">
        <v>43</v>
      </c>
      <c r="S589">
        <v>3149</v>
      </c>
      <c r="T589">
        <v>21821</v>
      </c>
      <c r="U589">
        <v>8</v>
      </c>
      <c r="V589" t="s">
        <v>38</v>
      </c>
      <c r="W589">
        <v>20</v>
      </c>
      <c r="X589">
        <v>4</v>
      </c>
      <c r="Y589">
        <v>2</v>
      </c>
      <c r="Z589">
        <v>1</v>
      </c>
      <c r="AA589">
        <v>9</v>
      </c>
      <c r="AB589" t="str">
        <f>IF(Table2[[#This Row],[TotalWorkingYears]]&lt;=5,"Early (0-5)",IF(Table2[[#This Row],[TotalWorkingYears]]&lt;=15,"Mid (6-15)","Senior (16+)"))</f>
        <v>Mid (6-15)</v>
      </c>
      <c r="AC589">
        <v>3</v>
      </c>
      <c r="AD589">
        <v>3</v>
      </c>
      <c r="AE589" t="s">
        <v>64</v>
      </c>
      <c r="AF589">
        <v>2</v>
      </c>
      <c r="AG589">
        <v>1</v>
      </c>
      <c r="AH589">
        <v>4</v>
      </c>
    </row>
    <row r="590" spans="1:34" x14ac:dyDescent="0.3">
      <c r="A590" t="s">
        <v>58</v>
      </c>
      <c r="B590">
        <v>0</v>
      </c>
      <c r="C590" t="s">
        <v>32</v>
      </c>
      <c r="D590">
        <v>691</v>
      </c>
      <c r="E590" t="s">
        <v>40</v>
      </c>
      <c r="F590">
        <v>2</v>
      </c>
      <c r="G590" t="str">
        <f>IF(Table2[[#This Row],[DistanceFromHome]]&lt;=5, "short", IF(Table2[[#This Row],[DistanceFromHome]]&lt;=15, "medium", "long"))</f>
        <v>short</v>
      </c>
      <c r="H590">
        <v>3</v>
      </c>
      <c r="I590" t="s">
        <v>46</v>
      </c>
      <c r="J590">
        <v>815</v>
      </c>
      <c r="K590">
        <v>3</v>
      </c>
      <c r="L590" t="s">
        <v>41</v>
      </c>
      <c r="M590">
        <v>64</v>
      </c>
      <c r="N590">
        <v>3</v>
      </c>
      <c r="O590">
        <v>4</v>
      </c>
      <c r="P590" t="s">
        <v>53</v>
      </c>
      <c r="Q590">
        <v>3</v>
      </c>
      <c r="R590" t="s">
        <v>43</v>
      </c>
      <c r="S590">
        <v>17639</v>
      </c>
      <c r="T590">
        <v>6881</v>
      </c>
      <c r="U590">
        <v>5</v>
      </c>
      <c r="V590" t="s">
        <v>38</v>
      </c>
      <c r="W590">
        <v>16</v>
      </c>
      <c r="X590">
        <v>3</v>
      </c>
      <c r="Y590">
        <v>4</v>
      </c>
      <c r="Z590">
        <v>0</v>
      </c>
      <c r="AA590">
        <v>30</v>
      </c>
      <c r="AB590" t="str">
        <f>IF(Table2[[#This Row],[TotalWorkingYears]]&lt;=5,"Early (0-5)",IF(Table2[[#This Row],[TotalWorkingYears]]&lt;=15,"Mid (6-15)","Senior (16+)"))</f>
        <v>Senior (16+)</v>
      </c>
      <c r="AC590">
        <v>3</v>
      </c>
      <c r="AD590">
        <v>3</v>
      </c>
      <c r="AE590" t="s">
        <v>64</v>
      </c>
      <c r="AF590">
        <v>3</v>
      </c>
      <c r="AG590">
        <v>0</v>
      </c>
      <c r="AH590">
        <v>3</v>
      </c>
    </row>
    <row r="591" spans="1:34" x14ac:dyDescent="0.3">
      <c r="A591" t="s">
        <v>59</v>
      </c>
      <c r="B591">
        <v>1</v>
      </c>
      <c r="C591" t="s">
        <v>32</v>
      </c>
      <c r="D591">
        <v>805</v>
      </c>
      <c r="E591" t="s">
        <v>40</v>
      </c>
      <c r="F591">
        <v>1</v>
      </c>
      <c r="G591" t="str">
        <f>IF(Table2[[#This Row],[DistanceFromHome]]&lt;=5, "short", IF(Table2[[#This Row],[DistanceFromHome]]&lt;=15, "medium", "long"))</f>
        <v>short</v>
      </c>
      <c r="H591">
        <v>2</v>
      </c>
      <c r="I591" t="s">
        <v>34</v>
      </c>
      <c r="J591">
        <v>816</v>
      </c>
      <c r="K591">
        <v>2</v>
      </c>
      <c r="L591" t="s">
        <v>35</v>
      </c>
      <c r="M591">
        <v>36</v>
      </c>
      <c r="N591">
        <v>2</v>
      </c>
      <c r="O591">
        <v>1</v>
      </c>
      <c r="P591" t="s">
        <v>45</v>
      </c>
      <c r="Q591">
        <v>1</v>
      </c>
      <c r="R591" t="s">
        <v>43</v>
      </c>
      <c r="S591">
        <v>2319</v>
      </c>
      <c r="T591">
        <v>6689</v>
      </c>
      <c r="U591">
        <v>1</v>
      </c>
      <c r="V591" t="s">
        <v>31</v>
      </c>
      <c r="W591">
        <v>11</v>
      </c>
      <c r="X591">
        <v>3</v>
      </c>
      <c r="Y591">
        <v>4</v>
      </c>
      <c r="Z591">
        <v>1</v>
      </c>
      <c r="AA591">
        <v>1</v>
      </c>
      <c r="AB591" t="str">
        <f>IF(Table2[[#This Row],[TotalWorkingYears]]&lt;=5,"Early (0-5)",IF(Table2[[#This Row],[TotalWorkingYears]]&lt;=15,"Mid (6-15)","Senior (16+)"))</f>
        <v>Early (0-5)</v>
      </c>
      <c r="AC591">
        <v>1</v>
      </c>
      <c r="AD591">
        <v>3</v>
      </c>
      <c r="AE591" t="s">
        <v>63</v>
      </c>
      <c r="AF591">
        <v>0</v>
      </c>
      <c r="AG591">
        <v>0</v>
      </c>
      <c r="AH591">
        <v>0</v>
      </c>
    </row>
    <row r="592" spans="1:34" x14ac:dyDescent="0.3">
      <c r="A592" t="s">
        <v>59</v>
      </c>
      <c r="B592">
        <v>0</v>
      </c>
      <c r="C592" t="s">
        <v>32</v>
      </c>
      <c r="D592">
        <v>213</v>
      </c>
      <c r="E592" t="s">
        <v>40</v>
      </c>
      <c r="F592">
        <v>7</v>
      </c>
      <c r="G592" t="str">
        <f>IF(Table2[[#This Row],[DistanceFromHome]]&lt;=5, "short", IF(Table2[[#This Row],[DistanceFromHome]]&lt;=15, "medium", "long"))</f>
        <v>medium</v>
      </c>
      <c r="H592">
        <v>3</v>
      </c>
      <c r="I592" t="s">
        <v>46</v>
      </c>
      <c r="J592">
        <v>817</v>
      </c>
      <c r="K592">
        <v>3</v>
      </c>
      <c r="L592" t="s">
        <v>41</v>
      </c>
      <c r="M592">
        <v>49</v>
      </c>
      <c r="N592">
        <v>3</v>
      </c>
      <c r="O592">
        <v>3</v>
      </c>
      <c r="P592" t="s">
        <v>53</v>
      </c>
      <c r="Q592">
        <v>3</v>
      </c>
      <c r="R592" t="s">
        <v>43</v>
      </c>
      <c r="S592">
        <v>11691</v>
      </c>
      <c r="T592">
        <v>25995</v>
      </c>
      <c r="U592">
        <v>0</v>
      </c>
      <c r="V592" t="s">
        <v>38</v>
      </c>
      <c r="W592">
        <v>11</v>
      </c>
      <c r="X592">
        <v>3</v>
      </c>
      <c r="Y592">
        <v>4</v>
      </c>
      <c r="Z592">
        <v>0</v>
      </c>
      <c r="AA592">
        <v>14</v>
      </c>
      <c r="AB592" t="str">
        <f>IF(Table2[[#This Row],[TotalWorkingYears]]&lt;=5,"Early (0-5)",IF(Table2[[#This Row],[TotalWorkingYears]]&lt;=15,"Mid (6-15)","Senior (16+)"))</f>
        <v>Mid (6-15)</v>
      </c>
      <c r="AC592">
        <v>3</v>
      </c>
      <c r="AD592">
        <v>4</v>
      </c>
      <c r="AE592" t="s">
        <v>65</v>
      </c>
      <c r="AF592">
        <v>9</v>
      </c>
      <c r="AG592">
        <v>3</v>
      </c>
      <c r="AH592">
        <v>7</v>
      </c>
    </row>
    <row r="593" spans="1:34" x14ac:dyDescent="0.3">
      <c r="A593" t="s">
        <v>59</v>
      </c>
      <c r="B593">
        <v>1</v>
      </c>
      <c r="C593" t="s">
        <v>32</v>
      </c>
      <c r="D593">
        <v>118</v>
      </c>
      <c r="E593" t="s">
        <v>33</v>
      </c>
      <c r="F593">
        <v>16</v>
      </c>
      <c r="G593" t="str">
        <f>IF(Table2[[#This Row],[DistanceFromHome]]&lt;=5, "short", IF(Table2[[#This Row],[DistanceFromHome]]&lt;=15, "medium", "long"))</f>
        <v>long</v>
      </c>
      <c r="H593">
        <v>3</v>
      </c>
      <c r="I593" t="s">
        <v>54</v>
      </c>
      <c r="J593">
        <v>819</v>
      </c>
      <c r="K593">
        <v>1</v>
      </c>
      <c r="L593" t="s">
        <v>35</v>
      </c>
      <c r="M593">
        <v>69</v>
      </c>
      <c r="N593">
        <v>3</v>
      </c>
      <c r="O593">
        <v>2</v>
      </c>
      <c r="P593" t="s">
        <v>36</v>
      </c>
      <c r="Q593">
        <v>1</v>
      </c>
      <c r="R593" t="s">
        <v>37</v>
      </c>
      <c r="S593">
        <v>5324</v>
      </c>
      <c r="T593">
        <v>26507</v>
      </c>
      <c r="U593">
        <v>5</v>
      </c>
      <c r="V593" t="s">
        <v>38</v>
      </c>
      <c r="W593">
        <v>15</v>
      </c>
      <c r="X593">
        <v>3</v>
      </c>
      <c r="Y593">
        <v>3</v>
      </c>
      <c r="Z593">
        <v>0</v>
      </c>
      <c r="AA593">
        <v>6</v>
      </c>
      <c r="AB593" t="str">
        <f>IF(Table2[[#This Row],[TotalWorkingYears]]&lt;=5,"Early (0-5)",IF(Table2[[#This Row],[TotalWorkingYears]]&lt;=15,"Mid (6-15)","Senior (16+)"))</f>
        <v>Mid (6-15)</v>
      </c>
      <c r="AC593">
        <v>3</v>
      </c>
      <c r="AD593">
        <v>3</v>
      </c>
      <c r="AE593" t="s">
        <v>64</v>
      </c>
      <c r="AF593">
        <v>2</v>
      </c>
      <c r="AG593">
        <v>0</v>
      </c>
      <c r="AH593">
        <v>2</v>
      </c>
    </row>
    <row r="594" spans="1:34" x14ac:dyDescent="0.3">
      <c r="A594" t="s">
        <v>58</v>
      </c>
      <c r="B594">
        <v>0</v>
      </c>
      <c r="C594" t="s">
        <v>32</v>
      </c>
      <c r="D594">
        <v>202</v>
      </c>
      <c r="E594" t="s">
        <v>40</v>
      </c>
      <c r="F594">
        <v>2</v>
      </c>
      <c r="G594" t="str">
        <f>IF(Table2[[#This Row],[DistanceFromHome]]&lt;=5, "short", IF(Table2[[#This Row],[DistanceFromHome]]&lt;=15, "medium", "long"))</f>
        <v>short</v>
      </c>
      <c r="H594">
        <v>2</v>
      </c>
      <c r="I594" t="s">
        <v>44</v>
      </c>
      <c r="J594">
        <v>820</v>
      </c>
      <c r="K594">
        <v>3</v>
      </c>
      <c r="L594" t="s">
        <v>35</v>
      </c>
      <c r="M594">
        <v>33</v>
      </c>
      <c r="N594">
        <v>3</v>
      </c>
      <c r="O594">
        <v>4</v>
      </c>
      <c r="P594" t="s">
        <v>51</v>
      </c>
      <c r="Q594">
        <v>4</v>
      </c>
      <c r="R594" t="s">
        <v>43</v>
      </c>
      <c r="S594">
        <v>16752</v>
      </c>
      <c r="T594">
        <v>12982</v>
      </c>
      <c r="U594">
        <v>1</v>
      </c>
      <c r="V594" t="s">
        <v>31</v>
      </c>
      <c r="W594">
        <v>11</v>
      </c>
      <c r="X594">
        <v>3</v>
      </c>
      <c r="Y594">
        <v>3</v>
      </c>
      <c r="Z594">
        <v>1</v>
      </c>
      <c r="AA594">
        <v>26</v>
      </c>
      <c r="AB594" t="str">
        <f>IF(Table2[[#This Row],[TotalWorkingYears]]&lt;=5,"Early (0-5)",IF(Table2[[#This Row],[TotalWorkingYears]]&lt;=15,"Mid (6-15)","Senior (16+)"))</f>
        <v>Senior (16+)</v>
      </c>
      <c r="AC594">
        <v>3</v>
      </c>
      <c r="AD594">
        <v>2</v>
      </c>
      <c r="AE594" t="s">
        <v>65</v>
      </c>
      <c r="AF594">
        <v>14</v>
      </c>
      <c r="AG594">
        <v>3</v>
      </c>
      <c r="AH594">
        <v>0</v>
      </c>
    </row>
    <row r="595" spans="1:34" x14ac:dyDescent="0.3">
      <c r="A595" t="s">
        <v>57</v>
      </c>
      <c r="B595">
        <v>0</v>
      </c>
      <c r="C595" t="s">
        <v>32</v>
      </c>
      <c r="D595">
        <v>676</v>
      </c>
      <c r="E595" t="s">
        <v>40</v>
      </c>
      <c r="F595">
        <v>1</v>
      </c>
      <c r="G595" t="str">
        <f>IF(Table2[[#This Row],[DistanceFromHome]]&lt;=5, "short", IF(Table2[[#This Row],[DistanceFromHome]]&lt;=15, "medium", "long"))</f>
        <v>short</v>
      </c>
      <c r="H595">
        <v>3</v>
      </c>
      <c r="I595" t="s">
        <v>44</v>
      </c>
      <c r="J595">
        <v>823</v>
      </c>
      <c r="K595">
        <v>3</v>
      </c>
      <c r="L595" t="s">
        <v>35</v>
      </c>
      <c r="M595">
        <v>35</v>
      </c>
      <c r="N595">
        <v>3</v>
      </c>
      <c r="O595">
        <v>2</v>
      </c>
      <c r="P595" t="s">
        <v>48</v>
      </c>
      <c r="Q595">
        <v>2</v>
      </c>
      <c r="R595" t="s">
        <v>43</v>
      </c>
      <c r="S595">
        <v>5228</v>
      </c>
      <c r="T595">
        <v>23361</v>
      </c>
      <c r="U595">
        <v>0</v>
      </c>
      <c r="V595" t="s">
        <v>38</v>
      </c>
      <c r="W595">
        <v>15</v>
      </c>
      <c r="X595">
        <v>3</v>
      </c>
      <c r="Y595">
        <v>1</v>
      </c>
      <c r="Z595">
        <v>1</v>
      </c>
      <c r="AA595">
        <v>10</v>
      </c>
      <c r="AB595" t="str">
        <f>IF(Table2[[#This Row],[TotalWorkingYears]]&lt;=5,"Early (0-5)",IF(Table2[[#This Row],[TotalWorkingYears]]&lt;=15,"Mid (6-15)","Senior (16+)"))</f>
        <v>Mid (6-15)</v>
      </c>
      <c r="AC595">
        <v>2</v>
      </c>
      <c r="AD595">
        <v>3</v>
      </c>
      <c r="AE595" t="s">
        <v>62</v>
      </c>
      <c r="AF595">
        <v>7</v>
      </c>
      <c r="AG595">
        <v>0</v>
      </c>
      <c r="AH595">
        <v>5</v>
      </c>
    </row>
    <row r="596" spans="1:34" x14ac:dyDescent="0.3">
      <c r="A596" t="s">
        <v>59</v>
      </c>
      <c r="B596">
        <v>0</v>
      </c>
      <c r="C596" t="s">
        <v>32</v>
      </c>
      <c r="D596">
        <v>1252</v>
      </c>
      <c r="E596" t="s">
        <v>40</v>
      </c>
      <c r="F596">
        <v>23</v>
      </c>
      <c r="G596" t="str">
        <f>IF(Table2[[#This Row],[DistanceFromHome]]&lt;=5, "short", IF(Table2[[#This Row],[DistanceFromHome]]&lt;=15, "medium", "long"))</f>
        <v>long</v>
      </c>
      <c r="H596">
        <v>2</v>
      </c>
      <c r="I596" t="s">
        <v>34</v>
      </c>
      <c r="J596">
        <v>824</v>
      </c>
      <c r="K596">
        <v>3</v>
      </c>
      <c r="L596" t="s">
        <v>41</v>
      </c>
      <c r="M596">
        <v>81</v>
      </c>
      <c r="N596">
        <v>4</v>
      </c>
      <c r="O596">
        <v>1</v>
      </c>
      <c r="P596" t="s">
        <v>42</v>
      </c>
      <c r="Q596">
        <v>3</v>
      </c>
      <c r="R596" t="s">
        <v>43</v>
      </c>
      <c r="S596">
        <v>2700</v>
      </c>
      <c r="T596">
        <v>23779</v>
      </c>
      <c r="U596">
        <v>1</v>
      </c>
      <c r="V596" t="s">
        <v>38</v>
      </c>
      <c r="W596">
        <v>24</v>
      </c>
      <c r="X596">
        <v>4</v>
      </c>
      <c r="Y596">
        <v>3</v>
      </c>
      <c r="Z596">
        <v>1</v>
      </c>
      <c r="AA596">
        <v>10</v>
      </c>
      <c r="AB596" t="str">
        <f>IF(Table2[[#This Row],[TotalWorkingYears]]&lt;=5,"Early (0-5)",IF(Table2[[#This Row],[TotalWorkingYears]]&lt;=15,"Mid (6-15)","Senior (16+)"))</f>
        <v>Mid (6-15)</v>
      </c>
      <c r="AC596">
        <v>3</v>
      </c>
      <c r="AD596">
        <v>3</v>
      </c>
      <c r="AE596" t="s">
        <v>62</v>
      </c>
      <c r="AF596">
        <v>7</v>
      </c>
      <c r="AG596">
        <v>0</v>
      </c>
      <c r="AH596">
        <v>7</v>
      </c>
    </row>
    <row r="597" spans="1:34" x14ac:dyDescent="0.3">
      <c r="A597" t="s">
        <v>58</v>
      </c>
      <c r="B597">
        <v>1</v>
      </c>
      <c r="C597" t="s">
        <v>32</v>
      </c>
      <c r="D597">
        <v>286</v>
      </c>
      <c r="E597" t="s">
        <v>40</v>
      </c>
      <c r="F597">
        <v>2</v>
      </c>
      <c r="G597" t="str">
        <f>IF(Table2[[#This Row],[DistanceFromHome]]&lt;=5, "short", IF(Table2[[#This Row],[DistanceFromHome]]&lt;=15, "medium", "long"))</f>
        <v>short</v>
      </c>
      <c r="H597">
        <v>4</v>
      </c>
      <c r="I597" t="s">
        <v>34</v>
      </c>
      <c r="J597">
        <v>825</v>
      </c>
      <c r="K597">
        <v>4</v>
      </c>
      <c r="L597" t="s">
        <v>41</v>
      </c>
      <c r="M597">
        <v>31</v>
      </c>
      <c r="N597">
        <v>3</v>
      </c>
      <c r="O597">
        <v>5</v>
      </c>
      <c r="P597" t="s">
        <v>53</v>
      </c>
      <c r="Q597">
        <v>2</v>
      </c>
      <c r="R597" t="s">
        <v>37</v>
      </c>
      <c r="S597">
        <v>19246</v>
      </c>
      <c r="T597">
        <v>25761</v>
      </c>
      <c r="U597">
        <v>7</v>
      </c>
      <c r="V597" t="s">
        <v>31</v>
      </c>
      <c r="W597">
        <v>12</v>
      </c>
      <c r="X597">
        <v>3</v>
      </c>
      <c r="Y597">
        <v>4</v>
      </c>
      <c r="Z597">
        <v>0</v>
      </c>
      <c r="AA597">
        <v>40</v>
      </c>
      <c r="AB597" t="str">
        <f>IF(Table2[[#This Row],[TotalWorkingYears]]&lt;=5,"Early (0-5)",IF(Table2[[#This Row],[TotalWorkingYears]]&lt;=15,"Mid (6-15)","Senior (16+)"))</f>
        <v>Senior (16+)</v>
      </c>
      <c r="AC597">
        <v>2</v>
      </c>
      <c r="AD597">
        <v>3</v>
      </c>
      <c r="AE597" t="s">
        <v>65</v>
      </c>
      <c r="AF597">
        <v>15</v>
      </c>
      <c r="AG597">
        <v>13</v>
      </c>
      <c r="AH597">
        <v>8</v>
      </c>
    </row>
    <row r="598" spans="1:34" x14ac:dyDescent="0.3">
      <c r="A598" t="s">
        <v>59</v>
      </c>
      <c r="B598">
        <v>0</v>
      </c>
      <c r="C598" t="s">
        <v>32</v>
      </c>
      <c r="D598">
        <v>1258</v>
      </c>
      <c r="E598" t="s">
        <v>40</v>
      </c>
      <c r="F598">
        <v>1</v>
      </c>
      <c r="G598" t="str">
        <f>IF(Table2[[#This Row],[DistanceFromHome]]&lt;=5, "short", IF(Table2[[#This Row],[DistanceFromHome]]&lt;=15, "medium", "long"))</f>
        <v>short</v>
      </c>
      <c r="H598">
        <v>4</v>
      </c>
      <c r="I598" t="s">
        <v>34</v>
      </c>
      <c r="J598">
        <v>826</v>
      </c>
      <c r="K598">
        <v>4</v>
      </c>
      <c r="L598" t="s">
        <v>35</v>
      </c>
      <c r="M598">
        <v>40</v>
      </c>
      <c r="N598">
        <v>4</v>
      </c>
      <c r="O598">
        <v>1</v>
      </c>
      <c r="P598" t="s">
        <v>42</v>
      </c>
      <c r="Q598">
        <v>3</v>
      </c>
      <c r="R598" t="s">
        <v>37</v>
      </c>
      <c r="S598">
        <v>2506</v>
      </c>
      <c r="T598">
        <v>13301</v>
      </c>
      <c r="U598">
        <v>3</v>
      </c>
      <c r="V598" t="s">
        <v>38</v>
      </c>
      <c r="W598">
        <v>13</v>
      </c>
      <c r="X598">
        <v>3</v>
      </c>
      <c r="Y598">
        <v>3</v>
      </c>
      <c r="Z598">
        <v>0</v>
      </c>
      <c r="AA598">
        <v>7</v>
      </c>
      <c r="AB598" t="str">
        <f>IF(Table2[[#This Row],[TotalWorkingYears]]&lt;=5,"Early (0-5)",IF(Table2[[#This Row],[TotalWorkingYears]]&lt;=15,"Mid (6-15)","Senior (16+)"))</f>
        <v>Mid (6-15)</v>
      </c>
      <c r="AC598">
        <v>0</v>
      </c>
      <c r="AD598">
        <v>3</v>
      </c>
      <c r="AE598" t="s">
        <v>63</v>
      </c>
      <c r="AF598">
        <v>2</v>
      </c>
      <c r="AG598">
        <v>2</v>
      </c>
      <c r="AH598">
        <v>2</v>
      </c>
    </row>
    <row r="599" spans="1:34" x14ac:dyDescent="0.3">
      <c r="A599" t="s">
        <v>57</v>
      </c>
      <c r="B599">
        <v>0</v>
      </c>
      <c r="C599" t="s">
        <v>32</v>
      </c>
      <c r="D599">
        <v>932</v>
      </c>
      <c r="E599" t="s">
        <v>40</v>
      </c>
      <c r="F599">
        <v>1</v>
      </c>
      <c r="G599" t="str">
        <f>IF(Table2[[#This Row],[DistanceFromHome]]&lt;=5, "short", IF(Table2[[#This Row],[DistanceFromHome]]&lt;=15, "medium", "long"))</f>
        <v>short</v>
      </c>
      <c r="H599">
        <v>2</v>
      </c>
      <c r="I599" t="s">
        <v>34</v>
      </c>
      <c r="J599">
        <v>827</v>
      </c>
      <c r="K599">
        <v>4</v>
      </c>
      <c r="L599" t="s">
        <v>35</v>
      </c>
      <c r="M599">
        <v>43</v>
      </c>
      <c r="N599">
        <v>2</v>
      </c>
      <c r="O599">
        <v>2</v>
      </c>
      <c r="P599" t="s">
        <v>48</v>
      </c>
      <c r="Q599">
        <v>4</v>
      </c>
      <c r="R599" t="s">
        <v>43</v>
      </c>
      <c r="S599">
        <v>6062</v>
      </c>
      <c r="T599">
        <v>4051</v>
      </c>
      <c r="U599">
        <v>9</v>
      </c>
      <c r="V599" t="s">
        <v>31</v>
      </c>
      <c r="W599">
        <v>13</v>
      </c>
      <c r="X599">
        <v>3</v>
      </c>
      <c r="Y599">
        <v>4</v>
      </c>
      <c r="Z599">
        <v>1</v>
      </c>
      <c r="AA599">
        <v>8</v>
      </c>
      <c r="AB599" t="str">
        <f>IF(Table2[[#This Row],[TotalWorkingYears]]&lt;=5,"Early (0-5)",IF(Table2[[#This Row],[TotalWorkingYears]]&lt;=15,"Mid (6-15)","Senior (16+)"))</f>
        <v>Mid (6-15)</v>
      </c>
      <c r="AC599">
        <v>4</v>
      </c>
      <c r="AD599">
        <v>3</v>
      </c>
      <c r="AE599" t="s">
        <v>64</v>
      </c>
      <c r="AF599">
        <v>3</v>
      </c>
      <c r="AG599">
        <v>0</v>
      </c>
      <c r="AH599">
        <v>2</v>
      </c>
    </row>
    <row r="600" spans="1:34" x14ac:dyDescent="0.3">
      <c r="A600" t="s">
        <v>59</v>
      </c>
      <c r="B600">
        <v>1</v>
      </c>
      <c r="C600" t="s">
        <v>32</v>
      </c>
      <c r="D600">
        <v>890</v>
      </c>
      <c r="E600" t="s">
        <v>40</v>
      </c>
      <c r="F600">
        <v>2</v>
      </c>
      <c r="G600" t="str">
        <f>IF(Table2[[#This Row],[DistanceFromHome]]&lt;=5, "short", IF(Table2[[#This Row],[DistanceFromHome]]&lt;=15, "medium", "long"))</f>
        <v>short</v>
      </c>
      <c r="H600">
        <v>4</v>
      </c>
      <c r="I600" t="s">
        <v>46</v>
      </c>
      <c r="J600">
        <v>828</v>
      </c>
      <c r="K600">
        <v>3</v>
      </c>
      <c r="L600" t="s">
        <v>41</v>
      </c>
      <c r="M600">
        <v>46</v>
      </c>
      <c r="N600">
        <v>3</v>
      </c>
      <c r="O600">
        <v>1</v>
      </c>
      <c r="P600" t="s">
        <v>42</v>
      </c>
      <c r="Q600">
        <v>3</v>
      </c>
      <c r="R600" t="s">
        <v>37</v>
      </c>
      <c r="S600">
        <v>4382</v>
      </c>
      <c r="T600">
        <v>16374</v>
      </c>
      <c r="U600">
        <v>6</v>
      </c>
      <c r="V600" t="s">
        <v>38</v>
      </c>
      <c r="W600">
        <v>17</v>
      </c>
      <c r="X600">
        <v>3</v>
      </c>
      <c r="Y600">
        <v>4</v>
      </c>
      <c r="Z600">
        <v>0</v>
      </c>
      <c r="AA600">
        <v>5</v>
      </c>
      <c r="AB600" t="str">
        <f>IF(Table2[[#This Row],[TotalWorkingYears]]&lt;=5,"Early (0-5)",IF(Table2[[#This Row],[TotalWorkingYears]]&lt;=15,"Mid (6-15)","Senior (16+)"))</f>
        <v>Early (0-5)</v>
      </c>
      <c r="AC600">
        <v>3</v>
      </c>
      <c r="AD600">
        <v>2</v>
      </c>
      <c r="AE600" t="s">
        <v>63</v>
      </c>
      <c r="AF600">
        <v>2</v>
      </c>
      <c r="AG600">
        <v>2</v>
      </c>
      <c r="AH600">
        <v>1</v>
      </c>
    </row>
    <row r="601" spans="1:34" x14ac:dyDescent="0.3">
      <c r="A601" t="s">
        <v>57</v>
      </c>
      <c r="B601">
        <v>0</v>
      </c>
      <c r="C601" t="s">
        <v>32</v>
      </c>
      <c r="D601">
        <v>1041</v>
      </c>
      <c r="E601" t="s">
        <v>56</v>
      </c>
      <c r="F601">
        <v>13</v>
      </c>
      <c r="G601" t="str">
        <f>IF(Table2[[#This Row],[DistanceFromHome]]&lt;=5, "short", IF(Table2[[#This Row],[DistanceFromHome]]&lt;=15, "medium", "long"))</f>
        <v>medium</v>
      </c>
      <c r="H601">
        <v>3</v>
      </c>
      <c r="I601" t="s">
        <v>56</v>
      </c>
      <c r="J601">
        <v>829</v>
      </c>
      <c r="K601">
        <v>3</v>
      </c>
      <c r="L601" t="s">
        <v>41</v>
      </c>
      <c r="M601">
        <v>36</v>
      </c>
      <c r="N601">
        <v>3</v>
      </c>
      <c r="O601">
        <v>1</v>
      </c>
      <c r="P601" t="s">
        <v>56</v>
      </c>
      <c r="Q601">
        <v>2</v>
      </c>
      <c r="R601" t="s">
        <v>43</v>
      </c>
      <c r="S601">
        <v>2143</v>
      </c>
      <c r="T601">
        <v>25527</v>
      </c>
      <c r="U601">
        <v>4</v>
      </c>
      <c r="V601" t="s">
        <v>38</v>
      </c>
      <c r="W601">
        <v>13</v>
      </c>
      <c r="X601">
        <v>3</v>
      </c>
      <c r="Y601">
        <v>2</v>
      </c>
      <c r="Z601">
        <v>1</v>
      </c>
      <c r="AA601">
        <v>8</v>
      </c>
      <c r="AB601" t="str">
        <f>IF(Table2[[#This Row],[TotalWorkingYears]]&lt;=5,"Early (0-5)",IF(Table2[[#This Row],[TotalWorkingYears]]&lt;=15,"Mid (6-15)","Senior (16+)"))</f>
        <v>Mid (6-15)</v>
      </c>
      <c r="AC601">
        <v>2</v>
      </c>
      <c r="AD601">
        <v>3</v>
      </c>
      <c r="AE601" t="s">
        <v>64</v>
      </c>
      <c r="AF601">
        <v>2</v>
      </c>
      <c r="AG601">
        <v>0</v>
      </c>
      <c r="AH601">
        <v>4</v>
      </c>
    </row>
    <row r="602" spans="1:34" x14ac:dyDescent="0.3">
      <c r="A602" t="s">
        <v>59</v>
      </c>
      <c r="B602">
        <v>0</v>
      </c>
      <c r="C602" t="s">
        <v>32</v>
      </c>
      <c r="D602">
        <v>859</v>
      </c>
      <c r="E602" t="s">
        <v>40</v>
      </c>
      <c r="F602">
        <v>4</v>
      </c>
      <c r="G602" t="str">
        <f>IF(Table2[[#This Row],[DistanceFromHome]]&lt;=5, "short", IF(Table2[[#This Row],[DistanceFromHome]]&lt;=15, "medium", "long"))</f>
        <v>short</v>
      </c>
      <c r="H602">
        <v>3</v>
      </c>
      <c r="I602" t="s">
        <v>34</v>
      </c>
      <c r="J602">
        <v>830</v>
      </c>
      <c r="K602">
        <v>3</v>
      </c>
      <c r="L602" t="s">
        <v>35</v>
      </c>
      <c r="M602">
        <v>98</v>
      </c>
      <c r="N602">
        <v>2</v>
      </c>
      <c r="O602">
        <v>2</v>
      </c>
      <c r="P602" t="s">
        <v>48</v>
      </c>
      <c r="Q602">
        <v>3</v>
      </c>
      <c r="R602" t="s">
        <v>43</v>
      </c>
      <c r="S602">
        <v>6162</v>
      </c>
      <c r="T602">
        <v>19124</v>
      </c>
      <c r="U602">
        <v>1</v>
      </c>
      <c r="V602" t="s">
        <v>38</v>
      </c>
      <c r="W602">
        <v>12</v>
      </c>
      <c r="X602">
        <v>3</v>
      </c>
      <c r="Y602">
        <v>3</v>
      </c>
      <c r="Z602">
        <v>1</v>
      </c>
      <c r="AA602">
        <v>14</v>
      </c>
      <c r="AB602" t="str">
        <f>IF(Table2[[#This Row],[TotalWorkingYears]]&lt;=5,"Early (0-5)",IF(Table2[[#This Row],[TotalWorkingYears]]&lt;=15,"Mid (6-15)","Senior (16+)"))</f>
        <v>Mid (6-15)</v>
      </c>
      <c r="AC602">
        <v>3</v>
      </c>
      <c r="AD602">
        <v>3</v>
      </c>
      <c r="AE602" t="s">
        <v>65</v>
      </c>
      <c r="AF602">
        <v>13</v>
      </c>
      <c r="AG602">
        <v>6</v>
      </c>
      <c r="AH602">
        <v>8</v>
      </c>
    </row>
    <row r="603" spans="1:34" x14ac:dyDescent="0.3">
      <c r="A603" t="s">
        <v>57</v>
      </c>
      <c r="B603">
        <v>0</v>
      </c>
      <c r="C603" t="s">
        <v>39</v>
      </c>
      <c r="D603">
        <v>720</v>
      </c>
      <c r="E603" t="s">
        <v>40</v>
      </c>
      <c r="F603">
        <v>16</v>
      </c>
      <c r="G603" t="str">
        <f>IF(Table2[[#This Row],[DistanceFromHome]]&lt;=5, "short", IF(Table2[[#This Row],[DistanceFromHome]]&lt;=15, "medium", "long"))</f>
        <v>long</v>
      </c>
      <c r="H603">
        <v>4</v>
      </c>
      <c r="I603" t="s">
        <v>46</v>
      </c>
      <c r="J603">
        <v>832</v>
      </c>
      <c r="K603">
        <v>1</v>
      </c>
      <c r="L603" t="s">
        <v>41</v>
      </c>
      <c r="M603">
        <v>51</v>
      </c>
      <c r="N603">
        <v>2</v>
      </c>
      <c r="O603">
        <v>2</v>
      </c>
      <c r="P603" t="s">
        <v>45</v>
      </c>
      <c r="Q603">
        <v>3</v>
      </c>
      <c r="R603" t="s">
        <v>37</v>
      </c>
      <c r="S603">
        <v>5094</v>
      </c>
      <c r="T603">
        <v>11983</v>
      </c>
      <c r="U603">
        <v>6</v>
      </c>
      <c r="V603" t="s">
        <v>38</v>
      </c>
      <c r="W603">
        <v>14</v>
      </c>
      <c r="X603">
        <v>3</v>
      </c>
      <c r="Y603">
        <v>4</v>
      </c>
      <c r="Z603">
        <v>0</v>
      </c>
      <c r="AA603">
        <v>10</v>
      </c>
      <c r="AB603" t="str">
        <f>IF(Table2[[#This Row],[TotalWorkingYears]]&lt;=5,"Early (0-5)",IF(Table2[[#This Row],[TotalWorkingYears]]&lt;=15,"Mid (6-15)","Senior (16+)"))</f>
        <v>Mid (6-15)</v>
      </c>
      <c r="AC603">
        <v>6</v>
      </c>
      <c r="AD603">
        <v>3</v>
      </c>
      <c r="AE603" t="s">
        <v>63</v>
      </c>
      <c r="AF603">
        <v>0</v>
      </c>
      <c r="AG603">
        <v>0</v>
      </c>
      <c r="AH603">
        <v>0</v>
      </c>
    </row>
    <row r="604" spans="1:34" x14ac:dyDescent="0.3">
      <c r="A604" t="s">
        <v>59</v>
      </c>
      <c r="B604">
        <v>0</v>
      </c>
      <c r="C604" t="s">
        <v>32</v>
      </c>
      <c r="D604">
        <v>946</v>
      </c>
      <c r="E604" t="s">
        <v>40</v>
      </c>
      <c r="F604">
        <v>2</v>
      </c>
      <c r="G604" t="str">
        <f>IF(Table2[[#This Row],[DistanceFromHome]]&lt;=5, "short", IF(Table2[[#This Row],[DistanceFromHome]]&lt;=15, "medium", "long"))</f>
        <v>short</v>
      </c>
      <c r="H604">
        <v>3</v>
      </c>
      <c r="I604" t="s">
        <v>46</v>
      </c>
      <c r="J604">
        <v>833</v>
      </c>
      <c r="K604">
        <v>3</v>
      </c>
      <c r="L604" t="s">
        <v>35</v>
      </c>
      <c r="M604">
        <v>52</v>
      </c>
      <c r="N604">
        <v>2</v>
      </c>
      <c r="O604">
        <v>2</v>
      </c>
      <c r="P604" t="s">
        <v>48</v>
      </c>
      <c r="Q604">
        <v>4</v>
      </c>
      <c r="R604" t="s">
        <v>37</v>
      </c>
      <c r="S604">
        <v>6877</v>
      </c>
      <c r="T604">
        <v>20234</v>
      </c>
      <c r="U604">
        <v>5</v>
      </c>
      <c r="V604" t="s">
        <v>31</v>
      </c>
      <c r="W604">
        <v>24</v>
      </c>
      <c r="X604">
        <v>4</v>
      </c>
      <c r="Y604">
        <v>2</v>
      </c>
      <c r="Z604">
        <v>0</v>
      </c>
      <c r="AA604">
        <v>12</v>
      </c>
      <c r="AB604" t="str">
        <f>IF(Table2[[#This Row],[TotalWorkingYears]]&lt;=5,"Early (0-5)",IF(Table2[[#This Row],[TotalWorkingYears]]&lt;=15,"Mid (6-15)","Senior (16+)"))</f>
        <v>Mid (6-15)</v>
      </c>
      <c r="AC604">
        <v>4</v>
      </c>
      <c r="AD604">
        <v>2</v>
      </c>
      <c r="AE604" t="s">
        <v>63</v>
      </c>
      <c r="AF604">
        <v>0</v>
      </c>
      <c r="AG604">
        <v>0</v>
      </c>
      <c r="AH604">
        <v>0</v>
      </c>
    </row>
    <row r="605" spans="1:34" x14ac:dyDescent="0.3">
      <c r="A605" t="s">
        <v>57</v>
      </c>
      <c r="B605">
        <v>0</v>
      </c>
      <c r="C605" t="s">
        <v>32</v>
      </c>
      <c r="D605">
        <v>252</v>
      </c>
      <c r="E605" t="s">
        <v>40</v>
      </c>
      <c r="F605">
        <v>2</v>
      </c>
      <c r="G605" t="str">
        <f>IF(Table2[[#This Row],[DistanceFromHome]]&lt;=5, "short", IF(Table2[[#This Row],[DistanceFromHome]]&lt;=15, "medium", "long"))</f>
        <v>short</v>
      </c>
      <c r="H605">
        <v>3</v>
      </c>
      <c r="I605" t="s">
        <v>34</v>
      </c>
      <c r="J605">
        <v>834</v>
      </c>
      <c r="K605">
        <v>2</v>
      </c>
      <c r="L605" t="s">
        <v>35</v>
      </c>
      <c r="M605">
        <v>95</v>
      </c>
      <c r="N605">
        <v>2</v>
      </c>
      <c r="O605">
        <v>1</v>
      </c>
      <c r="P605" t="s">
        <v>42</v>
      </c>
      <c r="Q605">
        <v>3</v>
      </c>
      <c r="R605" t="s">
        <v>37</v>
      </c>
      <c r="S605">
        <v>2274</v>
      </c>
      <c r="T605">
        <v>6153</v>
      </c>
      <c r="U605">
        <v>1</v>
      </c>
      <c r="V605" t="s">
        <v>38</v>
      </c>
      <c r="W605">
        <v>14</v>
      </c>
      <c r="X605">
        <v>3</v>
      </c>
      <c r="Y605">
        <v>4</v>
      </c>
      <c r="Z605">
        <v>0</v>
      </c>
      <c r="AA605">
        <v>1</v>
      </c>
      <c r="AB605" t="str">
        <f>IF(Table2[[#This Row],[TotalWorkingYears]]&lt;=5,"Early (0-5)",IF(Table2[[#This Row],[TotalWorkingYears]]&lt;=15,"Mid (6-15)","Senior (16+)"))</f>
        <v>Early (0-5)</v>
      </c>
      <c r="AC605">
        <v>3</v>
      </c>
      <c r="AD605">
        <v>3</v>
      </c>
      <c r="AE605" t="s">
        <v>63</v>
      </c>
      <c r="AF605">
        <v>0</v>
      </c>
      <c r="AG605">
        <v>0</v>
      </c>
      <c r="AH605">
        <v>0</v>
      </c>
    </row>
    <row r="606" spans="1:34" x14ac:dyDescent="0.3">
      <c r="A606" t="s">
        <v>57</v>
      </c>
      <c r="B606">
        <v>0</v>
      </c>
      <c r="C606" t="s">
        <v>32</v>
      </c>
      <c r="D606">
        <v>933</v>
      </c>
      <c r="E606" t="s">
        <v>40</v>
      </c>
      <c r="F606">
        <v>29</v>
      </c>
      <c r="G606" t="str">
        <f>IF(Table2[[#This Row],[DistanceFromHome]]&lt;=5, "short", IF(Table2[[#This Row],[DistanceFromHome]]&lt;=15, "medium", "long"))</f>
        <v>long</v>
      </c>
      <c r="H606">
        <v>3</v>
      </c>
      <c r="I606" t="s">
        <v>34</v>
      </c>
      <c r="J606">
        <v>836</v>
      </c>
      <c r="K606">
        <v>2</v>
      </c>
      <c r="L606" t="s">
        <v>41</v>
      </c>
      <c r="M606">
        <v>98</v>
      </c>
      <c r="N606">
        <v>3</v>
      </c>
      <c r="O606">
        <v>2</v>
      </c>
      <c r="P606" t="s">
        <v>48</v>
      </c>
      <c r="Q606">
        <v>2</v>
      </c>
      <c r="R606" t="s">
        <v>43</v>
      </c>
      <c r="S606">
        <v>4434</v>
      </c>
      <c r="T606">
        <v>11806</v>
      </c>
      <c r="U606">
        <v>1</v>
      </c>
      <c r="V606" t="s">
        <v>38</v>
      </c>
      <c r="W606">
        <v>13</v>
      </c>
      <c r="X606">
        <v>3</v>
      </c>
      <c r="Y606">
        <v>4</v>
      </c>
      <c r="Z606">
        <v>1</v>
      </c>
      <c r="AA606">
        <v>10</v>
      </c>
      <c r="AB606" t="str">
        <f>IF(Table2[[#This Row],[TotalWorkingYears]]&lt;=5,"Early (0-5)",IF(Table2[[#This Row],[TotalWorkingYears]]&lt;=15,"Mid (6-15)","Senior (16+)"))</f>
        <v>Mid (6-15)</v>
      </c>
      <c r="AC606">
        <v>3</v>
      </c>
      <c r="AD606">
        <v>2</v>
      </c>
      <c r="AE606" t="s">
        <v>62</v>
      </c>
      <c r="AF606">
        <v>8</v>
      </c>
      <c r="AG606">
        <v>7</v>
      </c>
      <c r="AH606">
        <v>8</v>
      </c>
    </row>
    <row r="607" spans="1:34" x14ac:dyDescent="0.3">
      <c r="A607" t="s">
        <v>57</v>
      </c>
      <c r="B607">
        <v>0</v>
      </c>
      <c r="C607" t="s">
        <v>39</v>
      </c>
      <c r="D607">
        <v>471</v>
      </c>
      <c r="E607" t="s">
        <v>40</v>
      </c>
      <c r="F607">
        <v>12</v>
      </c>
      <c r="G607" t="str">
        <f>IF(Table2[[#This Row],[DistanceFromHome]]&lt;=5, "short", IF(Table2[[#This Row],[DistanceFromHome]]&lt;=15, "medium", "long"))</f>
        <v>medium</v>
      </c>
      <c r="H607">
        <v>3</v>
      </c>
      <c r="I607" t="s">
        <v>34</v>
      </c>
      <c r="J607">
        <v>837</v>
      </c>
      <c r="K607">
        <v>1</v>
      </c>
      <c r="L607" t="s">
        <v>41</v>
      </c>
      <c r="M607">
        <v>45</v>
      </c>
      <c r="N607">
        <v>2</v>
      </c>
      <c r="O607">
        <v>2</v>
      </c>
      <c r="P607" t="s">
        <v>49</v>
      </c>
      <c r="Q607">
        <v>1</v>
      </c>
      <c r="R607" t="s">
        <v>47</v>
      </c>
      <c r="S607">
        <v>6288</v>
      </c>
      <c r="T607">
        <v>4284</v>
      </c>
      <c r="U607">
        <v>2</v>
      </c>
      <c r="V607" t="s">
        <v>38</v>
      </c>
      <c r="W607">
        <v>15</v>
      </c>
      <c r="X607">
        <v>3</v>
      </c>
      <c r="Y607">
        <v>3</v>
      </c>
      <c r="Z607">
        <v>1</v>
      </c>
      <c r="AA607">
        <v>13</v>
      </c>
      <c r="AB607" t="str">
        <f>IF(Table2[[#This Row],[TotalWorkingYears]]&lt;=5,"Early (0-5)",IF(Table2[[#This Row],[TotalWorkingYears]]&lt;=15,"Mid (6-15)","Senior (16+)"))</f>
        <v>Mid (6-15)</v>
      </c>
      <c r="AC607">
        <v>3</v>
      </c>
      <c r="AD607">
        <v>2</v>
      </c>
      <c r="AE607" t="s">
        <v>64</v>
      </c>
      <c r="AF607">
        <v>3</v>
      </c>
      <c r="AG607">
        <v>1</v>
      </c>
      <c r="AH607">
        <v>2</v>
      </c>
    </row>
    <row r="608" spans="1:34" x14ac:dyDescent="0.3">
      <c r="A608" t="s">
        <v>59</v>
      </c>
      <c r="B608">
        <v>0</v>
      </c>
      <c r="C608" t="s">
        <v>39</v>
      </c>
      <c r="D608">
        <v>702</v>
      </c>
      <c r="E608" t="s">
        <v>40</v>
      </c>
      <c r="F608">
        <v>16</v>
      </c>
      <c r="G608" t="str">
        <f>IF(Table2[[#This Row],[DistanceFromHome]]&lt;=5, "short", IF(Table2[[#This Row],[DistanceFromHome]]&lt;=15, "medium", "long"))</f>
        <v>long</v>
      </c>
      <c r="H608">
        <v>4</v>
      </c>
      <c r="I608" t="s">
        <v>34</v>
      </c>
      <c r="J608">
        <v>838</v>
      </c>
      <c r="K608">
        <v>3</v>
      </c>
      <c r="L608" t="s">
        <v>35</v>
      </c>
      <c r="M608">
        <v>100</v>
      </c>
      <c r="N608">
        <v>2</v>
      </c>
      <c r="O608">
        <v>1</v>
      </c>
      <c r="P608" t="s">
        <v>42</v>
      </c>
      <c r="Q608">
        <v>4</v>
      </c>
      <c r="R608" t="s">
        <v>37</v>
      </c>
      <c r="S608">
        <v>2553</v>
      </c>
      <c r="T608">
        <v>8306</v>
      </c>
      <c r="U608">
        <v>1</v>
      </c>
      <c r="V608" t="s">
        <v>38</v>
      </c>
      <c r="W608">
        <v>16</v>
      </c>
      <c r="X608">
        <v>3</v>
      </c>
      <c r="Y608">
        <v>3</v>
      </c>
      <c r="Z608">
        <v>0</v>
      </c>
      <c r="AA608">
        <v>6</v>
      </c>
      <c r="AB608" t="str">
        <f>IF(Table2[[#This Row],[TotalWorkingYears]]&lt;=5,"Early (0-5)",IF(Table2[[#This Row],[TotalWorkingYears]]&lt;=15,"Mid (6-15)","Senior (16+)"))</f>
        <v>Mid (6-15)</v>
      </c>
      <c r="AC608">
        <v>3</v>
      </c>
      <c r="AD608">
        <v>3</v>
      </c>
      <c r="AE608" t="s">
        <v>64</v>
      </c>
      <c r="AF608">
        <v>2</v>
      </c>
      <c r="AG608">
        <v>1</v>
      </c>
      <c r="AH608">
        <v>3</v>
      </c>
    </row>
    <row r="609" spans="1:34" x14ac:dyDescent="0.3">
      <c r="A609" t="s">
        <v>58</v>
      </c>
      <c r="B609">
        <v>1</v>
      </c>
      <c r="C609" t="s">
        <v>32</v>
      </c>
      <c r="D609">
        <v>1184</v>
      </c>
      <c r="E609" t="s">
        <v>33</v>
      </c>
      <c r="F609">
        <v>11</v>
      </c>
      <c r="G609" t="str">
        <f>IF(Table2[[#This Row],[DistanceFromHome]]&lt;=5, "short", IF(Table2[[#This Row],[DistanceFromHome]]&lt;=15, "medium", "long"))</f>
        <v>medium</v>
      </c>
      <c r="H609">
        <v>3</v>
      </c>
      <c r="I609" t="s">
        <v>54</v>
      </c>
      <c r="J609">
        <v>840</v>
      </c>
      <c r="K609">
        <v>3</v>
      </c>
      <c r="L609" t="s">
        <v>35</v>
      </c>
      <c r="M609">
        <v>43</v>
      </c>
      <c r="N609">
        <v>3</v>
      </c>
      <c r="O609">
        <v>3</v>
      </c>
      <c r="P609" t="s">
        <v>36</v>
      </c>
      <c r="Q609">
        <v>4</v>
      </c>
      <c r="R609" t="s">
        <v>43</v>
      </c>
      <c r="S609">
        <v>7654</v>
      </c>
      <c r="T609">
        <v>5860</v>
      </c>
      <c r="U609">
        <v>1</v>
      </c>
      <c r="V609" t="s">
        <v>38</v>
      </c>
      <c r="W609">
        <v>18</v>
      </c>
      <c r="X609">
        <v>3</v>
      </c>
      <c r="Y609">
        <v>1</v>
      </c>
      <c r="Z609">
        <v>2</v>
      </c>
      <c r="AA609">
        <v>9</v>
      </c>
      <c r="AB609" t="str">
        <f>IF(Table2[[#This Row],[TotalWorkingYears]]&lt;=5,"Early (0-5)",IF(Table2[[#This Row],[TotalWorkingYears]]&lt;=15,"Mid (6-15)","Senior (16+)"))</f>
        <v>Mid (6-15)</v>
      </c>
      <c r="AC609">
        <v>3</v>
      </c>
      <c r="AD609">
        <v>4</v>
      </c>
      <c r="AE609" t="s">
        <v>62</v>
      </c>
      <c r="AF609">
        <v>8</v>
      </c>
      <c r="AG609">
        <v>7</v>
      </c>
      <c r="AH609">
        <v>7</v>
      </c>
    </row>
    <row r="610" spans="1:34" x14ac:dyDescent="0.3">
      <c r="A610" t="s">
        <v>58</v>
      </c>
      <c r="B610">
        <v>1</v>
      </c>
      <c r="C610" t="s">
        <v>32</v>
      </c>
      <c r="D610">
        <v>436</v>
      </c>
      <c r="E610" t="s">
        <v>33</v>
      </c>
      <c r="F610">
        <v>2</v>
      </c>
      <c r="G610" t="str">
        <f>IF(Table2[[#This Row],[DistanceFromHome]]&lt;=5, "short", IF(Table2[[#This Row],[DistanceFromHome]]&lt;=15, "medium", "long"))</f>
        <v>short</v>
      </c>
      <c r="H610">
        <v>1</v>
      </c>
      <c r="I610" t="s">
        <v>46</v>
      </c>
      <c r="J610">
        <v>842</v>
      </c>
      <c r="K610">
        <v>3</v>
      </c>
      <c r="L610" t="s">
        <v>41</v>
      </c>
      <c r="M610">
        <v>37</v>
      </c>
      <c r="N610">
        <v>3</v>
      </c>
      <c r="O610">
        <v>2</v>
      </c>
      <c r="P610" t="s">
        <v>36</v>
      </c>
      <c r="Q610">
        <v>4</v>
      </c>
      <c r="R610" t="s">
        <v>37</v>
      </c>
      <c r="S610">
        <v>5160</v>
      </c>
      <c r="T610">
        <v>21519</v>
      </c>
      <c r="U610">
        <v>4</v>
      </c>
      <c r="V610" t="s">
        <v>38</v>
      </c>
      <c r="W610">
        <v>16</v>
      </c>
      <c r="X610">
        <v>3</v>
      </c>
      <c r="Y610">
        <v>3</v>
      </c>
      <c r="Z610">
        <v>0</v>
      </c>
      <c r="AA610">
        <v>12</v>
      </c>
      <c r="AB610" t="str">
        <f>IF(Table2[[#This Row],[TotalWorkingYears]]&lt;=5,"Early (0-5)",IF(Table2[[#This Row],[TotalWorkingYears]]&lt;=15,"Mid (6-15)","Senior (16+)"))</f>
        <v>Mid (6-15)</v>
      </c>
      <c r="AC610">
        <v>3</v>
      </c>
      <c r="AD610">
        <v>2</v>
      </c>
      <c r="AE610" t="s">
        <v>62</v>
      </c>
      <c r="AF610">
        <v>7</v>
      </c>
      <c r="AG610">
        <v>7</v>
      </c>
      <c r="AH610">
        <v>3</v>
      </c>
    </row>
    <row r="611" spans="1:34" x14ac:dyDescent="0.3">
      <c r="A611" t="s">
        <v>57</v>
      </c>
      <c r="B611">
        <v>0</v>
      </c>
      <c r="C611" t="s">
        <v>32</v>
      </c>
      <c r="D611">
        <v>589</v>
      </c>
      <c r="E611" t="s">
        <v>40</v>
      </c>
      <c r="F611">
        <v>14</v>
      </c>
      <c r="G611" t="str">
        <f>IF(Table2[[#This Row],[DistanceFromHome]]&lt;=5, "short", IF(Table2[[#This Row],[DistanceFromHome]]&lt;=15, "medium", "long"))</f>
        <v>medium</v>
      </c>
      <c r="H611">
        <v>2</v>
      </c>
      <c r="I611" t="s">
        <v>34</v>
      </c>
      <c r="J611">
        <v>843</v>
      </c>
      <c r="K611">
        <v>2</v>
      </c>
      <c r="L611" t="s">
        <v>41</v>
      </c>
      <c r="M611">
        <v>94</v>
      </c>
      <c r="N611">
        <v>3</v>
      </c>
      <c r="O611">
        <v>4</v>
      </c>
      <c r="P611" t="s">
        <v>53</v>
      </c>
      <c r="Q611">
        <v>1</v>
      </c>
      <c r="R611" t="s">
        <v>43</v>
      </c>
      <c r="S611">
        <v>17159</v>
      </c>
      <c r="T611">
        <v>5200</v>
      </c>
      <c r="U611">
        <v>6</v>
      </c>
      <c r="V611" t="s">
        <v>38</v>
      </c>
      <c r="W611">
        <v>24</v>
      </c>
      <c r="X611">
        <v>4</v>
      </c>
      <c r="Y611">
        <v>3</v>
      </c>
      <c r="Z611">
        <v>1</v>
      </c>
      <c r="AA611">
        <v>22</v>
      </c>
      <c r="AB611" t="str">
        <f>IF(Table2[[#This Row],[TotalWorkingYears]]&lt;=5,"Early (0-5)",IF(Table2[[#This Row],[TotalWorkingYears]]&lt;=15,"Mid (6-15)","Senior (16+)"))</f>
        <v>Senior (16+)</v>
      </c>
      <c r="AC611">
        <v>3</v>
      </c>
      <c r="AD611">
        <v>3</v>
      </c>
      <c r="AE611" t="s">
        <v>64</v>
      </c>
      <c r="AF611">
        <v>1</v>
      </c>
      <c r="AG611">
        <v>1</v>
      </c>
      <c r="AH611">
        <v>0</v>
      </c>
    </row>
    <row r="612" spans="1:34" x14ac:dyDescent="0.3">
      <c r="A612" t="s">
        <v>59</v>
      </c>
      <c r="B612">
        <v>0</v>
      </c>
      <c r="C612" t="s">
        <v>32</v>
      </c>
      <c r="D612">
        <v>269</v>
      </c>
      <c r="E612" t="s">
        <v>40</v>
      </c>
      <c r="F612">
        <v>5</v>
      </c>
      <c r="G612" t="str">
        <f>IF(Table2[[#This Row],[DistanceFromHome]]&lt;=5, "short", IF(Table2[[#This Row],[DistanceFromHome]]&lt;=15, "medium", "long"))</f>
        <v>short</v>
      </c>
      <c r="H612">
        <v>1</v>
      </c>
      <c r="I612" t="s">
        <v>55</v>
      </c>
      <c r="J612">
        <v>844</v>
      </c>
      <c r="K612">
        <v>3</v>
      </c>
      <c r="L612" t="s">
        <v>41</v>
      </c>
      <c r="M612">
        <v>42</v>
      </c>
      <c r="N612">
        <v>2</v>
      </c>
      <c r="O612">
        <v>3</v>
      </c>
      <c r="P612" t="s">
        <v>53</v>
      </c>
      <c r="Q612">
        <v>4</v>
      </c>
      <c r="R612" t="s">
        <v>47</v>
      </c>
      <c r="S612">
        <v>12808</v>
      </c>
      <c r="T612">
        <v>8842</v>
      </c>
      <c r="U612">
        <v>1</v>
      </c>
      <c r="V612" t="s">
        <v>31</v>
      </c>
      <c r="W612">
        <v>16</v>
      </c>
      <c r="X612">
        <v>3</v>
      </c>
      <c r="Y612">
        <v>2</v>
      </c>
      <c r="Z612">
        <v>1</v>
      </c>
      <c r="AA612">
        <v>9</v>
      </c>
      <c r="AB612" t="str">
        <f>IF(Table2[[#This Row],[TotalWorkingYears]]&lt;=5,"Early (0-5)",IF(Table2[[#This Row],[TotalWorkingYears]]&lt;=15,"Mid (6-15)","Senior (16+)"))</f>
        <v>Mid (6-15)</v>
      </c>
      <c r="AC612">
        <v>3</v>
      </c>
      <c r="AD612">
        <v>3</v>
      </c>
      <c r="AE612" t="s">
        <v>62</v>
      </c>
      <c r="AF612">
        <v>8</v>
      </c>
      <c r="AG612">
        <v>0</v>
      </c>
      <c r="AH612">
        <v>8</v>
      </c>
    </row>
    <row r="613" spans="1:34" x14ac:dyDescent="0.3">
      <c r="A613" t="s">
        <v>59</v>
      </c>
      <c r="B613">
        <v>0</v>
      </c>
      <c r="C613" t="s">
        <v>32</v>
      </c>
      <c r="D613">
        <v>950</v>
      </c>
      <c r="E613" t="s">
        <v>40</v>
      </c>
      <c r="F613">
        <v>7</v>
      </c>
      <c r="G613" t="str">
        <f>IF(Table2[[#This Row],[DistanceFromHome]]&lt;=5, "short", IF(Table2[[#This Row],[DistanceFromHome]]&lt;=15, "medium", "long"))</f>
        <v>medium</v>
      </c>
      <c r="H613">
        <v>3</v>
      </c>
      <c r="I613" t="s">
        <v>44</v>
      </c>
      <c r="J613">
        <v>845</v>
      </c>
      <c r="K613">
        <v>3</v>
      </c>
      <c r="L613" t="s">
        <v>41</v>
      </c>
      <c r="M613">
        <v>59</v>
      </c>
      <c r="N613">
        <v>3</v>
      </c>
      <c r="O613">
        <v>3</v>
      </c>
      <c r="P613" t="s">
        <v>48</v>
      </c>
      <c r="Q613">
        <v>3</v>
      </c>
      <c r="R613" t="s">
        <v>37</v>
      </c>
      <c r="S613">
        <v>10221</v>
      </c>
      <c r="T613">
        <v>18869</v>
      </c>
      <c r="U613">
        <v>3</v>
      </c>
      <c r="V613" t="s">
        <v>38</v>
      </c>
      <c r="W613">
        <v>21</v>
      </c>
      <c r="X613">
        <v>4</v>
      </c>
      <c r="Y613">
        <v>2</v>
      </c>
      <c r="Z613">
        <v>0</v>
      </c>
      <c r="AA613">
        <v>17</v>
      </c>
      <c r="AB613" t="str">
        <f>IF(Table2[[#This Row],[TotalWorkingYears]]&lt;=5,"Early (0-5)",IF(Table2[[#This Row],[TotalWorkingYears]]&lt;=15,"Mid (6-15)","Senior (16+)"))</f>
        <v>Senior (16+)</v>
      </c>
      <c r="AC613">
        <v>3</v>
      </c>
      <c r="AD613">
        <v>4</v>
      </c>
      <c r="AE613" t="s">
        <v>62</v>
      </c>
      <c r="AF613">
        <v>5</v>
      </c>
      <c r="AG613">
        <v>1</v>
      </c>
      <c r="AH613">
        <v>6</v>
      </c>
    </row>
    <row r="614" spans="1:34" x14ac:dyDescent="0.3">
      <c r="A614" t="s">
        <v>59</v>
      </c>
      <c r="B614">
        <v>0</v>
      </c>
      <c r="C614" t="s">
        <v>32</v>
      </c>
      <c r="D614">
        <v>760</v>
      </c>
      <c r="E614" t="s">
        <v>33</v>
      </c>
      <c r="F614">
        <v>2</v>
      </c>
      <c r="G614" t="str">
        <f>IF(Table2[[#This Row],[DistanceFromHome]]&lt;=5, "short", IF(Table2[[#This Row],[DistanceFromHome]]&lt;=15, "medium", "long"))</f>
        <v>short</v>
      </c>
      <c r="H614">
        <v>4</v>
      </c>
      <c r="I614" t="s">
        <v>54</v>
      </c>
      <c r="J614">
        <v>846</v>
      </c>
      <c r="K614">
        <v>2</v>
      </c>
      <c r="L614" t="s">
        <v>35</v>
      </c>
      <c r="M614">
        <v>81</v>
      </c>
      <c r="N614">
        <v>3</v>
      </c>
      <c r="O614">
        <v>2</v>
      </c>
      <c r="P614" t="s">
        <v>36</v>
      </c>
      <c r="Q614">
        <v>2</v>
      </c>
      <c r="R614" t="s">
        <v>43</v>
      </c>
      <c r="S614">
        <v>4779</v>
      </c>
      <c r="T614">
        <v>3698</v>
      </c>
      <c r="U614">
        <v>1</v>
      </c>
      <c r="V614" t="s">
        <v>31</v>
      </c>
      <c r="W614">
        <v>20</v>
      </c>
      <c r="X614">
        <v>4</v>
      </c>
      <c r="Y614">
        <v>1</v>
      </c>
      <c r="Z614">
        <v>0</v>
      </c>
      <c r="AA614">
        <v>8</v>
      </c>
      <c r="AB614" t="str">
        <f>IF(Table2[[#This Row],[TotalWorkingYears]]&lt;=5,"Early (0-5)",IF(Table2[[#This Row],[TotalWorkingYears]]&lt;=15,"Mid (6-15)","Senior (16+)"))</f>
        <v>Mid (6-15)</v>
      </c>
      <c r="AC614">
        <v>2</v>
      </c>
      <c r="AD614">
        <v>3</v>
      </c>
      <c r="AE614" t="s">
        <v>62</v>
      </c>
      <c r="AF614">
        <v>7</v>
      </c>
      <c r="AG614">
        <v>7</v>
      </c>
      <c r="AH614">
        <v>5</v>
      </c>
    </row>
    <row r="615" spans="1:34" x14ac:dyDescent="0.3">
      <c r="A615" t="s">
        <v>59</v>
      </c>
      <c r="B615">
        <v>0</v>
      </c>
      <c r="C615" t="s">
        <v>32</v>
      </c>
      <c r="D615">
        <v>829</v>
      </c>
      <c r="E615" t="s">
        <v>56</v>
      </c>
      <c r="F615">
        <v>3</v>
      </c>
      <c r="G615" t="str">
        <f>IF(Table2[[#This Row],[DistanceFromHome]]&lt;=5, "short", IF(Table2[[#This Row],[DistanceFromHome]]&lt;=15, "medium", "long"))</f>
        <v>short</v>
      </c>
      <c r="H615">
        <v>2</v>
      </c>
      <c r="I615" t="s">
        <v>56</v>
      </c>
      <c r="J615">
        <v>847</v>
      </c>
      <c r="K615">
        <v>3</v>
      </c>
      <c r="L615" t="s">
        <v>41</v>
      </c>
      <c r="M615">
        <v>88</v>
      </c>
      <c r="N615">
        <v>3</v>
      </c>
      <c r="O615">
        <v>1</v>
      </c>
      <c r="P615" t="s">
        <v>56</v>
      </c>
      <c r="Q615">
        <v>4</v>
      </c>
      <c r="R615" t="s">
        <v>43</v>
      </c>
      <c r="S615">
        <v>3737</v>
      </c>
      <c r="T615">
        <v>2243</v>
      </c>
      <c r="U615">
        <v>0</v>
      </c>
      <c r="V615" t="s">
        <v>38</v>
      </c>
      <c r="W615">
        <v>19</v>
      </c>
      <c r="X615">
        <v>3</v>
      </c>
      <c r="Y615">
        <v>3</v>
      </c>
      <c r="Z615">
        <v>1</v>
      </c>
      <c r="AA615">
        <v>4</v>
      </c>
      <c r="AB615" t="str">
        <f>IF(Table2[[#This Row],[TotalWorkingYears]]&lt;=5,"Early (0-5)",IF(Table2[[#This Row],[TotalWorkingYears]]&lt;=15,"Mid (6-15)","Senior (16+)"))</f>
        <v>Early (0-5)</v>
      </c>
      <c r="AC615">
        <v>1</v>
      </c>
      <c r="AD615">
        <v>1</v>
      </c>
      <c r="AE615" t="s">
        <v>64</v>
      </c>
      <c r="AF615">
        <v>2</v>
      </c>
      <c r="AG615">
        <v>0</v>
      </c>
      <c r="AH615">
        <v>2</v>
      </c>
    </row>
    <row r="616" spans="1:34" x14ac:dyDescent="0.3">
      <c r="A616" t="s">
        <v>59</v>
      </c>
      <c r="B616">
        <v>1</v>
      </c>
      <c r="C616" t="s">
        <v>39</v>
      </c>
      <c r="D616">
        <v>887</v>
      </c>
      <c r="E616" t="s">
        <v>40</v>
      </c>
      <c r="F616">
        <v>5</v>
      </c>
      <c r="G616" t="str">
        <f>IF(Table2[[#This Row],[DistanceFromHome]]&lt;=5, "short", IF(Table2[[#This Row],[DistanceFromHome]]&lt;=15, "medium", "long"))</f>
        <v>short</v>
      </c>
      <c r="H616">
        <v>2</v>
      </c>
      <c r="I616" t="s">
        <v>46</v>
      </c>
      <c r="J616">
        <v>848</v>
      </c>
      <c r="K616">
        <v>3</v>
      </c>
      <c r="L616" t="s">
        <v>35</v>
      </c>
      <c r="M616">
        <v>88</v>
      </c>
      <c r="N616">
        <v>2</v>
      </c>
      <c r="O616">
        <v>1</v>
      </c>
      <c r="P616" t="s">
        <v>42</v>
      </c>
      <c r="Q616">
        <v>3</v>
      </c>
      <c r="R616" t="s">
        <v>43</v>
      </c>
      <c r="S616">
        <v>2366</v>
      </c>
      <c r="T616">
        <v>20898</v>
      </c>
      <c r="U616">
        <v>1</v>
      </c>
      <c r="V616" t="s">
        <v>31</v>
      </c>
      <c r="W616">
        <v>14</v>
      </c>
      <c r="X616">
        <v>3</v>
      </c>
      <c r="Y616">
        <v>1</v>
      </c>
      <c r="Z616">
        <v>1</v>
      </c>
      <c r="AA616">
        <v>8</v>
      </c>
      <c r="AB616" t="str">
        <f>IF(Table2[[#This Row],[TotalWorkingYears]]&lt;=5,"Early (0-5)",IF(Table2[[#This Row],[TotalWorkingYears]]&lt;=15,"Mid (6-15)","Senior (16+)"))</f>
        <v>Mid (6-15)</v>
      </c>
      <c r="AC616">
        <v>2</v>
      </c>
      <c r="AD616">
        <v>3</v>
      </c>
      <c r="AE616" t="s">
        <v>62</v>
      </c>
      <c r="AF616">
        <v>7</v>
      </c>
      <c r="AG616">
        <v>1</v>
      </c>
      <c r="AH616">
        <v>7</v>
      </c>
    </row>
    <row r="617" spans="1:34" x14ac:dyDescent="0.3">
      <c r="A617" t="s">
        <v>59</v>
      </c>
      <c r="B617">
        <v>0</v>
      </c>
      <c r="C617" t="s">
        <v>50</v>
      </c>
      <c r="D617">
        <v>443</v>
      </c>
      <c r="E617" t="s">
        <v>40</v>
      </c>
      <c r="F617">
        <v>3</v>
      </c>
      <c r="G617" t="str">
        <f>IF(Table2[[#This Row],[DistanceFromHome]]&lt;=5, "short", IF(Table2[[#This Row],[DistanceFromHome]]&lt;=15, "medium", "long"))</f>
        <v>short</v>
      </c>
      <c r="H617">
        <v>3</v>
      </c>
      <c r="I617" t="s">
        <v>46</v>
      </c>
      <c r="J617">
        <v>850</v>
      </c>
      <c r="K617">
        <v>4</v>
      </c>
      <c r="L617" t="s">
        <v>41</v>
      </c>
      <c r="M617">
        <v>50</v>
      </c>
      <c r="N617">
        <v>3</v>
      </c>
      <c r="O617">
        <v>1</v>
      </c>
      <c r="P617" t="s">
        <v>42</v>
      </c>
      <c r="Q617">
        <v>4</v>
      </c>
      <c r="R617" t="s">
        <v>43</v>
      </c>
      <c r="S617">
        <v>1706</v>
      </c>
      <c r="T617">
        <v>16571</v>
      </c>
      <c r="U617">
        <v>1</v>
      </c>
      <c r="V617" t="s">
        <v>38</v>
      </c>
      <c r="W617">
        <v>11</v>
      </c>
      <c r="X617">
        <v>3</v>
      </c>
      <c r="Y617">
        <v>3</v>
      </c>
      <c r="Z617">
        <v>3</v>
      </c>
      <c r="AA617">
        <v>0</v>
      </c>
      <c r="AB617" t="str">
        <f>IF(Table2[[#This Row],[TotalWorkingYears]]&lt;=5,"Early (0-5)",IF(Table2[[#This Row],[TotalWorkingYears]]&lt;=15,"Mid (6-15)","Senior (16+)"))</f>
        <v>Early (0-5)</v>
      </c>
      <c r="AC617">
        <v>6</v>
      </c>
      <c r="AD617">
        <v>2</v>
      </c>
      <c r="AE617" t="s">
        <v>63</v>
      </c>
      <c r="AF617">
        <v>0</v>
      </c>
      <c r="AG617">
        <v>0</v>
      </c>
      <c r="AH617">
        <v>0</v>
      </c>
    </row>
    <row r="618" spans="1:34" x14ac:dyDescent="0.3">
      <c r="A618" t="s">
        <v>58</v>
      </c>
      <c r="B618">
        <v>0</v>
      </c>
      <c r="C618" t="s">
        <v>32</v>
      </c>
      <c r="D618">
        <v>1318</v>
      </c>
      <c r="E618" t="s">
        <v>33</v>
      </c>
      <c r="F618">
        <v>26</v>
      </c>
      <c r="G618" t="str">
        <f>IF(Table2[[#This Row],[DistanceFromHome]]&lt;=5, "short", IF(Table2[[#This Row],[DistanceFromHome]]&lt;=15, "medium", "long"))</f>
        <v>long</v>
      </c>
      <c r="H618">
        <v>4</v>
      </c>
      <c r="I618" t="s">
        <v>54</v>
      </c>
      <c r="J618">
        <v>851</v>
      </c>
      <c r="K618">
        <v>1</v>
      </c>
      <c r="L618" t="s">
        <v>35</v>
      </c>
      <c r="M618">
        <v>66</v>
      </c>
      <c r="N618">
        <v>3</v>
      </c>
      <c r="O618">
        <v>4</v>
      </c>
      <c r="P618" t="s">
        <v>51</v>
      </c>
      <c r="Q618">
        <v>3</v>
      </c>
      <c r="R618" t="s">
        <v>43</v>
      </c>
      <c r="S618">
        <v>16307</v>
      </c>
      <c r="T618">
        <v>5594</v>
      </c>
      <c r="U618">
        <v>2</v>
      </c>
      <c r="V618" t="s">
        <v>38</v>
      </c>
      <c r="W618">
        <v>14</v>
      </c>
      <c r="X618">
        <v>3</v>
      </c>
      <c r="Y618">
        <v>3</v>
      </c>
      <c r="Z618">
        <v>1</v>
      </c>
      <c r="AA618">
        <v>29</v>
      </c>
      <c r="AB618" t="str">
        <f>IF(Table2[[#This Row],[TotalWorkingYears]]&lt;=5,"Early (0-5)",IF(Table2[[#This Row],[TotalWorkingYears]]&lt;=15,"Mid (6-15)","Senior (16+)"))</f>
        <v>Senior (16+)</v>
      </c>
      <c r="AC618">
        <v>2</v>
      </c>
      <c r="AD618">
        <v>2</v>
      </c>
      <c r="AE618" t="s">
        <v>65</v>
      </c>
      <c r="AF618">
        <v>6</v>
      </c>
      <c r="AG618">
        <v>4</v>
      </c>
      <c r="AH618">
        <v>17</v>
      </c>
    </row>
    <row r="619" spans="1:34" x14ac:dyDescent="0.3">
      <c r="A619" t="s">
        <v>57</v>
      </c>
      <c r="B619">
        <v>0</v>
      </c>
      <c r="C619" t="s">
        <v>32</v>
      </c>
      <c r="D619">
        <v>625</v>
      </c>
      <c r="E619" t="s">
        <v>40</v>
      </c>
      <c r="F619">
        <v>4</v>
      </c>
      <c r="G619" t="str">
        <f>IF(Table2[[#This Row],[DistanceFromHome]]&lt;=5, "short", IF(Table2[[#This Row],[DistanceFromHome]]&lt;=15, "medium", "long"))</f>
        <v>short</v>
      </c>
      <c r="H619">
        <v>3</v>
      </c>
      <c r="I619" t="s">
        <v>46</v>
      </c>
      <c r="J619">
        <v>852</v>
      </c>
      <c r="K619">
        <v>4</v>
      </c>
      <c r="L619" t="s">
        <v>41</v>
      </c>
      <c r="M619">
        <v>50</v>
      </c>
      <c r="N619">
        <v>3</v>
      </c>
      <c r="O619">
        <v>2</v>
      </c>
      <c r="P619" t="s">
        <v>49</v>
      </c>
      <c r="Q619">
        <v>2</v>
      </c>
      <c r="R619" t="s">
        <v>37</v>
      </c>
      <c r="S619">
        <v>5933</v>
      </c>
      <c r="T619">
        <v>5197</v>
      </c>
      <c r="U619">
        <v>9</v>
      </c>
      <c r="V619" t="s">
        <v>38</v>
      </c>
      <c r="W619">
        <v>12</v>
      </c>
      <c r="X619">
        <v>3</v>
      </c>
      <c r="Y619">
        <v>4</v>
      </c>
      <c r="Z619">
        <v>0</v>
      </c>
      <c r="AA619">
        <v>10</v>
      </c>
      <c r="AB619" t="str">
        <f>IF(Table2[[#This Row],[TotalWorkingYears]]&lt;=5,"Early (0-5)",IF(Table2[[#This Row],[TotalWorkingYears]]&lt;=15,"Mid (6-15)","Senior (16+)"))</f>
        <v>Mid (6-15)</v>
      </c>
      <c r="AC619">
        <v>2</v>
      </c>
      <c r="AD619">
        <v>2</v>
      </c>
      <c r="AE619" t="s">
        <v>64</v>
      </c>
      <c r="AF619">
        <v>2</v>
      </c>
      <c r="AG619">
        <v>2</v>
      </c>
      <c r="AH619">
        <v>3</v>
      </c>
    </row>
    <row r="620" spans="1:34" x14ac:dyDescent="0.3">
      <c r="A620" t="s">
        <v>60</v>
      </c>
      <c r="B620">
        <v>0</v>
      </c>
      <c r="C620" t="s">
        <v>32</v>
      </c>
      <c r="D620">
        <v>180</v>
      </c>
      <c r="E620" t="s">
        <v>40</v>
      </c>
      <c r="F620">
        <v>2</v>
      </c>
      <c r="G620" t="str">
        <f>IF(Table2[[#This Row],[DistanceFromHome]]&lt;=5, "short", IF(Table2[[#This Row],[DistanceFromHome]]&lt;=15, "medium", "long"))</f>
        <v>short</v>
      </c>
      <c r="H620">
        <v>1</v>
      </c>
      <c r="I620" t="s">
        <v>46</v>
      </c>
      <c r="J620">
        <v>854</v>
      </c>
      <c r="K620">
        <v>1</v>
      </c>
      <c r="L620" t="s">
        <v>41</v>
      </c>
      <c r="M620">
        <v>65</v>
      </c>
      <c r="N620">
        <v>4</v>
      </c>
      <c r="O620">
        <v>1</v>
      </c>
      <c r="P620" t="s">
        <v>42</v>
      </c>
      <c r="Q620">
        <v>1</v>
      </c>
      <c r="R620" t="s">
        <v>37</v>
      </c>
      <c r="S620">
        <v>3424</v>
      </c>
      <c r="T620">
        <v>21632</v>
      </c>
      <c r="U620">
        <v>7</v>
      </c>
      <c r="V620" t="s">
        <v>38</v>
      </c>
      <c r="W620">
        <v>13</v>
      </c>
      <c r="X620">
        <v>3</v>
      </c>
      <c r="Y620">
        <v>3</v>
      </c>
      <c r="Z620">
        <v>0</v>
      </c>
      <c r="AA620">
        <v>6</v>
      </c>
      <c r="AB620" t="str">
        <f>IF(Table2[[#This Row],[TotalWorkingYears]]&lt;=5,"Early (0-5)",IF(Table2[[#This Row],[TotalWorkingYears]]&lt;=15,"Mid (6-15)","Senior (16+)"))</f>
        <v>Mid (6-15)</v>
      </c>
      <c r="AC620">
        <v>3</v>
      </c>
      <c r="AD620">
        <v>2</v>
      </c>
      <c r="AE620" t="s">
        <v>64</v>
      </c>
      <c r="AF620">
        <v>3</v>
      </c>
      <c r="AG620">
        <v>0</v>
      </c>
      <c r="AH620">
        <v>1</v>
      </c>
    </row>
    <row r="621" spans="1:34" x14ac:dyDescent="0.3">
      <c r="A621" t="s">
        <v>59</v>
      </c>
      <c r="B621">
        <v>0</v>
      </c>
      <c r="C621" t="s">
        <v>32</v>
      </c>
      <c r="D621">
        <v>586</v>
      </c>
      <c r="E621" t="s">
        <v>33</v>
      </c>
      <c r="F621">
        <v>1</v>
      </c>
      <c r="G621" t="str">
        <f>IF(Table2[[#This Row],[DistanceFromHome]]&lt;=5, "short", IF(Table2[[#This Row],[DistanceFromHome]]&lt;=15, "medium", "long"))</f>
        <v>short</v>
      </c>
      <c r="H621">
        <v>3</v>
      </c>
      <c r="I621" t="s">
        <v>46</v>
      </c>
      <c r="J621">
        <v>855</v>
      </c>
      <c r="K621">
        <v>1</v>
      </c>
      <c r="L621" t="s">
        <v>41</v>
      </c>
      <c r="M621">
        <v>48</v>
      </c>
      <c r="N621">
        <v>4</v>
      </c>
      <c r="O621">
        <v>2</v>
      </c>
      <c r="P621" t="s">
        <v>36</v>
      </c>
      <c r="Q621">
        <v>1</v>
      </c>
      <c r="R621" t="s">
        <v>47</v>
      </c>
      <c r="S621">
        <v>4037</v>
      </c>
      <c r="T621">
        <v>21816</v>
      </c>
      <c r="U621">
        <v>1</v>
      </c>
      <c r="V621" t="s">
        <v>38</v>
      </c>
      <c r="W621">
        <v>22</v>
      </c>
      <c r="X621">
        <v>4</v>
      </c>
      <c r="Y621">
        <v>1</v>
      </c>
      <c r="Z621">
        <v>1</v>
      </c>
      <c r="AA621">
        <v>9</v>
      </c>
      <c r="AB621" t="str">
        <f>IF(Table2[[#This Row],[TotalWorkingYears]]&lt;=5,"Early (0-5)",IF(Table2[[#This Row],[TotalWorkingYears]]&lt;=15,"Mid (6-15)","Senior (16+)"))</f>
        <v>Mid (6-15)</v>
      </c>
      <c r="AC621">
        <v>5</v>
      </c>
      <c r="AD621">
        <v>3</v>
      </c>
      <c r="AE621" t="s">
        <v>62</v>
      </c>
      <c r="AF621">
        <v>8</v>
      </c>
      <c r="AG621">
        <v>0</v>
      </c>
      <c r="AH621">
        <v>8</v>
      </c>
    </row>
    <row r="622" spans="1:34" x14ac:dyDescent="0.3">
      <c r="A622" t="s">
        <v>59</v>
      </c>
      <c r="B622">
        <v>0</v>
      </c>
      <c r="C622" t="s">
        <v>32</v>
      </c>
      <c r="D622">
        <v>1343</v>
      </c>
      <c r="E622" t="s">
        <v>40</v>
      </c>
      <c r="F622">
        <v>27</v>
      </c>
      <c r="G622" t="str">
        <f>IF(Table2[[#This Row],[DistanceFromHome]]&lt;=5, "short", IF(Table2[[#This Row],[DistanceFromHome]]&lt;=15, "medium", "long"))</f>
        <v>long</v>
      </c>
      <c r="H622">
        <v>1</v>
      </c>
      <c r="I622" t="s">
        <v>46</v>
      </c>
      <c r="J622">
        <v>856</v>
      </c>
      <c r="K622">
        <v>3</v>
      </c>
      <c r="L622" t="s">
        <v>35</v>
      </c>
      <c r="M622">
        <v>53</v>
      </c>
      <c r="N622">
        <v>2</v>
      </c>
      <c r="O622">
        <v>1</v>
      </c>
      <c r="P622" t="s">
        <v>42</v>
      </c>
      <c r="Q622">
        <v>1</v>
      </c>
      <c r="R622" t="s">
        <v>37</v>
      </c>
      <c r="S622">
        <v>2559</v>
      </c>
      <c r="T622">
        <v>17852</v>
      </c>
      <c r="U622">
        <v>1</v>
      </c>
      <c r="V622" t="s">
        <v>38</v>
      </c>
      <c r="W622">
        <v>11</v>
      </c>
      <c r="X622">
        <v>3</v>
      </c>
      <c r="Y622">
        <v>4</v>
      </c>
      <c r="Z622">
        <v>0</v>
      </c>
      <c r="AA622">
        <v>6</v>
      </c>
      <c r="AB622" t="str">
        <f>IF(Table2[[#This Row],[TotalWorkingYears]]&lt;=5,"Early (0-5)",IF(Table2[[#This Row],[TotalWorkingYears]]&lt;=15,"Mid (6-15)","Senior (16+)"))</f>
        <v>Mid (6-15)</v>
      </c>
      <c r="AC622">
        <v>3</v>
      </c>
      <c r="AD622">
        <v>2</v>
      </c>
      <c r="AE622" t="s">
        <v>62</v>
      </c>
      <c r="AF622">
        <v>5</v>
      </c>
      <c r="AG622">
        <v>1</v>
      </c>
      <c r="AH622">
        <v>1</v>
      </c>
    </row>
    <row r="623" spans="1:34" x14ac:dyDescent="0.3">
      <c r="A623" t="s">
        <v>57</v>
      </c>
      <c r="B623">
        <v>0</v>
      </c>
      <c r="C623" t="s">
        <v>32</v>
      </c>
      <c r="D623">
        <v>928</v>
      </c>
      <c r="E623" t="s">
        <v>33</v>
      </c>
      <c r="F623">
        <v>1</v>
      </c>
      <c r="G623" t="str">
        <f>IF(Table2[[#This Row],[DistanceFromHome]]&lt;=5, "short", IF(Table2[[#This Row],[DistanceFromHome]]&lt;=15, "medium", "long"))</f>
        <v>short</v>
      </c>
      <c r="H623">
        <v>2</v>
      </c>
      <c r="I623" t="s">
        <v>34</v>
      </c>
      <c r="J623">
        <v>857</v>
      </c>
      <c r="K623">
        <v>2</v>
      </c>
      <c r="L623" t="s">
        <v>41</v>
      </c>
      <c r="M623">
        <v>56</v>
      </c>
      <c r="N623">
        <v>3</v>
      </c>
      <c r="O623">
        <v>2</v>
      </c>
      <c r="P623" t="s">
        <v>36</v>
      </c>
      <c r="Q623">
        <v>4</v>
      </c>
      <c r="R623" t="s">
        <v>43</v>
      </c>
      <c r="S623">
        <v>6201</v>
      </c>
      <c r="T623">
        <v>2823</v>
      </c>
      <c r="U623">
        <v>1</v>
      </c>
      <c r="V623" t="s">
        <v>31</v>
      </c>
      <c r="W623">
        <v>14</v>
      </c>
      <c r="X623">
        <v>3</v>
      </c>
      <c r="Y623">
        <v>4</v>
      </c>
      <c r="Z623">
        <v>1</v>
      </c>
      <c r="AA623">
        <v>18</v>
      </c>
      <c r="AB623" t="str">
        <f>IF(Table2[[#This Row],[TotalWorkingYears]]&lt;=5,"Early (0-5)",IF(Table2[[#This Row],[TotalWorkingYears]]&lt;=15,"Mid (6-15)","Senior (16+)"))</f>
        <v>Senior (16+)</v>
      </c>
      <c r="AC623">
        <v>1</v>
      </c>
      <c r="AD623">
        <v>2</v>
      </c>
      <c r="AE623" t="s">
        <v>65</v>
      </c>
      <c r="AF623">
        <v>14</v>
      </c>
      <c r="AG623">
        <v>4</v>
      </c>
      <c r="AH623">
        <v>11</v>
      </c>
    </row>
    <row r="624" spans="1:34" x14ac:dyDescent="0.3">
      <c r="A624" t="s">
        <v>59</v>
      </c>
      <c r="B624">
        <v>0</v>
      </c>
      <c r="C624" t="s">
        <v>32</v>
      </c>
      <c r="D624">
        <v>117</v>
      </c>
      <c r="E624" t="s">
        <v>33</v>
      </c>
      <c r="F624">
        <v>13</v>
      </c>
      <c r="G624" t="str">
        <f>IF(Table2[[#This Row],[DistanceFromHome]]&lt;=5, "short", IF(Table2[[#This Row],[DistanceFromHome]]&lt;=15, "medium", "long"))</f>
        <v>medium</v>
      </c>
      <c r="H624">
        <v>4</v>
      </c>
      <c r="I624" t="s">
        <v>34</v>
      </c>
      <c r="J624">
        <v>859</v>
      </c>
      <c r="K624">
        <v>2</v>
      </c>
      <c r="L624" t="s">
        <v>41</v>
      </c>
      <c r="M624">
        <v>73</v>
      </c>
      <c r="N624">
        <v>3</v>
      </c>
      <c r="O624">
        <v>2</v>
      </c>
      <c r="P624" t="s">
        <v>36</v>
      </c>
      <c r="Q624">
        <v>4</v>
      </c>
      <c r="R624" t="s">
        <v>47</v>
      </c>
      <c r="S624">
        <v>4403</v>
      </c>
      <c r="T624">
        <v>9250</v>
      </c>
      <c r="U624">
        <v>2</v>
      </c>
      <c r="V624" t="s">
        <v>38</v>
      </c>
      <c r="W624">
        <v>11</v>
      </c>
      <c r="X624">
        <v>3</v>
      </c>
      <c r="Y624">
        <v>3</v>
      </c>
      <c r="Z624">
        <v>1</v>
      </c>
      <c r="AA624">
        <v>8</v>
      </c>
      <c r="AB624" t="str">
        <f>IF(Table2[[#This Row],[TotalWorkingYears]]&lt;=5,"Early (0-5)",IF(Table2[[#This Row],[TotalWorkingYears]]&lt;=15,"Mid (6-15)","Senior (16+)"))</f>
        <v>Mid (6-15)</v>
      </c>
      <c r="AC624">
        <v>3</v>
      </c>
      <c r="AD624">
        <v>2</v>
      </c>
      <c r="AE624" t="s">
        <v>64</v>
      </c>
      <c r="AF624">
        <v>2</v>
      </c>
      <c r="AG624">
        <v>0</v>
      </c>
      <c r="AH624">
        <v>3</v>
      </c>
    </row>
    <row r="625" spans="1:34" x14ac:dyDescent="0.3">
      <c r="A625" t="s">
        <v>59</v>
      </c>
      <c r="B625">
        <v>0</v>
      </c>
      <c r="C625" t="s">
        <v>39</v>
      </c>
      <c r="D625">
        <v>1012</v>
      </c>
      <c r="E625" t="s">
        <v>40</v>
      </c>
      <c r="F625">
        <v>5</v>
      </c>
      <c r="G625" t="str">
        <f>IF(Table2[[#This Row],[DistanceFromHome]]&lt;=5, "short", IF(Table2[[#This Row],[DistanceFromHome]]&lt;=15, "medium", "long"))</f>
        <v>short</v>
      </c>
      <c r="H625">
        <v>4</v>
      </c>
      <c r="I625" t="s">
        <v>34</v>
      </c>
      <c r="J625">
        <v>861</v>
      </c>
      <c r="K625">
        <v>2</v>
      </c>
      <c r="L625" t="s">
        <v>41</v>
      </c>
      <c r="M625">
        <v>75</v>
      </c>
      <c r="N625">
        <v>2</v>
      </c>
      <c r="O625">
        <v>1</v>
      </c>
      <c r="P625" t="s">
        <v>42</v>
      </c>
      <c r="Q625">
        <v>4</v>
      </c>
      <c r="R625" t="s">
        <v>47</v>
      </c>
      <c r="S625">
        <v>3761</v>
      </c>
      <c r="T625">
        <v>2373</v>
      </c>
      <c r="U625">
        <v>9</v>
      </c>
      <c r="V625" t="s">
        <v>38</v>
      </c>
      <c r="W625">
        <v>12</v>
      </c>
      <c r="X625">
        <v>3</v>
      </c>
      <c r="Y625">
        <v>2</v>
      </c>
      <c r="Z625">
        <v>1</v>
      </c>
      <c r="AA625">
        <v>10</v>
      </c>
      <c r="AB625" t="str">
        <f>IF(Table2[[#This Row],[TotalWorkingYears]]&lt;=5,"Early (0-5)",IF(Table2[[#This Row],[TotalWorkingYears]]&lt;=15,"Mid (6-15)","Senior (16+)"))</f>
        <v>Mid (6-15)</v>
      </c>
      <c r="AC625">
        <v>3</v>
      </c>
      <c r="AD625">
        <v>2</v>
      </c>
      <c r="AE625" t="s">
        <v>64</v>
      </c>
      <c r="AF625">
        <v>4</v>
      </c>
      <c r="AG625">
        <v>0</v>
      </c>
      <c r="AH625">
        <v>3</v>
      </c>
    </row>
    <row r="626" spans="1:34" x14ac:dyDescent="0.3">
      <c r="A626" t="s">
        <v>58</v>
      </c>
      <c r="B626">
        <v>0</v>
      </c>
      <c r="C626" t="s">
        <v>32</v>
      </c>
      <c r="D626">
        <v>661</v>
      </c>
      <c r="E626" t="s">
        <v>33</v>
      </c>
      <c r="F626">
        <v>7</v>
      </c>
      <c r="G626" t="str">
        <f>IF(Table2[[#This Row],[DistanceFromHome]]&lt;=5, "short", IF(Table2[[#This Row],[DistanceFromHome]]&lt;=15, "medium", "long"))</f>
        <v>medium</v>
      </c>
      <c r="H626">
        <v>2</v>
      </c>
      <c r="I626" t="s">
        <v>54</v>
      </c>
      <c r="J626">
        <v>862</v>
      </c>
      <c r="K626">
        <v>1</v>
      </c>
      <c r="L626" t="s">
        <v>35</v>
      </c>
      <c r="M626">
        <v>78</v>
      </c>
      <c r="N626">
        <v>2</v>
      </c>
      <c r="O626">
        <v>3</v>
      </c>
      <c r="P626" t="s">
        <v>36</v>
      </c>
      <c r="Q626">
        <v>4</v>
      </c>
      <c r="R626" t="s">
        <v>43</v>
      </c>
      <c r="S626">
        <v>10934</v>
      </c>
      <c r="T626">
        <v>20715</v>
      </c>
      <c r="U626">
        <v>7</v>
      </c>
      <c r="V626" t="s">
        <v>31</v>
      </c>
      <c r="W626">
        <v>18</v>
      </c>
      <c r="X626">
        <v>3</v>
      </c>
      <c r="Y626">
        <v>4</v>
      </c>
      <c r="Z626">
        <v>1</v>
      </c>
      <c r="AA626">
        <v>35</v>
      </c>
      <c r="AB626" t="str">
        <f>IF(Table2[[#This Row],[TotalWorkingYears]]&lt;=5,"Early (0-5)",IF(Table2[[#This Row],[TotalWorkingYears]]&lt;=15,"Mid (6-15)","Senior (16+)"))</f>
        <v>Senior (16+)</v>
      </c>
      <c r="AC626">
        <v>3</v>
      </c>
      <c r="AD626">
        <v>3</v>
      </c>
      <c r="AE626" t="s">
        <v>64</v>
      </c>
      <c r="AF626">
        <v>2</v>
      </c>
      <c r="AG626">
        <v>0</v>
      </c>
      <c r="AH626">
        <v>4</v>
      </c>
    </row>
    <row r="627" spans="1:34" x14ac:dyDescent="0.3">
      <c r="A627" t="s">
        <v>57</v>
      </c>
      <c r="B627">
        <v>0</v>
      </c>
      <c r="C627" t="s">
        <v>32</v>
      </c>
      <c r="D627">
        <v>930</v>
      </c>
      <c r="E627" t="s">
        <v>33</v>
      </c>
      <c r="F627">
        <v>9</v>
      </c>
      <c r="G627" t="str">
        <f>IF(Table2[[#This Row],[DistanceFromHome]]&lt;=5, "short", IF(Table2[[#This Row],[DistanceFromHome]]&lt;=15, "medium", "long"))</f>
        <v>medium</v>
      </c>
      <c r="H627">
        <v>3</v>
      </c>
      <c r="I627" t="s">
        <v>54</v>
      </c>
      <c r="J627">
        <v>864</v>
      </c>
      <c r="K627">
        <v>4</v>
      </c>
      <c r="L627" t="s">
        <v>41</v>
      </c>
      <c r="M627">
        <v>74</v>
      </c>
      <c r="N627">
        <v>3</v>
      </c>
      <c r="O627">
        <v>3</v>
      </c>
      <c r="P627" t="s">
        <v>36</v>
      </c>
      <c r="Q627">
        <v>1</v>
      </c>
      <c r="R627" t="s">
        <v>47</v>
      </c>
      <c r="S627">
        <v>10761</v>
      </c>
      <c r="T627">
        <v>19239</v>
      </c>
      <c r="U627">
        <v>4</v>
      </c>
      <c r="V627" t="s">
        <v>31</v>
      </c>
      <c r="W627">
        <v>12</v>
      </c>
      <c r="X627">
        <v>3</v>
      </c>
      <c r="Y627">
        <v>3</v>
      </c>
      <c r="Z627">
        <v>1</v>
      </c>
      <c r="AA627">
        <v>18</v>
      </c>
      <c r="AB627" t="str">
        <f>IF(Table2[[#This Row],[TotalWorkingYears]]&lt;=5,"Early (0-5)",IF(Table2[[#This Row],[TotalWorkingYears]]&lt;=15,"Mid (6-15)","Senior (16+)"))</f>
        <v>Senior (16+)</v>
      </c>
      <c r="AC627">
        <v>2</v>
      </c>
      <c r="AD627">
        <v>3</v>
      </c>
      <c r="AE627" t="s">
        <v>64</v>
      </c>
      <c r="AF627">
        <v>4</v>
      </c>
      <c r="AG627">
        <v>0</v>
      </c>
      <c r="AH627">
        <v>2</v>
      </c>
    </row>
    <row r="628" spans="1:34" x14ac:dyDescent="0.3">
      <c r="A628" t="s">
        <v>59</v>
      </c>
      <c r="B628">
        <v>0</v>
      </c>
      <c r="C628" t="s">
        <v>32</v>
      </c>
      <c r="D628">
        <v>638</v>
      </c>
      <c r="E628" t="s">
        <v>40</v>
      </c>
      <c r="F628">
        <v>8</v>
      </c>
      <c r="G628" t="str">
        <f>IF(Table2[[#This Row],[DistanceFromHome]]&lt;=5, "short", IF(Table2[[#This Row],[DistanceFromHome]]&lt;=15, "medium", "long"))</f>
        <v>medium</v>
      </c>
      <c r="H628">
        <v>2</v>
      </c>
      <c r="I628" t="s">
        <v>46</v>
      </c>
      <c r="J628">
        <v>865</v>
      </c>
      <c r="K628">
        <v>3</v>
      </c>
      <c r="L628" t="s">
        <v>35</v>
      </c>
      <c r="M628">
        <v>91</v>
      </c>
      <c r="N628">
        <v>4</v>
      </c>
      <c r="O628">
        <v>2</v>
      </c>
      <c r="P628" t="s">
        <v>42</v>
      </c>
      <c r="Q628">
        <v>3</v>
      </c>
      <c r="R628" t="s">
        <v>43</v>
      </c>
      <c r="S628">
        <v>5175</v>
      </c>
      <c r="T628">
        <v>22162</v>
      </c>
      <c r="U628">
        <v>5</v>
      </c>
      <c r="V628" t="s">
        <v>38</v>
      </c>
      <c r="W628">
        <v>12</v>
      </c>
      <c r="X628">
        <v>3</v>
      </c>
      <c r="Y628">
        <v>3</v>
      </c>
      <c r="Z628">
        <v>1</v>
      </c>
      <c r="AA628">
        <v>9</v>
      </c>
      <c r="AB628" t="str">
        <f>IF(Table2[[#This Row],[TotalWorkingYears]]&lt;=5,"Early (0-5)",IF(Table2[[#This Row],[TotalWorkingYears]]&lt;=15,"Mid (6-15)","Senior (16+)"))</f>
        <v>Mid (6-15)</v>
      </c>
      <c r="AC628">
        <v>3</v>
      </c>
      <c r="AD628">
        <v>2</v>
      </c>
      <c r="AE628" t="s">
        <v>64</v>
      </c>
      <c r="AF628">
        <v>3</v>
      </c>
      <c r="AG628">
        <v>1</v>
      </c>
      <c r="AH628">
        <v>3</v>
      </c>
    </row>
    <row r="629" spans="1:34" x14ac:dyDescent="0.3">
      <c r="A629" t="s">
        <v>58</v>
      </c>
      <c r="B629">
        <v>0</v>
      </c>
      <c r="C629" t="s">
        <v>39</v>
      </c>
      <c r="D629">
        <v>890</v>
      </c>
      <c r="E629" t="s">
        <v>40</v>
      </c>
      <c r="F629">
        <v>25</v>
      </c>
      <c r="G629" t="str">
        <f>IF(Table2[[#This Row],[DistanceFromHome]]&lt;=5, "short", IF(Table2[[#This Row],[DistanceFromHome]]&lt;=15, "medium", "long"))</f>
        <v>long</v>
      </c>
      <c r="H629">
        <v>4</v>
      </c>
      <c r="I629" t="s">
        <v>46</v>
      </c>
      <c r="J629">
        <v>867</v>
      </c>
      <c r="K629">
        <v>3</v>
      </c>
      <c r="L629" t="s">
        <v>35</v>
      </c>
      <c r="M629">
        <v>81</v>
      </c>
      <c r="N629">
        <v>2</v>
      </c>
      <c r="O629">
        <v>4</v>
      </c>
      <c r="P629" t="s">
        <v>48</v>
      </c>
      <c r="Q629">
        <v>4</v>
      </c>
      <c r="R629" t="s">
        <v>43</v>
      </c>
      <c r="S629">
        <v>13826</v>
      </c>
      <c r="T629">
        <v>19028</v>
      </c>
      <c r="U629">
        <v>3</v>
      </c>
      <c r="V629" t="s">
        <v>38</v>
      </c>
      <c r="W629">
        <v>22</v>
      </c>
      <c r="X629">
        <v>4</v>
      </c>
      <c r="Y629">
        <v>3</v>
      </c>
      <c r="Z629">
        <v>0</v>
      </c>
      <c r="AA629">
        <v>31</v>
      </c>
      <c r="AB629" t="str">
        <f>IF(Table2[[#This Row],[TotalWorkingYears]]&lt;=5,"Early (0-5)",IF(Table2[[#This Row],[TotalWorkingYears]]&lt;=15,"Mid (6-15)","Senior (16+)"))</f>
        <v>Senior (16+)</v>
      </c>
      <c r="AC629">
        <v>3</v>
      </c>
      <c r="AD629">
        <v>3</v>
      </c>
      <c r="AE629" t="s">
        <v>62</v>
      </c>
      <c r="AF629">
        <v>8</v>
      </c>
      <c r="AG629">
        <v>0</v>
      </c>
      <c r="AH629">
        <v>0</v>
      </c>
    </row>
    <row r="630" spans="1:34" x14ac:dyDescent="0.3">
      <c r="A630" t="s">
        <v>57</v>
      </c>
      <c r="B630">
        <v>0</v>
      </c>
      <c r="C630" t="s">
        <v>32</v>
      </c>
      <c r="D630">
        <v>342</v>
      </c>
      <c r="E630" t="s">
        <v>33</v>
      </c>
      <c r="F630">
        <v>16</v>
      </c>
      <c r="G630" t="str">
        <f>IF(Table2[[#This Row],[DistanceFromHome]]&lt;=5, "short", IF(Table2[[#This Row],[DistanceFromHome]]&lt;=15, "medium", "long"))</f>
        <v>long</v>
      </c>
      <c r="H630">
        <v>4</v>
      </c>
      <c r="I630" t="s">
        <v>54</v>
      </c>
      <c r="J630">
        <v>868</v>
      </c>
      <c r="K630">
        <v>4</v>
      </c>
      <c r="L630" t="s">
        <v>41</v>
      </c>
      <c r="M630">
        <v>66</v>
      </c>
      <c r="N630">
        <v>2</v>
      </c>
      <c r="O630">
        <v>2</v>
      </c>
      <c r="P630" t="s">
        <v>36</v>
      </c>
      <c r="Q630">
        <v>3</v>
      </c>
      <c r="R630" t="s">
        <v>47</v>
      </c>
      <c r="S630">
        <v>6334</v>
      </c>
      <c r="T630">
        <v>24558</v>
      </c>
      <c r="U630">
        <v>4</v>
      </c>
      <c r="V630" t="s">
        <v>38</v>
      </c>
      <c r="W630">
        <v>19</v>
      </c>
      <c r="X630">
        <v>3</v>
      </c>
      <c r="Y630">
        <v>4</v>
      </c>
      <c r="Z630">
        <v>2</v>
      </c>
      <c r="AA630">
        <v>9</v>
      </c>
      <c r="AB630" t="str">
        <f>IF(Table2[[#This Row],[TotalWorkingYears]]&lt;=5,"Early (0-5)",IF(Table2[[#This Row],[TotalWorkingYears]]&lt;=15,"Mid (6-15)","Senior (16+)"))</f>
        <v>Mid (6-15)</v>
      </c>
      <c r="AC630">
        <v>2</v>
      </c>
      <c r="AD630">
        <v>3</v>
      </c>
      <c r="AE630" t="s">
        <v>63</v>
      </c>
      <c r="AF630">
        <v>0</v>
      </c>
      <c r="AG630">
        <v>0</v>
      </c>
      <c r="AH630">
        <v>0</v>
      </c>
    </row>
    <row r="631" spans="1:34" x14ac:dyDescent="0.3">
      <c r="A631" t="s">
        <v>59</v>
      </c>
      <c r="B631">
        <v>0</v>
      </c>
      <c r="C631" t="s">
        <v>32</v>
      </c>
      <c r="D631">
        <v>1169</v>
      </c>
      <c r="E631" t="s">
        <v>56</v>
      </c>
      <c r="F631">
        <v>8</v>
      </c>
      <c r="G631" t="str">
        <f>IF(Table2[[#This Row],[DistanceFromHome]]&lt;=5, "short", IF(Table2[[#This Row],[DistanceFromHome]]&lt;=15, "medium", "long"))</f>
        <v>medium</v>
      </c>
      <c r="H631">
        <v>2</v>
      </c>
      <c r="I631" t="s">
        <v>46</v>
      </c>
      <c r="J631">
        <v>869</v>
      </c>
      <c r="K631">
        <v>2</v>
      </c>
      <c r="L631" t="s">
        <v>41</v>
      </c>
      <c r="M631">
        <v>63</v>
      </c>
      <c r="N631">
        <v>2</v>
      </c>
      <c r="O631">
        <v>1</v>
      </c>
      <c r="P631" t="s">
        <v>56</v>
      </c>
      <c r="Q631">
        <v>4</v>
      </c>
      <c r="R631" t="s">
        <v>47</v>
      </c>
      <c r="S631">
        <v>4936</v>
      </c>
      <c r="T631">
        <v>23965</v>
      </c>
      <c r="U631">
        <v>1</v>
      </c>
      <c r="V631" t="s">
        <v>38</v>
      </c>
      <c r="W631">
        <v>13</v>
      </c>
      <c r="X631">
        <v>3</v>
      </c>
      <c r="Y631">
        <v>4</v>
      </c>
      <c r="Z631">
        <v>1</v>
      </c>
      <c r="AA631">
        <v>6</v>
      </c>
      <c r="AB631" t="str">
        <f>IF(Table2[[#This Row],[TotalWorkingYears]]&lt;=5,"Early (0-5)",IF(Table2[[#This Row],[TotalWorkingYears]]&lt;=15,"Mid (6-15)","Senior (16+)"))</f>
        <v>Mid (6-15)</v>
      </c>
      <c r="AC631">
        <v>6</v>
      </c>
      <c r="AD631">
        <v>3</v>
      </c>
      <c r="AE631" t="s">
        <v>64</v>
      </c>
      <c r="AF631">
        <v>1</v>
      </c>
      <c r="AG631">
        <v>0</v>
      </c>
      <c r="AH631">
        <v>4</v>
      </c>
    </row>
    <row r="632" spans="1:34" x14ac:dyDescent="0.3">
      <c r="A632" t="s">
        <v>60</v>
      </c>
      <c r="B632">
        <v>0</v>
      </c>
      <c r="C632" t="s">
        <v>32</v>
      </c>
      <c r="D632">
        <v>1230</v>
      </c>
      <c r="E632" t="s">
        <v>40</v>
      </c>
      <c r="F632">
        <v>1</v>
      </c>
      <c r="G632" t="str">
        <f>IF(Table2[[#This Row],[DistanceFromHome]]&lt;=5, "short", IF(Table2[[#This Row],[DistanceFromHome]]&lt;=15, "medium", "long"))</f>
        <v>short</v>
      </c>
      <c r="H632">
        <v>2</v>
      </c>
      <c r="I632" t="s">
        <v>34</v>
      </c>
      <c r="J632">
        <v>872</v>
      </c>
      <c r="K632">
        <v>4</v>
      </c>
      <c r="L632" t="s">
        <v>41</v>
      </c>
      <c r="M632">
        <v>33</v>
      </c>
      <c r="N632">
        <v>2</v>
      </c>
      <c r="O632">
        <v>2</v>
      </c>
      <c r="P632" t="s">
        <v>48</v>
      </c>
      <c r="Q632">
        <v>4</v>
      </c>
      <c r="R632" t="s">
        <v>43</v>
      </c>
      <c r="S632">
        <v>4775</v>
      </c>
      <c r="T632">
        <v>19146</v>
      </c>
      <c r="U632">
        <v>6</v>
      </c>
      <c r="V632" t="s">
        <v>38</v>
      </c>
      <c r="W632">
        <v>22</v>
      </c>
      <c r="X632">
        <v>4</v>
      </c>
      <c r="Y632">
        <v>1</v>
      </c>
      <c r="Z632">
        <v>2</v>
      </c>
      <c r="AA632">
        <v>4</v>
      </c>
      <c r="AB632" t="str">
        <f>IF(Table2[[#This Row],[TotalWorkingYears]]&lt;=5,"Early (0-5)",IF(Table2[[#This Row],[TotalWorkingYears]]&lt;=15,"Mid (6-15)","Senior (16+)"))</f>
        <v>Early (0-5)</v>
      </c>
      <c r="AC632">
        <v>2</v>
      </c>
      <c r="AD632">
        <v>1</v>
      </c>
      <c r="AE632" t="s">
        <v>63</v>
      </c>
      <c r="AF632">
        <v>2</v>
      </c>
      <c r="AG632">
        <v>2</v>
      </c>
      <c r="AH632">
        <v>2</v>
      </c>
    </row>
    <row r="633" spans="1:34" x14ac:dyDescent="0.3">
      <c r="A633" t="s">
        <v>57</v>
      </c>
      <c r="B633">
        <v>0</v>
      </c>
      <c r="C633" t="s">
        <v>32</v>
      </c>
      <c r="D633">
        <v>986</v>
      </c>
      <c r="E633" t="s">
        <v>40</v>
      </c>
      <c r="F633">
        <v>8</v>
      </c>
      <c r="G633" t="str">
        <f>IF(Table2[[#This Row],[DistanceFromHome]]&lt;=5, "short", IF(Table2[[#This Row],[DistanceFromHome]]&lt;=15, "medium", "long"))</f>
        <v>medium</v>
      </c>
      <c r="H633">
        <v>4</v>
      </c>
      <c r="I633" t="s">
        <v>34</v>
      </c>
      <c r="J633">
        <v>874</v>
      </c>
      <c r="K633">
        <v>1</v>
      </c>
      <c r="L633" t="s">
        <v>41</v>
      </c>
      <c r="M633">
        <v>62</v>
      </c>
      <c r="N633">
        <v>4</v>
      </c>
      <c r="O633">
        <v>1</v>
      </c>
      <c r="P633" t="s">
        <v>45</v>
      </c>
      <c r="Q633">
        <v>4</v>
      </c>
      <c r="R633" t="s">
        <v>43</v>
      </c>
      <c r="S633">
        <v>2818</v>
      </c>
      <c r="T633">
        <v>5044</v>
      </c>
      <c r="U633">
        <v>2</v>
      </c>
      <c r="V633" t="s">
        <v>31</v>
      </c>
      <c r="W633">
        <v>24</v>
      </c>
      <c r="X633">
        <v>4</v>
      </c>
      <c r="Y633">
        <v>3</v>
      </c>
      <c r="Z633">
        <v>1</v>
      </c>
      <c r="AA633">
        <v>10</v>
      </c>
      <c r="AB633" t="str">
        <f>IF(Table2[[#This Row],[TotalWorkingYears]]&lt;=5,"Early (0-5)",IF(Table2[[#This Row],[TotalWorkingYears]]&lt;=15,"Mid (6-15)","Senior (16+)"))</f>
        <v>Mid (6-15)</v>
      </c>
      <c r="AC633">
        <v>2</v>
      </c>
      <c r="AD633">
        <v>2</v>
      </c>
      <c r="AE633" t="s">
        <v>64</v>
      </c>
      <c r="AF633">
        <v>2</v>
      </c>
      <c r="AG633">
        <v>0</v>
      </c>
      <c r="AH633">
        <v>2</v>
      </c>
    </row>
    <row r="634" spans="1:34" x14ac:dyDescent="0.3">
      <c r="A634" t="s">
        <v>57</v>
      </c>
      <c r="B634">
        <v>0</v>
      </c>
      <c r="C634" t="s">
        <v>39</v>
      </c>
      <c r="D634">
        <v>1271</v>
      </c>
      <c r="E634" t="s">
        <v>40</v>
      </c>
      <c r="F634">
        <v>2</v>
      </c>
      <c r="G634" t="str">
        <f>IF(Table2[[#This Row],[DistanceFromHome]]&lt;=5, "short", IF(Table2[[#This Row],[DistanceFromHome]]&lt;=15, "medium", "long"))</f>
        <v>short</v>
      </c>
      <c r="H634">
        <v>1</v>
      </c>
      <c r="I634" t="s">
        <v>46</v>
      </c>
      <c r="J634">
        <v>875</v>
      </c>
      <c r="K634">
        <v>2</v>
      </c>
      <c r="L634" t="s">
        <v>41</v>
      </c>
      <c r="M634">
        <v>35</v>
      </c>
      <c r="N634">
        <v>3</v>
      </c>
      <c r="O634">
        <v>1</v>
      </c>
      <c r="P634" t="s">
        <v>42</v>
      </c>
      <c r="Q634">
        <v>4</v>
      </c>
      <c r="R634" t="s">
        <v>37</v>
      </c>
      <c r="S634">
        <v>2515</v>
      </c>
      <c r="T634">
        <v>9068</v>
      </c>
      <c r="U634">
        <v>5</v>
      </c>
      <c r="V634" t="s">
        <v>31</v>
      </c>
      <c r="W634">
        <v>14</v>
      </c>
      <c r="X634">
        <v>3</v>
      </c>
      <c r="Y634">
        <v>4</v>
      </c>
      <c r="Z634">
        <v>0</v>
      </c>
      <c r="AA634">
        <v>8</v>
      </c>
      <c r="AB634" t="str">
        <f>IF(Table2[[#This Row],[TotalWorkingYears]]&lt;=5,"Early (0-5)",IF(Table2[[#This Row],[TotalWorkingYears]]&lt;=15,"Mid (6-15)","Senior (16+)"))</f>
        <v>Mid (6-15)</v>
      </c>
      <c r="AC634">
        <v>2</v>
      </c>
      <c r="AD634">
        <v>3</v>
      </c>
      <c r="AE634" t="s">
        <v>63</v>
      </c>
      <c r="AF634">
        <v>1</v>
      </c>
      <c r="AG634">
        <v>2</v>
      </c>
      <c r="AH634">
        <v>2</v>
      </c>
    </row>
    <row r="635" spans="1:34" x14ac:dyDescent="0.3">
      <c r="A635" t="s">
        <v>57</v>
      </c>
      <c r="B635">
        <v>0</v>
      </c>
      <c r="C635" t="s">
        <v>32</v>
      </c>
      <c r="D635">
        <v>1278</v>
      </c>
      <c r="E635" t="s">
        <v>56</v>
      </c>
      <c r="F635">
        <v>8</v>
      </c>
      <c r="G635" t="str">
        <f>IF(Table2[[#This Row],[DistanceFromHome]]&lt;=5, "short", IF(Table2[[#This Row],[DistanceFromHome]]&lt;=15, "medium", "long"))</f>
        <v>medium</v>
      </c>
      <c r="H635">
        <v>3</v>
      </c>
      <c r="I635" t="s">
        <v>34</v>
      </c>
      <c r="J635">
        <v>878</v>
      </c>
      <c r="K635">
        <v>1</v>
      </c>
      <c r="L635" t="s">
        <v>41</v>
      </c>
      <c r="M635">
        <v>77</v>
      </c>
      <c r="N635">
        <v>2</v>
      </c>
      <c r="O635">
        <v>1</v>
      </c>
      <c r="P635" t="s">
        <v>56</v>
      </c>
      <c r="Q635">
        <v>1</v>
      </c>
      <c r="R635" t="s">
        <v>43</v>
      </c>
      <c r="S635">
        <v>2342</v>
      </c>
      <c r="T635">
        <v>8635</v>
      </c>
      <c r="U635">
        <v>0</v>
      </c>
      <c r="V635" t="s">
        <v>38</v>
      </c>
      <c r="W635">
        <v>21</v>
      </c>
      <c r="X635">
        <v>4</v>
      </c>
      <c r="Y635">
        <v>3</v>
      </c>
      <c r="Z635">
        <v>0</v>
      </c>
      <c r="AA635">
        <v>6</v>
      </c>
      <c r="AB635" t="str">
        <f>IF(Table2[[#This Row],[TotalWorkingYears]]&lt;=5,"Early (0-5)",IF(Table2[[#This Row],[TotalWorkingYears]]&lt;=15,"Mid (6-15)","Senior (16+)"))</f>
        <v>Mid (6-15)</v>
      </c>
      <c r="AC635">
        <v>3</v>
      </c>
      <c r="AD635">
        <v>3</v>
      </c>
      <c r="AE635" t="s">
        <v>64</v>
      </c>
      <c r="AF635">
        <v>4</v>
      </c>
      <c r="AG635">
        <v>0</v>
      </c>
      <c r="AH635">
        <v>3</v>
      </c>
    </row>
    <row r="636" spans="1:34" x14ac:dyDescent="0.3">
      <c r="A636" t="s">
        <v>60</v>
      </c>
      <c r="B636">
        <v>0</v>
      </c>
      <c r="C636" t="s">
        <v>32</v>
      </c>
      <c r="D636">
        <v>141</v>
      </c>
      <c r="E636" t="s">
        <v>33</v>
      </c>
      <c r="F636">
        <v>3</v>
      </c>
      <c r="G636" t="str">
        <f>IF(Table2[[#This Row],[DistanceFromHome]]&lt;=5, "short", IF(Table2[[#This Row],[DistanceFromHome]]&lt;=15, "medium", "long"))</f>
        <v>short</v>
      </c>
      <c r="H636">
        <v>1</v>
      </c>
      <c r="I636" t="s">
        <v>44</v>
      </c>
      <c r="J636">
        <v>879</v>
      </c>
      <c r="K636">
        <v>3</v>
      </c>
      <c r="L636" t="s">
        <v>41</v>
      </c>
      <c r="M636">
        <v>98</v>
      </c>
      <c r="N636">
        <v>3</v>
      </c>
      <c r="O636">
        <v>2</v>
      </c>
      <c r="P636" t="s">
        <v>36</v>
      </c>
      <c r="Q636">
        <v>1</v>
      </c>
      <c r="R636" t="s">
        <v>43</v>
      </c>
      <c r="S636">
        <v>4194</v>
      </c>
      <c r="T636">
        <v>14363</v>
      </c>
      <c r="U636">
        <v>1</v>
      </c>
      <c r="V636" t="s">
        <v>31</v>
      </c>
      <c r="W636">
        <v>18</v>
      </c>
      <c r="X636">
        <v>3</v>
      </c>
      <c r="Y636">
        <v>4</v>
      </c>
      <c r="Z636">
        <v>0</v>
      </c>
      <c r="AA636">
        <v>5</v>
      </c>
      <c r="AB636" t="str">
        <f>IF(Table2[[#This Row],[TotalWorkingYears]]&lt;=5,"Early (0-5)",IF(Table2[[#This Row],[TotalWorkingYears]]&lt;=15,"Mid (6-15)","Senior (16+)"))</f>
        <v>Early (0-5)</v>
      </c>
      <c r="AC636">
        <v>3</v>
      </c>
      <c r="AD636">
        <v>3</v>
      </c>
      <c r="AE636" t="s">
        <v>64</v>
      </c>
      <c r="AF636">
        <v>3</v>
      </c>
      <c r="AG636">
        <v>0</v>
      </c>
      <c r="AH636">
        <v>3</v>
      </c>
    </row>
    <row r="637" spans="1:34" x14ac:dyDescent="0.3">
      <c r="A637" t="s">
        <v>59</v>
      </c>
      <c r="B637">
        <v>0</v>
      </c>
      <c r="C637" t="s">
        <v>32</v>
      </c>
      <c r="D637">
        <v>607</v>
      </c>
      <c r="E637" t="s">
        <v>40</v>
      </c>
      <c r="F637">
        <v>9</v>
      </c>
      <c r="G637" t="str">
        <f>IF(Table2[[#This Row],[DistanceFromHome]]&lt;=5, "short", IF(Table2[[#This Row],[DistanceFromHome]]&lt;=15, "medium", "long"))</f>
        <v>medium</v>
      </c>
      <c r="H637">
        <v>3</v>
      </c>
      <c r="I637" t="s">
        <v>34</v>
      </c>
      <c r="J637">
        <v>880</v>
      </c>
      <c r="K637">
        <v>4</v>
      </c>
      <c r="L637" t="s">
        <v>35</v>
      </c>
      <c r="M637">
        <v>66</v>
      </c>
      <c r="N637">
        <v>2</v>
      </c>
      <c r="O637">
        <v>3</v>
      </c>
      <c r="P637" t="s">
        <v>48</v>
      </c>
      <c r="Q637">
        <v>3</v>
      </c>
      <c r="R637" t="s">
        <v>43</v>
      </c>
      <c r="S637">
        <v>10685</v>
      </c>
      <c r="T637">
        <v>23457</v>
      </c>
      <c r="U637">
        <v>1</v>
      </c>
      <c r="V637" t="s">
        <v>31</v>
      </c>
      <c r="W637">
        <v>20</v>
      </c>
      <c r="X637">
        <v>4</v>
      </c>
      <c r="Y637">
        <v>2</v>
      </c>
      <c r="Z637">
        <v>1</v>
      </c>
      <c r="AA637">
        <v>17</v>
      </c>
      <c r="AB637" t="str">
        <f>IF(Table2[[#This Row],[TotalWorkingYears]]&lt;=5,"Early (0-5)",IF(Table2[[#This Row],[TotalWorkingYears]]&lt;=15,"Mid (6-15)","Senior (16+)"))</f>
        <v>Senior (16+)</v>
      </c>
      <c r="AC637">
        <v>2</v>
      </c>
      <c r="AD637">
        <v>3</v>
      </c>
      <c r="AE637" t="s">
        <v>65</v>
      </c>
      <c r="AF637">
        <v>14</v>
      </c>
      <c r="AG637">
        <v>5</v>
      </c>
      <c r="AH637">
        <v>15</v>
      </c>
    </row>
    <row r="638" spans="1:34" x14ac:dyDescent="0.3">
      <c r="A638" t="s">
        <v>59</v>
      </c>
      <c r="B638">
        <v>1</v>
      </c>
      <c r="C638" t="s">
        <v>39</v>
      </c>
      <c r="D638">
        <v>130</v>
      </c>
      <c r="E638" t="s">
        <v>40</v>
      </c>
      <c r="F638">
        <v>25</v>
      </c>
      <c r="G638" t="str">
        <f>IF(Table2[[#This Row],[DistanceFromHome]]&lt;=5, "short", IF(Table2[[#This Row],[DistanceFromHome]]&lt;=15, "medium", "long"))</f>
        <v>long</v>
      </c>
      <c r="H638">
        <v>4</v>
      </c>
      <c r="I638" t="s">
        <v>34</v>
      </c>
      <c r="J638">
        <v>881</v>
      </c>
      <c r="K638">
        <v>4</v>
      </c>
      <c r="L638" t="s">
        <v>35</v>
      </c>
      <c r="M638">
        <v>96</v>
      </c>
      <c r="N638">
        <v>3</v>
      </c>
      <c r="O638">
        <v>1</v>
      </c>
      <c r="P638" t="s">
        <v>42</v>
      </c>
      <c r="Q638">
        <v>2</v>
      </c>
      <c r="R638" t="s">
        <v>47</v>
      </c>
      <c r="S638">
        <v>2022</v>
      </c>
      <c r="T638">
        <v>16612</v>
      </c>
      <c r="U638">
        <v>1</v>
      </c>
      <c r="V638" t="s">
        <v>31</v>
      </c>
      <c r="W638">
        <v>19</v>
      </c>
      <c r="X638">
        <v>3</v>
      </c>
      <c r="Y638">
        <v>1</v>
      </c>
      <c r="Z638">
        <v>1</v>
      </c>
      <c r="AA638">
        <v>10</v>
      </c>
      <c r="AB638" t="str">
        <f>IF(Table2[[#This Row],[TotalWorkingYears]]&lt;=5,"Early (0-5)",IF(Table2[[#This Row],[TotalWorkingYears]]&lt;=15,"Mid (6-15)","Senior (16+)"))</f>
        <v>Mid (6-15)</v>
      </c>
      <c r="AC638">
        <v>3</v>
      </c>
      <c r="AD638">
        <v>2</v>
      </c>
      <c r="AE638" t="s">
        <v>62</v>
      </c>
      <c r="AF638">
        <v>2</v>
      </c>
      <c r="AG638">
        <v>7</v>
      </c>
      <c r="AH638">
        <v>8</v>
      </c>
    </row>
    <row r="639" spans="1:34" x14ac:dyDescent="0.3">
      <c r="A639" t="s">
        <v>59</v>
      </c>
      <c r="B639">
        <v>0</v>
      </c>
      <c r="C639" t="s">
        <v>50</v>
      </c>
      <c r="D639">
        <v>300</v>
      </c>
      <c r="E639" t="s">
        <v>40</v>
      </c>
      <c r="F639">
        <v>1</v>
      </c>
      <c r="G639" t="str">
        <f>IF(Table2[[#This Row],[DistanceFromHome]]&lt;=5, "short", IF(Table2[[#This Row],[DistanceFromHome]]&lt;=15, "medium", "long"))</f>
        <v>short</v>
      </c>
      <c r="H639">
        <v>3</v>
      </c>
      <c r="I639" t="s">
        <v>34</v>
      </c>
      <c r="J639">
        <v>882</v>
      </c>
      <c r="K639">
        <v>4</v>
      </c>
      <c r="L639" t="s">
        <v>41</v>
      </c>
      <c r="M639">
        <v>61</v>
      </c>
      <c r="N639">
        <v>3</v>
      </c>
      <c r="O639">
        <v>1</v>
      </c>
      <c r="P639" t="s">
        <v>45</v>
      </c>
      <c r="Q639">
        <v>4</v>
      </c>
      <c r="R639" t="s">
        <v>47</v>
      </c>
      <c r="S639">
        <v>2314</v>
      </c>
      <c r="T639">
        <v>9148</v>
      </c>
      <c r="U639">
        <v>0</v>
      </c>
      <c r="V639" t="s">
        <v>38</v>
      </c>
      <c r="W639">
        <v>12</v>
      </c>
      <c r="X639">
        <v>3</v>
      </c>
      <c r="Y639">
        <v>2</v>
      </c>
      <c r="Z639">
        <v>1</v>
      </c>
      <c r="AA639">
        <v>4</v>
      </c>
      <c r="AB639" t="str">
        <f>IF(Table2[[#This Row],[TotalWorkingYears]]&lt;=5,"Early (0-5)",IF(Table2[[#This Row],[TotalWorkingYears]]&lt;=15,"Mid (6-15)","Senior (16+)"))</f>
        <v>Early (0-5)</v>
      </c>
      <c r="AC639">
        <v>2</v>
      </c>
      <c r="AD639">
        <v>3</v>
      </c>
      <c r="AE639" t="s">
        <v>64</v>
      </c>
      <c r="AF639">
        <v>0</v>
      </c>
      <c r="AG639">
        <v>0</v>
      </c>
      <c r="AH639">
        <v>2</v>
      </c>
    </row>
    <row r="640" spans="1:34" x14ac:dyDescent="0.3">
      <c r="A640" t="s">
        <v>60</v>
      </c>
      <c r="B640">
        <v>0</v>
      </c>
      <c r="C640" t="s">
        <v>32</v>
      </c>
      <c r="D640">
        <v>583</v>
      </c>
      <c r="E640" t="s">
        <v>33</v>
      </c>
      <c r="F640">
        <v>4</v>
      </c>
      <c r="G640" t="str">
        <f>IF(Table2[[#This Row],[DistanceFromHome]]&lt;=5, "short", IF(Table2[[#This Row],[DistanceFromHome]]&lt;=15, "medium", "long"))</f>
        <v>short</v>
      </c>
      <c r="H640">
        <v>1</v>
      </c>
      <c r="I640" t="s">
        <v>54</v>
      </c>
      <c r="J640">
        <v>885</v>
      </c>
      <c r="K640">
        <v>3</v>
      </c>
      <c r="L640" t="s">
        <v>41</v>
      </c>
      <c r="M640">
        <v>87</v>
      </c>
      <c r="N640">
        <v>2</v>
      </c>
      <c r="O640">
        <v>2</v>
      </c>
      <c r="P640" t="s">
        <v>36</v>
      </c>
      <c r="Q640">
        <v>1</v>
      </c>
      <c r="R640" t="s">
        <v>43</v>
      </c>
      <c r="S640">
        <v>4256</v>
      </c>
      <c r="T640">
        <v>18154</v>
      </c>
      <c r="U640">
        <v>1</v>
      </c>
      <c r="V640" t="s">
        <v>38</v>
      </c>
      <c r="W640">
        <v>12</v>
      </c>
      <c r="X640">
        <v>3</v>
      </c>
      <c r="Y640">
        <v>1</v>
      </c>
      <c r="Z640">
        <v>0</v>
      </c>
      <c r="AA640">
        <v>5</v>
      </c>
      <c r="AB640" t="str">
        <f>IF(Table2[[#This Row],[TotalWorkingYears]]&lt;=5,"Early (0-5)",IF(Table2[[#This Row],[TotalWorkingYears]]&lt;=15,"Mid (6-15)","Senior (16+)"))</f>
        <v>Early (0-5)</v>
      </c>
      <c r="AC640">
        <v>1</v>
      </c>
      <c r="AD640">
        <v>4</v>
      </c>
      <c r="AE640" t="s">
        <v>64</v>
      </c>
      <c r="AF640">
        <v>2</v>
      </c>
      <c r="AG640">
        <v>0</v>
      </c>
      <c r="AH640">
        <v>3</v>
      </c>
    </row>
    <row r="641" spans="1:34" x14ac:dyDescent="0.3">
      <c r="A641" t="s">
        <v>58</v>
      </c>
      <c r="B641">
        <v>0</v>
      </c>
      <c r="C641" t="s">
        <v>32</v>
      </c>
      <c r="D641">
        <v>1418</v>
      </c>
      <c r="E641" t="s">
        <v>40</v>
      </c>
      <c r="F641">
        <v>1</v>
      </c>
      <c r="G641" t="str">
        <f>IF(Table2[[#This Row],[DistanceFromHome]]&lt;=5, "short", IF(Table2[[#This Row],[DistanceFromHome]]&lt;=15, "medium", "long"))</f>
        <v>short</v>
      </c>
      <c r="H641">
        <v>3</v>
      </c>
      <c r="I641" t="s">
        <v>55</v>
      </c>
      <c r="J641">
        <v>887</v>
      </c>
      <c r="K641">
        <v>3</v>
      </c>
      <c r="L641" t="s">
        <v>35</v>
      </c>
      <c r="M641">
        <v>36</v>
      </c>
      <c r="N641">
        <v>3</v>
      </c>
      <c r="O641">
        <v>1</v>
      </c>
      <c r="P641" t="s">
        <v>42</v>
      </c>
      <c r="Q641">
        <v>1</v>
      </c>
      <c r="R641" t="s">
        <v>43</v>
      </c>
      <c r="S641">
        <v>3580</v>
      </c>
      <c r="T641">
        <v>10554</v>
      </c>
      <c r="U641">
        <v>2</v>
      </c>
      <c r="V641" t="s">
        <v>38</v>
      </c>
      <c r="W641">
        <v>16</v>
      </c>
      <c r="X641">
        <v>3</v>
      </c>
      <c r="Y641">
        <v>2</v>
      </c>
      <c r="Z641">
        <v>1</v>
      </c>
      <c r="AA641">
        <v>7</v>
      </c>
      <c r="AB641" t="str">
        <f>IF(Table2[[#This Row],[TotalWorkingYears]]&lt;=5,"Early (0-5)",IF(Table2[[#This Row],[TotalWorkingYears]]&lt;=15,"Mid (6-15)","Senior (16+)"))</f>
        <v>Mid (6-15)</v>
      </c>
      <c r="AC641">
        <v>2</v>
      </c>
      <c r="AD641">
        <v>3</v>
      </c>
      <c r="AE641" t="s">
        <v>64</v>
      </c>
      <c r="AF641">
        <v>2</v>
      </c>
      <c r="AG641">
        <v>0</v>
      </c>
      <c r="AH641">
        <v>2</v>
      </c>
    </row>
    <row r="642" spans="1:34" x14ac:dyDescent="0.3">
      <c r="A642" t="s">
        <v>60</v>
      </c>
      <c r="B642">
        <v>0</v>
      </c>
      <c r="C642" t="s">
        <v>50</v>
      </c>
      <c r="D642">
        <v>1269</v>
      </c>
      <c r="E642" t="s">
        <v>40</v>
      </c>
      <c r="F642">
        <v>4</v>
      </c>
      <c r="G642" t="str">
        <f>IF(Table2[[#This Row],[DistanceFromHome]]&lt;=5, "short", IF(Table2[[#This Row],[DistanceFromHome]]&lt;=15, "medium", "long"))</f>
        <v>short</v>
      </c>
      <c r="H642">
        <v>1</v>
      </c>
      <c r="I642" t="s">
        <v>34</v>
      </c>
      <c r="J642">
        <v>888</v>
      </c>
      <c r="K642">
        <v>1</v>
      </c>
      <c r="L642" t="s">
        <v>41</v>
      </c>
      <c r="M642">
        <v>46</v>
      </c>
      <c r="N642">
        <v>2</v>
      </c>
      <c r="O642">
        <v>1</v>
      </c>
      <c r="P642" t="s">
        <v>45</v>
      </c>
      <c r="Q642">
        <v>4</v>
      </c>
      <c r="R642" t="s">
        <v>43</v>
      </c>
      <c r="S642">
        <v>3162</v>
      </c>
      <c r="T642">
        <v>10778</v>
      </c>
      <c r="U642">
        <v>0</v>
      </c>
      <c r="V642" t="s">
        <v>38</v>
      </c>
      <c r="W642">
        <v>17</v>
      </c>
      <c r="X642">
        <v>3</v>
      </c>
      <c r="Y642">
        <v>4</v>
      </c>
      <c r="Z642">
        <v>0</v>
      </c>
      <c r="AA642">
        <v>6</v>
      </c>
      <c r="AB642" t="str">
        <f>IF(Table2[[#This Row],[TotalWorkingYears]]&lt;=5,"Early (0-5)",IF(Table2[[#This Row],[TotalWorkingYears]]&lt;=15,"Mid (6-15)","Senior (16+)"))</f>
        <v>Mid (6-15)</v>
      </c>
      <c r="AC642">
        <v>2</v>
      </c>
      <c r="AD642">
        <v>2</v>
      </c>
      <c r="AE642" t="s">
        <v>64</v>
      </c>
      <c r="AF642">
        <v>2</v>
      </c>
      <c r="AG642">
        <v>3</v>
      </c>
      <c r="AH642">
        <v>4</v>
      </c>
    </row>
    <row r="643" spans="1:34" x14ac:dyDescent="0.3">
      <c r="A643" t="s">
        <v>59</v>
      </c>
      <c r="B643">
        <v>0</v>
      </c>
      <c r="C643" t="s">
        <v>39</v>
      </c>
      <c r="D643">
        <v>379</v>
      </c>
      <c r="E643" t="s">
        <v>33</v>
      </c>
      <c r="F643">
        <v>5</v>
      </c>
      <c r="G643" t="str">
        <f>IF(Table2[[#This Row],[DistanceFromHome]]&lt;=5, "short", IF(Table2[[#This Row],[DistanceFromHome]]&lt;=15, "medium", "long"))</f>
        <v>short</v>
      </c>
      <c r="H643">
        <v>2</v>
      </c>
      <c r="I643" t="s">
        <v>34</v>
      </c>
      <c r="J643">
        <v>889</v>
      </c>
      <c r="K643">
        <v>2</v>
      </c>
      <c r="L643" t="s">
        <v>41</v>
      </c>
      <c r="M643">
        <v>48</v>
      </c>
      <c r="N643">
        <v>3</v>
      </c>
      <c r="O643">
        <v>2</v>
      </c>
      <c r="P643" t="s">
        <v>36</v>
      </c>
      <c r="Q643">
        <v>2</v>
      </c>
      <c r="R643" t="s">
        <v>43</v>
      </c>
      <c r="S643">
        <v>6524</v>
      </c>
      <c r="T643">
        <v>8891</v>
      </c>
      <c r="U643">
        <v>1</v>
      </c>
      <c r="V643" t="s">
        <v>38</v>
      </c>
      <c r="W643">
        <v>14</v>
      </c>
      <c r="X643">
        <v>3</v>
      </c>
      <c r="Y643">
        <v>4</v>
      </c>
      <c r="Z643">
        <v>1</v>
      </c>
      <c r="AA643">
        <v>10</v>
      </c>
      <c r="AB643" t="str">
        <f>IF(Table2[[#This Row],[TotalWorkingYears]]&lt;=5,"Early (0-5)",IF(Table2[[#This Row],[TotalWorkingYears]]&lt;=15,"Mid (6-15)","Senior (16+)"))</f>
        <v>Mid (6-15)</v>
      </c>
      <c r="AC643">
        <v>3</v>
      </c>
      <c r="AD643">
        <v>3</v>
      </c>
      <c r="AE643" t="s">
        <v>62</v>
      </c>
      <c r="AF643">
        <v>8</v>
      </c>
      <c r="AG643">
        <v>5</v>
      </c>
      <c r="AH643">
        <v>3</v>
      </c>
    </row>
    <row r="644" spans="1:34" x14ac:dyDescent="0.3">
      <c r="A644" t="s">
        <v>57</v>
      </c>
      <c r="B644">
        <v>0</v>
      </c>
      <c r="C644" t="s">
        <v>32</v>
      </c>
      <c r="D644">
        <v>395</v>
      </c>
      <c r="E644" t="s">
        <v>33</v>
      </c>
      <c r="F644">
        <v>9</v>
      </c>
      <c r="G644" t="str">
        <f>IF(Table2[[#This Row],[DistanceFromHome]]&lt;=5, "short", IF(Table2[[#This Row],[DistanceFromHome]]&lt;=15, "medium", "long"))</f>
        <v>medium</v>
      </c>
      <c r="H644">
        <v>3</v>
      </c>
      <c r="I644" t="s">
        <v>54</v>
      </c>
      <c r="J644">
        <v>893</v>
      </c>
      <c r="K644">
        <v>2</v>
      </c>
      <c r="L644" t="s">
        <v>41</v>
      </c>
      <c r="M644">
        <v>98</v>
      </c>
      <c r="N644">
        <v>2</v>
      </c>
      <c r="O644">
        <v>1</v>
      </c>
      <c r="P644" t="s">
        <v>52</v>
      </c>
      <c r="Q644">
        <v>2</v>
      </c>
      <c r="R644" t="s">
        <v>43</v>
      </c>
      <c r="S644">
        <v>2899</v>
      </c>
      <c r="T644">
        <v>12102</v>
      </c>
      <c r="U644">
        <v>0</v>
      </c>
      <c r="V644" t="s">
        <v>38</v>
      </c>
      <c r="W644">
        <v>19</v>
      </c>
      <c r="X644">
        <v>3</v>
      </c>
      <c r="Y644">
        <v>4</v>
      </c>
      <c r="Z644">
        <v>1</v>
      </c>
      <c r="AA644">
        <v>3</v>
      </c>
      <c r="AB644" t="str">
        <f>IF(Table2[[#This Row],[TotalWorkingYears]]&lt;=5,"Early (0-5)",IF(Table2[[#This Row],[TotalWorkingYears]]&lt;=15,"Mid (6-15)","Senior (16+)"))</f>
        <v>Early (0-5)</v>
      </c>
      <c r="AC644">
        <v>3</v>
      </c>
      <c r="AD644">
        <v>3</v>
      </c>
      <c r="AE644" t="s">
        <v>63</v>
      </c>
      <c r="AF644">
        <v>2</v>
      </c>
      <c r="AG644">
        <v>1</v>
      </c>
      <c r="AH644">
        <v>2</v>
      </c>
    </row>
    <row r="645" spans="1:34" x14ac:dyDescent="0.3">
      <c r="A645" t="s">
        <v>57</v>
      </c>
      <c r="B645">
        <v>0</v>
      </c>
      <c r="C645" t="s">
        <v>32</v>
      </c>
      <c r="D645">
        <v>1265</v>
      </c>
      <c r="E645" t="s">
        <v>40</v>
      </c>
      <c r="F645">
        <v>3</v>
      </c>
      <c r="G645" t="str">
        <f>IF(Table2[[#This Row],[DistanceFromHome]]&lt;=5, "short", IF(Table2[[#This Row],[DistanceFromHome]]&lt;=15, "medium", "long"))</f>
        <v>short</v>
      </c>
      <c r="H645">
        <v>3</v>
      </c>
      <c r="I645" t="s">
        <v>34</v>
      </c>
      <c r="J645">
        <v>894</v>
      </c>
      <c r="K645">
        <v>3</v>
      </c>
      <c r="L645" t="s">
        <v>35</v>
      </c>
      <c r="M645">
        <v>95</v>
      </c>
      <c r="N645">
        <v>4</v>
      </c>
      <c r="O645">
        <v>2</v>
      </c>
      <c r="P645" t="s">
        <v>45</v>
      </c>
      <c r="Q645">
        <v>4</v>
      </c>
      <c r="R645" t="s">
        <v>43</v>
      </c>
      <c r="S645">
        <v>5231</v>
      </c>
      <c r="T645">
        <v>23726</v>
      </c>
      <c r="U645">
        <v>2</v>
      </c>
      <c r="V645" t="s">
        <v>31</v>
      </c>
      <c r="W645">
        <v>13</v>
      </c>
      <c r="X645">
        <v>3</v>
      </c>
      <c r="Y645">
        <v>2</v>
      </c>
      <c r="Z645">
        <v>1</v>
      </c>
      <c r="AA645">
        <v>17</v>
      </c>
      <c r="AB645" t="str">
        <f>IF(Table2[[#This Row],[TotalWorkingYears]]&lt;=5,"Early (0-5)",IF(Table2[[#This Row],[TotalWorkingYears]]&lt;=15,"Mid (6-15)","Senior (16+)"))</f>
        <v>Senior (16+)</v>
      </c>
      <c r="AC645">
        <v>1</v>
      </c>
      <c r="AD645">
        <v>2</v>
      </c>
      <c r="AE645" t="s">
        <v>64</v>
      </c>
      <c r="AF645">
        <v>3</v>
      </c>
      <c r="AG645">
        <v>1</v>
      </c>
      <c r="AH645">
        <v>3</v>
      </c>
    </row>
    <row r="646" spans="1:34" x14ac:dyDescent="0.3">
      <c r="A646" t="s">
        <v>59</v>
      </c>
      <c r="B646">
        <v>0</v>
      </c>
      <c r="C646" t="s">
        <v>32</v>
      </c>
      <c r="D646">
        <v>1222</v>
      </c>
      <c r="E646" t="s">
        <v>40</v>
      </c>
      <c r="F646">
        <v>11</v>
      </c>
      <c r="G646" t="str">
        <f>IF(Table2[[#This Row],[DistanceFromHome]]&lt;=5, "short", IF(Table2[[#This Row],[DistanceFromHome]]&lt;=15, "medium", "long"))</f>
        <v>medium</v>
      </c>
      <c r="H646">
        <v>4</v>
      </c>
      <c r="I646" t="s">
        <v>34</v>
      </c>
      <c r="J646">
        <v>895</v>
      </c>
      <c r="K646">
        <v>4</v>
      </c>
      <c r="L646" t="s">
        <v>41</v>
      </c>
      <c r="M646">
        <v>48</v>
      </c>
      <c r="N646">
        <v>3</v>
      </c>
      <c r="O646">
        <v>1</v>
      </c>
      <c r="P646" t="s">
        <v>42</v>
      </c>
      <c r="Q646">
        <v>4</v>
      </c>
      <c r="R646" t="s">
        <v>43</v>
      </c>
      <c r="S646">
        <v>2356</v>
      </c>
      <c r="T646">
        <v>14871</v>
      </c>
      <c r="U646">
        <v>3</v>
      </c>
      <c r="V646" t="s">
        <v>31</v>
      </c>
      <c r="W646">
        <v>19</v>
      </c>
      <c r="X646">
        <v>3</v>
      </c>
      <c r="Y646">
        <v>2</v>
      </c>
      <c r="Z646">
        <v>1</v>
      </c>
      <c r="AA646">
        <v>8</v>
      </c>
      <c r="AB646" t="str">
        <f>IF(Table2[[#This Row],[TotalWorkingYears]]&lt;=5,"Early (0-5)",IF(Table2[[#This Row],[TotalWorkingYears]]&lt;=15,"Mid (6-15)","Senior (16+)"))</f>
        <v>Mid (6-15)</v>
      </c>
      <c r="AC646">
        <v>2</v>
      </c>
      <c r="AD646">
        <v>3</v>
      </c>
      <c r="AE646" t="s">
        <v>62</v>
      </c>
      <c r="AF646">
        <v>4</v>
      </c>
      <c r="AG646">
        <v>0</v>
      </c>
      <c r="AH646">
        <v>2</v>
      </c>
    </row>
    <row r="647" spans="1:34" x14ac:dyDescent="0.3">
      <c r="A647" t="s">
        <v>59</v>
      </c>
      <c r="B647">
        <v>1</v>
      </c>
      <c r="C647" t="s">
        <v>32</v>
      </c>
      <c r="D647">
        <v>341</v>
      </c>
      <c r="E647" t="s">
        <v>33</v>
      </c>
      <c r="F647">
        <v>1</v>
      </c>
      <c r="G647" t="str">
        <f>IF(Table2[[#This Row],[DistanceFromHome]]&lt;=5, "short", IF(Table2[[#This Row],[DistanceFromHome]]&lt;=15, "medium", "long"))</f>
        <v>short</v>
      </c>
      <c r="H647">
        <v>3</v>
      </c>
      <c r="I647" t="s">
        <v>46</v>
      </c>
      <c r="J647">
        <v>896</v>
      </c>
      <c r="K647">
        <v>2</v>
      </c>
      <c r="L647" t="s">
        <v>35</v>
      </c>
      <c r="M647">
        <v>48</v>
      </c>
      <c r="N647">
        <v>2</v>
      </c>
      <c r="O647">
        <v>1</v>
      </c>
      <c r="P647" t="s">
        <v>52</v>
      </c>
      <c r="Q647">
        <v>3</v>
      </c>
      <c r="R647" t="s">
        <v>47</v>
      </c>
      <c r="S647">
        <v>2800</v>
      </c>
      <c r="T647">
        <v>23522</v>
      </c>
      <c r="U647">
        <v>6</v>
      </c>
      <c r="V647" t="s">
        <v>31</v>
      </c>
      <c r="W647">
        <v>19</v>
      </c>
      <c r="X647">
        <v>3</v>
      </c>
      <c r="Y647">
        <v>3</v>
      </c>
      <c r="Z647">
        <v>3</v>
      </c>
      <c r="AA647">
        <v>5</v>
      </c>
      <c r="AB647" t="str">
        <f>IF(Table2[[#This Row],[TotalWorkingYears]]&lt;=5,"Early (0-5)",IF(Table2[[#This Row],[TotalWorkingYears]]&lt;=15,"Mid (6-15)","Senior (16+)"))</f>
        <v>Early (0-5)</v>
      </c>
      <c r="AC647">
        <v>3</v>
      </c>
      <c r="AD647">
        <v>3</v>
      </c>
      <c r="AE647" t="s">
        <v>64</v>
      </c>
      <c r="AF647">
        <v>2</v>
      </c>
      <c r="AG647">
        <v>0</v>
      </c>
      <c r="AH647">
        <v>2</v>
      </c>
    </row>
    <row r="648" spans="1:34" x14ac:dyDescent="0.3">
      <c r="A648" t="s">
        <v>58</v>
      </c>
      <c r="B648">
        <v>0</v>
      </c>
      <c r="C648" t="s">
        <v>32</v>
      </c>
      <c r="D648">
        <v>868</v>
      </c>
      <c r="E648" t="s">
        <v>33</v>
      </c>
      <c r="F648">
        <v>8</v>
      </c>
      <c r="G648" t="str">
        <f>IF(Table2[[#This Row],[DistanceFromHome]]&lt;=5, "short", IF(Table2[[#This Row],[DistanceFromHome]]&lt;=15, "medium", "long"))</f>
        <v>medium</v>
      </c>
      <c r="H648">
        <v>3</v>
      </c>
      <c r="I648" t="s">
        <v>54</v>
      </c>
      <c r="J648">
        <v>897</v>
      </c>
      <c r="K648">
        <v>1</v>
      </c>
      <c r="L648" t="s">
        <v>41</v>
      </c>
      <c r="M648">
        <v>73</v>
      </c>
      <c r="N648">
        <v>3</v>
      </c>
      <c r="O648">
        <v>4</v>
      </c>
      <c r="P648" t="s">
        <v>36</v>
      </c>
      <c r="Q648">
        <v>4</v>
      </c>
      <c r="R648" t="s">
        <v>43</v>
      </c>
      <c r="S648">
        <v>11836</v>
      </c>
      <c r="T648">
        <v>22789</v>
      </c>
      <c r="U648">
        <v>5</v>
      </c>
      <c r="V648" t="s">
        <v>38</v>
      </c>
      <c r="W648">
        <v>14</v>
      </c>
      <c r="X648">
        <v>3</v>
      </c>
      <c r="Y648">
        <v>3</v>
      </c>
      <c r="Z648">
        <v>1</v>
      </c>
      <c r="AA648">
        <v>28</v>
      </c>
      <c r="AB648" t="str">
        <f>IF(Table2[[#This Row],[TotalWorkingYears]]&lt;=5,"Early (0-5)",IF(Table2[[#This Row],[TotalWorkingYears]]&lt;=15,"Mid (6-15)","Senior (16+)"))</f>
        <v>Senior (16+)</v>
      </c>
      <c r="AC648">
        <v>3</v>
      </c>
      <c r="AD648">
        <v>3</v>
      </c>
      <c r="AE648" t="s">
        <v>63</v>
      </c>
      <c r="AF648">
        <v>0</v>
      </c>
      <c r="AG648">
        <v>2</v>
      </c>
      <c r="AH648">
        <v>2</v>
      </c>
    </row>
    <row r="649" spans="1:34" x14ac:dyDescent="0.3">
      <c r="A649" t="s">
        <v>59</v>
      </c>
      <c r="B649">
        <v>0</v>
      </c>
      <c r="C649" t="s">
        <v>32</v>
      </c>
      <c r="D649">
        <v>672</v>
      </c>
      <c r="E649" t="s">
        <v>40</v>
      </c>
      <c r="F649">
        <v>25</v>
      </c>
      <c r="G649" t="str">
        <f>IF(Table2[[#This Row],[DistanceFromHome]]&lt;=5, "short", IF(Table2[[#This Row],[DistanceFromHome]]&lt;=15, "medium", "long"))</f>
        <v>long</v>
      </c>
      <c r="H649">
        <v>3</v>
      </c>
      <c r="I649" t="s">
        <v>55</v>
      </c>
      <c r="J649">
        <v>899</v>
      </c>
      <c r="K649">
        <v>4</v>
      </c>
      <c r="L649" t="s">
        <v>41</v>
      </c>
      <c r="M649">
        <v>78</v>
      </c>
      <c r="N649">
        <v>2</v>
      </c>
      <c r="O649">
        <v>3</v>
      </c>
      <c r="P649" t="s">
        <v>48</v>
      </c>
      <c r="Q649">
        <v>2</v>
      </c>
      <c r="R649" t="s">
        <v>43</v>
      </c>
      <c r="S649">
        <v>10903</v>
      </c>
      <c r="T649">
        <v>9129</v>
      </c>
      <c r="U649">
        <v>3</v>
      </c>
      <c r="V649" t="s">
        <v>38</v>
      </c>
      <c r="W649">
        <v>16</v>
      </c>
      <c r="X649">
        <v>3</v>
      </c>
      <c r="Y649">
        <v>1</v>
      </c>
      <c r="Z649">
        <v>0</v>
      </c>
      <c r="AA649">
        <v>16</v>
      </c>
      <c r="AB649" t="str">
        <f>IF(Table2[[#This Row],[TotalWorkingYears]]&lt;=5,"Early (0-5)",IF(Table2[[#This Row],[TotalWorkingYears]]&lt;=15,"Mid (6-15)","Senior (16+)"))</f>
        <v>Senior (16+)</v>
      </c>
      <c r="AC649">
        <v>2</v>
      </c>
      <c r="AD649">
        <v>3</v>
      </c>
      <c r="AE649" t="s">
        <v>65</v>
      </c>
      <c r="AF649">
        <v>10</v>
      </c>
      <c r="AG649">
        <v>4</v>
      </c>
      <c r="AH649">
        <v>8</v>
      </c>
    </row>
    <row r="650" spans="1:34" x14ac:dyDescent="0.3">
      <c r="A650" t="s">
        <v>57</v>
      </c>
      <c r="B650">
        <v>0</v>
      </c>
      <c r="C650" t="s">
        <v>39</v>
      </c>
      <c r="D650">
        <v>1231</v>
      </c>
      <c r="E650" t="s">
        <v>33</v>
      </c>
      <c r="F650">
        <v>21</v>
      </c>
      <c r="G650" t="str">
        <f>IF(Table2[[#This Row],[DistanceFromHome]]&lt;=5, "short", IF(Table2[[#This Row],[DistanceFromHome]]&lt;=15, "medium", "long"))</f>
        <v>long</v>
      </c>
      <c r="H650">
        <v>2</v>
      </c>
      <c r="I650" t="s">
        <v>46</v>
      </c>
      <c r="J650">
        <v>900</v>
      </c>
      <c r="K650">
        <v>3</v>
      </c>
      <c r="L650" t="s">
        <v>35</v>
      </c>
      <c r="M650">
        <v>54</v>
      </c>
      <c r="N650">
        <v>3</v>
      </c>
      <c r="O650">
        <v>1</v>
      </c>
      <c r="P650" t="s">
        <v>52</v>
      </c>
      <c r="Q650">
        <v>4</v>
      </c>
      <c r="R650" t="s">
        <v>43</v>
      </c>
      <c r="S650">
        <v>2973</v>
      </c>
      <c r="T650">
        <v>21222</v>
      </c>
      <c r="U650">
        <v>5</v>
      </c>
      <c r="V650" t="s">
        <v>38</v>
      </c>
      <c r="W650">
        <v>15</v>
      </c>
      <c r="X650">
        <v>3</v>
      </c>
      <c r="Y650">
        <v>2</v>
      </c>
      <c r="Z650">
        <v>1</v>
      </c>
      <c r="AA650">
        <v>10</v>
      </c>
      <c r="AB650" t="str">
        <f>IF(Table2[[#This Row],[TotalWorkingYears]]&lt;=5,"Early (0-5)",IF(Table2[[#This Row],[TotalWorkingYears]]&lt;=15,"Mid (6-15)","Senior (16+)"))</f>
        <v>Mid (6-15)</v>
      </c>
      <c r="AC650">
        <v>3</v>
      </c>
      <c r="AD650">
        <v>3</v>
      </c>
      <c r="AE650" t="s">
        <v>64</v>
      </c>
      <c r="AF650">
        <v>4</v>
      </c>
      <c r="AG650">
        <v>0</v>
      </c>
      <c r="AH650">
        <v>0</v>
      </c>
    </row>
    <row r="651" spans="1:34" x14ac:dyDescent="0.3">
      <c r="A651" t="s">
        <v>58</v>
      </c>
      <c r="B651">
        <v>0</v>
      </c>
      <c r="C651" t="s">
        <v>32</v>
      </c>
      <c r="D651">
        <v>102</v>
      </c>
      <c r="E651" t="s">
        <v>40</v>
      </c>
      <c r="F651">
        <v>23</v>
      </c>
      <c r="G651" t="str">
        <f>IF(Table2[[#This Row],[DistanceFromHome]]&lt;=5, "short", IF(Table2[[#This Row],[DistanceFromHome]]&lt;=15, "medium", "long"))</f>
        <v>long</v>
      </c>
      <c r="H651">
        <v>4</v>
      </c>
      <c r="I651" t="s">
        <v>34</v>
      </c>
      <c r="J651">
        <v>901</v>
      </c>
      <c r="K651">
        <v>4</v>
      </c>
      <c r="L651" t="s">
        <v>35</v>
      </c>
      <c r="M651">
        <v>72</v>
      </c>
      <c r="N651">
        <v>3</v>
      </c>
      <c r="O651">
        <v>4</v>
      </c>
      <c r="P651" t="s">
        <v>53</v>
      </c>
      <c r="Q651">
        <v>4</v>
      </c>
      <c r="R651" t="s">
        <v>37</v>
      </c>
      <c r="S651">
        <v>14275</v>
      </c>
      <c r="T651">
        <v>20206</v>
      </c>
      <c r="U651">
        <v>6</v>
      </c>
      <c r="V651" t="s">
        <v>38</v>
      </c>
      <c r="W651">
        <v>18</v>
      </c>
      <c r="X651">
        <v>3</v>
      </c>
      <c r="Y651">
        <v>3</v>
      </c>
      <c r="Z651">
        <v>0</v>
      </c>
      <c r="AA651">
        <v>33</v>
      </c>
      <c r="AB651" t="str">
        <f>IF(Table2[[#This Row],[TotalWorkingYears]]&lt;=5,"Early (0-5)",IF(Table2[[#This Row],[TotalWorkingYears]]&lt;=15,"Mid (6-15)","Senior (16+)"))</f>
        <v>Senior (16+)</v>
      </c>
      <c r="AC651">
        <v>0</v>
      </c>
      <c r="AD651">
        <v>3</v>
      </c>
      <c r="AE651" t="s">
        <v>65</v>
      </c>
      <c r="AF651">
        <v>9</v>
      </c>
      <c r="AG651">
        <v>3</v>
      </c>
      <c r="AH651">
        <v>8</v>
      </c>
    </row>
    <row r="652" spans="1:34" x14ac:dyDescent="0.3">
      <c r="A652" t="s">
        <v>57</v>
      </c>
      <c r="B652">
        <v>0</v>
      </c>
      <c r="C652" t="s">
        <v>39</v>
      </c>
      <c r="D652">
        <v>422</v>
      </c>
      <c r="E652" t="s">
        <v>40</v>
      </c>
      <c r="F652">
        <v>1</v>
      </c>
      <c r="G652" t="str">
        <f>IF(Table2[[#This Row],[DistanceFromHome]]&lt;=5, "short", IF(Table2[[#This Row],[DistanceFromHome]]&lt;=15, "medium", "long"))</f>
        <v>short</v>
      </c>
      <c r="H652">
        <v>3</v>
      </c>
      <c r="I652" t="s">
        <v>34</v>
      </c>
      <c r="J652">
        <v>902</v>
      </c>
      <c r="K652">
        <v>4</v>
      </c>
      <c r="L652" t="s">
        <v>35</v>
      </c>
      <c r="M652">
        <v>33</v>
      </c>
      <c r="N652">
        <v>3</v>
      </c>
      <c r="O652">
        <v>2</v>
      </c>
      <c r="P652" t="s">
        <v>49</v>
      </c>
      <c r="Q652">
        <v>4</v>
      </c>
      <c r="R652" t="s">
        <v>43</v>
      </c>
      <c r="S652">
        <v>5562</v>
      </c>
      <c r="T652">
        <v>21782</v>
      </c>
      <c r="U652">
        <v>4</v>
      </c>
      <c r="V652" t="s">
        <v>38</v>
      </c>
      <c r="W652">
        <v>13</v>
      </c>
      <c r="X652">
        <v>3</v>
      </c>
      <c r="Y652">
        <v>2</v>
      </c>
      <c r="Z652">
        <v>1</v>
      </c>
      <c r="AA652">
        <v>12</v>
      </c>
      <c r="AB652" t="str">
        <f>IF(Table2[[#This Row],[TotalWorkingYears]]&lt;=5,"Early (0-5)",IF(Table2[[#This Row],[TotalWorkingYears]]&lt;=15,"Mid (6-15)","Senior (16+)"))</f>
        <v>Mid (6-15)</v>
      </c>
      <c r="AC652">
        <v>2</v>
      </c>
      <c r="AD652">
        <v>2</v>
      </c>
      <c r="AE652" t="s">
        <v>64</v>
      </c>
      <c r="AF652">
        <v>2</v>
      </c>
      <c r="AG652">
        <v>2</v>
      </c>
      <c r="AH652">
        <v>2</v>
      </c>
    </row>
    <row r="653" spans="1:34" x14ac:dyDescent="0.3">
      <c r="A653" t="s">
        <v>58</v>
      </c>
      <c r="B653">
        <v>0</v>
      </c>
      <c r="C653" t="s">
        <v>32</v>
      </c>
      <c r="D653">
        <v>249</v>
      </c>
      <c r="E653" t="s">
        <v>33</v>
      </c>
      <c r="F653">
        <v>2</v>
      </c>
      <c r="G653" t="str">
        <f>IF(Table2[[#This Row],[DistanceFromHome]]&lt;=5, "short", IF(Table2[[#This Row],[DistanceFromHome]]&lt;=15, "medium", "long"))</f>
        <v>short</v>
      </c>
      <c r="H653">
        <v>2</v>
      </c>
      <c r="I653" t="s">
        <v>54</v>
      </c>
      <c r="J653">
        <v>903</v>
      </c>
      <c r="K653">
        <v>3</v>
      </c>
      <c r="L653" t="s">
        <v>35</v>
      </c>
      <c r="M653">
        <v>35</v>
      </c>
      <c r="N653">
        <v>3</v>
      </c>
      <c r="O653">
        <v>2</v>
      </c>
      <c r="P653" t="s">
        <v>36</v>
      </c>
      <c r="Q653">
        <v>4</v>
      </c>
      <c r="R653" t="s">
        <v>43</v>
      </c>
      <c r="S653">
        <v>4537</v>
      </c>
      <c r="T653">
        <v>17783</v>
      </c>
      <c r="U653">
        <v>0</v>
      </c>
      <c r="V653" t="s">
        <v>31</v>
      </c>
      <c r="W653">
        <v>22</v>
      </c>
      <c r="X653">
        <v>4</v>
      </c>
      <c r="Y653">
        <v>1</v>
      </c>
      <c r="Z653">
        <v>1</v>
      </c>
      <c r="AA653">
        <v>8</v>
      </c>
      <c r="AB653" t="str">
        <f>IF(Table2[[#This Row],[TotalWorkingYears]]&lt;=5,"Early (0-5)",IF(Table2[[#This Row],[TotalWorkingYears]]&lt;=15,"Mid (6-15)","Senior (16+)"))</f>
        <v>Mid (6-15)</v>
      </c>
      <c r="AC653">
        <v>2</v>
      </c>
      <c r="AD653">
        <v>3</v>
      </c>
      <c r="AE653" t="s">
        <v>62</v>
      </c>
      <c r="AF653">
        <v>6</v>
      </c>
      <c r="AG653">
        <v>7</v>
      </c>
      <c r="AH653">
        <v>7</v>
      </c>
    </row>
    <row r="654" spans="1:34" x14ac:dyDescent="0.3">
      <c r="A654" t="s">
        <v>57</v>
      </c>
      <c r="B654">
        <v>0</v>
      </c>
      <c r="C654" t="s">
        <v>50</v>
      </c>
      <c r="D654">
        <v>1252</v>
      </c>
      <c r="E654" t="s">
        <v>33</v>
      </c>
      <c r="F654">
        <v>19</v>
      </c>
      <c r="G654" t="str">
        <f>IF(Table2[[#This Row],[DistanceFromHome]]&lt;=5, "short", IF(Table2[[#This Row],[DistanceFromHome]]&lt;=15, "medium", "long"))</f>
        <v>long</v>
      </c>
      <c r="H654">
        <v>2</v>
      </c>
      <c r="I654" t="s">
        <v>46</v>
      </c>
      <c r="J654">
        <v>904</v>
      </c>
      <c r="K654">
        <v>1</v>
      </c>
      <c r="L654" t="s">
        <v>41</v>
      </c>
      <c r="M654">
        <v>32</v>
      </c>
      <c r="N654">
        <v>3</v>
      </c>
      <c r="O654">
        <v>3</v>
      </c>
      <c r="P654" t="s">
        <v>36</v>
      </c>
      <c r="Q654">
        <v>2</v>
      </c>
      <c r="R654" t="s">
        <v>37</v>
      </c>
      <c r="S654">
        <v>7642</v>
      </c>
      <c r="T654">
        <v>4814</v>
      </c>
      <c r="U654">
        <v>1</v>
      </c>
      <c r="V654" t="s">
        <v>31</v>
      </c>
      <c r="W654">
        <v>13</v>
      </c>
      <c r="X654">
        <v>3</v>
      </c>
      <c r="Y654">
        <v>4</v>
      </c>
      <c r="Z654">
        <v>0</v>
      </c>
      <c r="AA654">
        <v>10</v>
      </c>
      <c r="AB654" t="str">
        <f>IF(Table2[[#This Row],[TotalWorkingYears]]&lt;=5,"Early (0-5)",IF(Table2[[#This Row],[TotalWorkingYears]]&lt;=15,"Mid (6-15)","Senior (16+)"))</f>
        <v>Mid (6-15)</v>
      </c>
      <c r="AC654">
        <v>2</v>
      </c>
      <c r="AD654">
        <v>3</v>
      </c>
      <c r="AE654" t="s">
        <v>62</v>
      </c>
      <c r="AF654">
        <v>0</v>
      </c>
      <c r="AG654">
        <v>0</v>
      </c>
      <c r="AH654">
        <v>9</v>
      </c>
    </row>
    <row r="655" spans="1:34" x14ac:dyDescent="0.3">
      <c r="A655" t="s">
        <v>58</v>
      </c>
      <c r="B655">
        <v>0</v>
      </c>
      <c r="C655" t="s">
        <v>50</v>
      </c>
      <c r="D655">
        <v>881</v>
      </c>
      <c r="E655" t="s">
        <v>40</v>
      </c>
      <c r="F655">
        <v>2</v>
      </c>
      <c r="G655" t="str">
        <f>IF(Table2[[#This Row],[DistanceFromHome]]&lt;=5, "short", IF(Table2[[#This Row],[DistanceFromHome]]&lt;=15, "medium", "long"))</f>
        <v>short</v>
      </c>
      <c r="H655">
        <v>4</v>
      </c>
      <c r="I655" t="s">
        <v>34</v>
      </c>
      <c r="J655">
        <v>905</v>
      </c>
      <c r="K655">
        <v>1</v>
      </c>
      <c r="L655" t="s">
        <v>41</v>
      </c>
      <c r="M655">
        <v>98</v>
      </c>
      <c r="N655">
        <v>3</v>
      </c>
      <c r="O655">
        <v>4</v>
      </c>
      <c r="P655" t="s">
        <v>51</v>
      </c>
      <c r="Q655">
        <v>1</v>
      </c>
      <c r="R655" t="s">
        <v>47</v>
      </c>
      <c r="S655">
        <v>17924</v>
      </c>
      <c r="T655">
        <v>4544</v>
      </c>
      <c r="U655">
        <v>1</v>
      </c>
      <c r="V655" t="s">
        <v>38</v>
      </c>
      <c r="W655">
        <v>11</v>
      </c>
      <c r="X655">
        <v>3</v>
      </c>
      <c r="Y655">
        <v>4</v>
      </c>
      <c r="Z655">
        <v>1</v>
      </c>
      <c r="AA655">
        <v>31</v>
      </c>
      <c r="AB655" t="str">
        <f>IF(Table2[[#This Row],[TotalWorkingYears]]&lt;=5,"Early (0-5)",IF(Table2[[#This Row],[TotalWorkingYears]]&lt;=15,"Mid (6-15)","Senior (16+)"))</f>
        <v>Senior (16+)</v>
      </c>
      <c r="AC655">
        <v>3</v>
      </c>
      <c r="AD655">
        <v>3</v>
      </c>
      <c r="AE655" t="s">
        <v>65</v>
      </c>
      <c r="AF655">
        <v>6</v>
      </c>
      <c r="AG655">
        <v>14</v>
      </c>
      <c r="AH655">
        <v>7</v>
      </c>
    </row>
    <row r="656" spans="1:34" x14ac:dyDescent="0.3">
      <c r="A656" t="s">
        <v>57</v>
      </c>
      <c r="B656">
        <v>0</v>
      </c>
      <c r="C656" t="s">
        <v>32</v>
      </c>
      <c r="D656">
        <v>1383</v>
      </c>
      <c r="E656" t="s">
        <v>56</v>
      </c>
      <c r="F656">
        <v>2</v>
      </c>
      <c r="G656" t="str">
        <f>IF(Table2[[#This Row],[DistanceFromHome]]&lt;=5, "short", IF(Table2[[#This Row],[DistanceFromHome]]&lt;=15, "medium", "long"))</f>
        <v>short</v>
      </c>
      <c r="H656">
        <v>3</v>
      </c>
      <c r="I656" t="s">
        <v>34</v>
      </c>
      <c r="J656">
        <v>909</v>
      </c>
      <c r="K656">
        <v>4</v>
      </c>
      <c r="L656" t="s">
        <v>35</v>
      </c>
      <c r="M656">
        <v>42</v>
      </c>
      <c r="N656">
        <v>2</v>
      </c>
      <c r="O656">
        <v>2</v>
      </c>
      <c r="P656" t="s">
        <v>56</v>
      </c>
      <c r="Q656">
        <v>4</v>
      </c>
      <c r="R656" t="s">
        <v>43</v>
      </c>
      <c r="S656">
        <v>5204</v>
      </c>
      <c r="T656">
        <v>7790</v>
      </c>
      <c r="U656">
        <v>8</v>
      </c>
      <c r="V656" t="s">
        <v>38</v>
      </c>
      <c r="W656">
        <v>11</v>
      </c>
      <c r="X656">
        <v>3</v>
      </c>
      <c r="Y656">
        <v>3</v>
      </c>
      <c r="Z656">
        <v>2</v>
      </c>
      <c r="AA656">
        <v>13</v>
      </c>
      <c r="AB656" t="str">
        <f>IF(Table2[[#This Row],[TotalWorkingYears]]&lt;=5,"Early (0-5)",IF(Table2[[#This Row],[TotalWorkingYears]]&lt;=15,"Mid (6-15)","Senior (16+)"))</f>
        <v>Mid (6-15)</v>
      </c>
      <c r="AC656">
        <v>2</v>
      </c>
      <c r="AD656">
        <v>3</v>
      </c>
      <c r="AE656" t="s">
        <v>64</v>
      </c>
      <c r="AF656">
        <v>4</v>
      </c>
      <c r="AG656">
        <v>0</v>
      </c>
      <c r="AH656">
        <v>4</v>
      </c>
    </row>
    <row r="657" spans="1:34" x14ac:dyDescent="0.3">
      <c r="A657" t="s">
        <v>59</v>
      </c>
      <c r="B657">
        <v>0</v>
      </c>
      <c r="C657" t="s">
        <v>32</v>
      </c>
      <c r="D657">
        <v>1075</v>
      </c>
      <c r="E657" t="s">
        <v>56</v>
      </c>
      <c r="F657">
        <v>3</v>
      </c>
      <c r="G657" t="str">
        <f>IF(Table2[[#This Row],[DistanceFromHome]]&lt;=5, "short", IF(Table2[[#This Row],[DistanceFromHome]]&lt;=15, "medium", "long"))</f>
        <v>short</v>
      </c>
      <c r="H657">
        <v>2</v>
      </c>
      <c r="I657" t="s">
        <v>56</v>
      </c>
      <c r="J657">
        <v>910</v>
      </c>
      <c r="K657">
        <v>4</v>
      </c>
      <c r="L657" t="s">
        <v>41</v>
      </c>
      <c r="M657">
        <v>57</v>
      </c>
      <c r="N657">
        <v>3</v>
      </c>
      <c r="O657">
        <v>1</v>
      </c>
      <c r="P657" t="s">
        <v>56</v>
      </c>
      <c r="Q657">
        <v>2</v>
      </c>
      <c r="R657" t="s">
        <v>47</v>
      </c>
      <c r="S657">
        <v>2277</v>
      </c>
      <c r="T657">
        <v>22650</v>
      </c>
      <c r="U657">
        <v>3</v>
      </c>
      <c r="V657" t="s">
        <v>31</v>
      </c>
      <c r="W657">
        <v>11</v>
      </c>
      <c r="X657">
        <v>3</v>
      </c>
      <c r="Y657">
        <v>3</v>
      </c>
      <c r="Z657">
        <v>1</v>
      </c>
      <c r="AA657">
        <v>7</v>
      </c>
      <c r="AB657" t="str">
        <f>IF(Table2[[#This Row],[TotalWorkingYears]]&lt;=5,"Early (0-5)",IF(Table2[[#This Row],[TotalWorkingYears]]&lt;=15,"Mid (6-15)","Senior (16+)"))</f>
        <v>Mid (6-15)</v>
      </c>
      <c r="AC657">
        <v>4</v>
      </c>
      <c r="AD657">
        <v>4</v>
      </c>
      <c r="AE657" t="s">
        <v>64</v>
      </c>
      <c r="AF657">
        <v>3</v>
      </c>
      <c r="AG657">
        <v>0</v>
      </c>
      <c r="AH657">
        <v>3</v>
      </c>
    </row>
    <row r="658" spans="1:34" x14ac:dyDescent="0.3">
      <c r="A658" t="s">
        <v>59</v>
      </c>
      <c r="B658">
        <v>1</v>
      </c>
      <c r="C658" t="s">
        <v>32</v>
      </c>
      <c r="D658">
        <v>374</v>
      </c>
      <c r="E658" t="s">
        <v>40</v>
      </c>
      <c r="F658">
        <v>25</v>
      </c>
      <c r="G658" t="str">
        <f>IF(Table2[[#This Row],[DistanceFromHome]]&lt;=5, "short", IF(Table2[[#This Row],[DistanceFromHome]]&lt;=15, "medium", "long"))</f>
        <v>long</v>
      </c>
      <c r="H658">
        <v>4</v>
      </c>
      <c r="I658" t="s">
        <v>34</v>
      </c>
      <c r="J658">
        <v>911</v>
      </c>
      <c r="K658">
        <v>1</v>
      </c>
      <c r="L658" t="s">
        <v>41</v>
      </c>
      <c r="M658">
        <v>87</v>
      </c>
      <c r="N658">
        <v>3</v>
      </c>
      <c r="O658">
        <v>1</v>
      </c>
      <c r="P658" t="s">
        <v>45</v>
      </c>
      <c r="Q658">
        <v>4</v>
      </c>
      <c r="R658" t="s">
        <v>37</v>
      </c>
      <c r="S658">
        <v>2795</v>
      </c>
      <c r="T658">
        <v>18016</v>
      </c>
      <c r="U658">
        <v>1</v>
      </c>
      <c r="V658" t="s">
        <v>31</v>
      </c>
      <c r="W658">
        <v>24</v>
      </c>
      <c r="X658">
        <v>4</v>
      </c>
      <c r="Y658">
        <v>3</v>
      </c>
      <c r="Z658">
        <v>0</v>
      </c>
      <c r="AA658">
        <v>1</v>
      </c>
      <c r="AB658" t="str">
        <f>IF(Table2[[#This Row],[TotalWorkingYears]]&lt;=5,"Early (0-5)",IF(Table2[[#This Row],[TotalWorkingYears]]&lt;=15,"Mid (6-15)","Senior (16+)"))</f>
        <v>Early (0-5)</v>
      </c>
      <c r="AC658">
        <v>2</v>
      </c>
      <c r="AD658">
        <v>1</v>
      </c>
      <c r="AE658" t="s">
        <v>63</v>
      </c>
      <c r="AF658">
        <v>0</v>
      </c>
      <c r="AG658">
        <v>0</v>
      </c>
      <c r="AH658">
        <v>1</v>
      </c>
    </row>
    <row r="659" spans="1:34" x14ac:dyDescent="0.3">
      <c r="A659" t="s">
        <v>59</v>
      </c>
      <c r="B659">
        <v>0</v>
      </c>
      <c r="C659" t="s">
        <v>32</v>
      </c>
      <c r="D659">
        <v>1086</v>
      </c>
      <c r="E659" t="s">
        <v>40</v>
      </c>
      <c r="F659">
        <v>7</v>
      </c>
      <c r="G659" t="str">
        <f>IF(Table2[[#This Row],[DistanceFromHome]]&lt;=5, "short", IF(Table2[[#This Row],[DistanceFromHome]]&lt;=15, "medium", "long"))</f>
        <v>medium</v>
      </c>
      <c r="H659">
        <v>1</v>
      </c>
      <c r="I659" t="s">
        <v>46</v>
      </c>
      <c r="J659">
        <v>912</v>
      </c>
      <c r="K659">
        <v>1</v>
      </c>
      <c r="L659" t="s">
        <v>35</v>
      </c>
      <c r="M659">
        <v>62</v>
      </c>
      <c r="N659">
        <v>2</v>
      </c>
      <c r="O659">
        <v>1</v>
      </c>
      <c r="P659" t="s">
        <v>45</v>
      </c>
      <c r="Q659">
        <v>4</v>
      </c>
      <c r="R659" t="s">
        <v>47</v>
      </c>
      <c r="S659">
        <v>2532</v>
      </c>
      <c r="T659">
        <v>6054</v>
      </c>
      <c r="U659">
        <v>6</v>
      </c>
      <c r="V659" t="s">
        <v>38</v>
      </c>
      <c r="W659">
        <v>14</v>
      </c>
      <c r="X659">
        <v>3</v>
      </c>
      <c r="Y659">
        <v>3</v>
      </c>
      <c r="Z659">
        <v>3</v>
      </c>
      <c r="AA659">
        <v>8</v>
      </c>
      <c r="AB659" t="str">
        <f>IF(Table2[[#This Row],[TotalWorkingYears]]&lt;=5,"Early (0-5)",IF(Table2[[#This Row],[TotalWorkingYears]]&lt;=15,"Mid (6-15)","Senior (16+)"))</f>
        <v>Mid (6-15)</v>
      </c>
      <c r="AC659">
        <v>5</v>
      </c>
      <c r="AD659">
        <v>3</v>
      </c>
      <c r="AE659" t="s">
        <v>64</v>
      </c>
      <c r="AF659">
        <v>3</v>
      </c>
      <c r="AG659">
        <v>0</v>
      </c>
      <c r="AH659">
        <v>3</v>
      </c>
    </row>
    <row r="660" spans="1:34" x14ac:dyDescent="0.3">
      <c r="A660" t="s">
        <v>57</v>
      </c>
      <c r="B660">
        <v>0</v>
      </c>
      <c r="C660" t="s">
        <v>32</v>
      </c>
      <c r="D660">
        <v>661</v>
      </c>
      <c r="E660" t="s">
        <v>40</v>
      </c>
      <c r="F660">
        <v>9</v>
      </c>
      <c r="G660" t="str">
        <f>IF(Table2[[#This Row],[DistanceFromHome]]&lt;=5, "short", IF(Table2[[#This Row],[DistanceFromHome]]&lt;=15, "medium", "long"))</f>
        <v>medium</v>
      </c>
      <c r="H660">
        <v>2</v>
      </c>
      <c r="I660" t="s">
        <v>34</v>
      </c>
      <c r="J660">
        <v>913</v>
      </c>
      <c r="K660">
        <v>2</v>
      </c>
      <c r="L660" t="s">
        <v>41</v>
      </c>
      <c r="M660">
        <v>61</v>
      </c>
      <c r="N660">
        <v>3</v>
      </c>
      <c r="O660">
        <v>1</v>
      </c>
      <c r="P660" t="s">
        <v>42</v>
      </c>
      <c r="Q660">
        <v>1</v>
      </c>
      <c r="R660" t="s">
        <v>43</v>
      </c>
      <c r="S660">
        <v>2559</v>
      </c>
      <c r="T660">
        <v>7508</v>
      </c>
      <c r="U660">
        <v>1</v>
      </c>
      <c r="V660" t="s">
        <v>31</v>
      </c>
      <c r="W660">
        <v>13</v>
      </c>
      <c r="X660">
        <v>3</v>
      </c>
      <c r="Y660">
        <v>4</v>
      </c>
      <c r="Z660">
        <v>0</v>
      </c>
      <c r="AA660">
        <v>8</v>
      </c>
      <c r="AB660" t="str">
        <f>IF(Table2[[#This Row],[TotalWorkingYears]]&lt;=5,"Early (0-5)",IF(Table2[[#This Row],[TotalWorkingYears]]&lt;=15,"Mid (6-15)","Senior (16+)"))</f>
        <v>Mid (6-15)</v>
      </c>
      <c r="AC660">
        <v>0</v>
      </c>
      <c r="AD660">
        <v>3</v>
      </c>
      <c r="AE660" t="s">
        <v>62</v>
      </c>
      <c r="AF660">
        <v>7</v>
      </c>
      <c r="AG660">
        <v>7</v>
      </c>
      <c r="AH660">
        <v>1</v>
      </c>
    </row>
    <row r="661" spans="1:34" x14ac:dyDescent="0.3">
      <c r="A661" t="s">
        <v>59</v>
      </c>
      <c r="B661">
        <v>0</v>
      </c>
      <c r="C661" t="s">
        <v>32</v>
      </c>
      <c r="D661">
        <v>821</v>
      </c>
      <c r="E661" t="s">
        <v>33</v>
      </c>
      <c r="F661">
        <v>5</v>
      </c>
      <c r="G661" t="str">
        <f>IF(Table2[[#This Row],[DistanceFromHome]]&lt;=5, "short", IF(Table2[[#This Row],[DistanceFromHome]]&lt;=15, "medium", "long"))</f>
        <v>short</v>
      </c>
      <c r="H661">
        <v>4</v>
      </c>
      <c r="I661" t="s">
        <v>46</v>
      </c>
      <c r="J661">
        <v>916</v>
      </c>
      <c r="K661">
        <v>1</v>
      </c>
      <c r="L661" t="s">
        <v>41</v>
      </c>
      <c r="M661">
        <v>98</v>
      </c>
      <c r="N661">
        <v>3</v>
      </c>
      <c r="O661">
        <v>2</v>
      </c>
      <c r="P661" t="s">
        <v>36</v>
      </c>
      <c r="Q661">
        <v>4</v>
      </c>
      <c r="R661" t="s">
        <v>37</v>
      </c>
      <c r="S661">
        <v>4908</v>
      </c>
      <c r="T661">
        <v>24252</v>
      </c>
      <c r="U661">
        <v>1</v>
      </c>
      <c r="V661" t="s">
        <v>38</v>
      </c>
      <c r="W661">
        <v>14</v>
      </c>
      <c r="X661">
        <v>3</v>
      </c>
      <c r="Y661">
        <v>2</v>
      </c>
      <c r="Z661">
        <v>0</v>
      </c>
      <c r="AA661">
        <v>4</v>
      </c>
      <c r="AB661" t="str">
        <f>IF(Table2[[#This Row],[TotalWorkingYears]]&lt;=5,"Early (0-5)",IF(Table2[[#This Row],[TotalWorkingYears]]&lt;=15,"Mid (6-15)","Senior (16+)"))</f>
        <v>Early (0-5)</v>
      </c>
      <c r="AC661">
        <v>3</v>
      </c>
      <c r="AD661">
        <v>3</v>
      </c>
      <c r="AE661" t="s">
        <v>64</v>
      </c>
      <c r="AF661">
        <v>2</v>
      </c>
      <c r="AG661">
        <v>0</v>
      </c>
      <c r="AH661">
        <v>2</v>
      </c>
    </row>
    <row r="662" spans="1:34" x14ac:dyDescent="0.3">
      <c r="A662" t="s">
        <v>58</v>
      </c>
      <c r="B662">
        <v>1</v>
      </c>
      <c r="C662" t="s">
        <v>39</v>
      </c>
      <c r="D662">
        <v>781</v>
      </c>
      <c r="E662" t="s">
        <v>40</v>
      </c>
      <c r="F662">
        <v>2</v>
      </c>
      <c r="G662" t="str">
        <f>IF(Table2[[#This Row],[DistanceFromHome]]&lt;=5, "short", IF(Table2[[#This Row],[DistanceFromHome]]&lt;=15, "medium", "long"))</f>
        <v>short</v>
      </c>
      <c r="H662">
        <v>1</v>
      </c>
      <c r="I662" t="s">
        <v>34</v>
      </c>
      <c r="J662">
        <v>918</v>
      </c>
      <c r="K662">
        <v>4</v>
      </c>
      <c r="L662" t="s">
        <v>41</v>
      </c>
      <c r="M662">
        <v>57</v>
      </c>
      <c r="N662">
        <v>2</v>
      </c>
      <c r="O662">
        <v>1</v>
      </c>
      <c r="P662" t="s">
        <v>45</v>
      </c>
      <c r="Q662">
        <v>4</v>
      </c>
      <c r="R662" t="s">
        <v>47</v>
      </c>
      <c r="S662">
        <v>2380</v>
      </c>
      <c r="T662">
        <v>13384</v>
      </c>
      <c r="U662">
        <v>9</v>
      </c>
      <c r="V662" t="s">
        <v>31</v>
      </c>
      <c r="W662">
        <v>14</v>
      </c>
      <c r="X662">
        <v>3</v>
      </c>
      <c r="Y662">
        <v>4</v>
      </c>
      <c r="Z662">
        <v>1</v>
      </c>
      <c r="AA662">
        <v>3</v>
      </c>
      <c r="AB662" t="str">
        <f>IF(Table2[[#This Row],[TotalWorkingYears]]&lt;=5,"Early (0-5)",IF(Table2[[#This Row],[TotalWorkingYears]]&lt;=15,"Mid (6-15)","Senior (16+)"))</f>
        <v>Early (0-5)</v>
      </c>
      <c r="AC662">
        <v>3</v>
      </c>
      <c r="AD662">
        <v>2</v>
      </c>
      <c r="AE662" t="s">
        <v>63</v>
      </c>
      <c r="AF662">
        <v>0</v>
      </c>
      <c r="AG662">
        <v>0</v>
      </c>
      <c r="AH662">
        <v>0</v>
      </c>
    </row>
    <row r="663" spans="1:34" x14ac:dyDescent="0.3">
      <c r="A663" t="s">
        <v>57</v>
      </c>
      <c r="B663">
        <v>0</v>
      </c>
      <c r="C663" t="s">
        <v>32</v>
      </c>
      <c r="D663">
        <v>177</v>
      </c>
      <c r="E663" t="s">
        <v>40</v>
      </c>
      <c r="F663">
        <v>8</v>
      </c>
      <c r="G663" t="str">
        <f>IF(Table2[[#This Row],[DistanceFromHome]]&lt;=5, "short", IF(Table2[[#This Row],[DistanceFromHome]]&lt;=15, "medium", "long"))</f>
        <v>medium</v>
      </c>
      <c r="H663">
        <v>3</v>
      </c>
      <c r="I663" t="s">
        <v>34</v>
      </c>
      <c r="J663">
        <v>920</v>
      </c>
      <c r="K663">
        <v>1</v>
      </c>
      <c r="L663" t="s">
        <v>35</v>
      </c>
      <c r="M663">
        <v>55</v>
      </c>
      <c r="N663">
        <v>3</v>
      </c>
      <c r="O663">
        <v>2</v>
      </c>
      <c r="P663" t="s">
        <v>48</v>
      </c>
      <c r="Q663">
        <v>2</v>
      </c>
      <c r="R663" t="s">
        <v>47</v>
      </c>
      <c r="S663">
        <v>4765</v>
      </c>
      <c r="T663">
        <v>23814</v>
      </c>
      <c r="U663">
        <v>4</v>
      </c>
      <c r="V663" t="s">
        <v>38</v>
      </c>
      <c r="W663">
        <v>21</v>
      </c>
      <c r="X663">
        <v>4</v>
      </c>
      <c r="Y663">
        <v>3</v>
      </c>
      <c r="Z663">
        <v>1</v>
      </c>
      <c r="AA663">
        <v>4</v>
      </c>
      <c r="AB663" t="str">
        <f>IF(Table2[[#This Row],[TotalWorkingYears]]&lt;=5,"Early (0-5)",IF(Table2[[#This Row],[TotalWorkingYears]]&lt;=15,"Mid (6-15)","Senior (16+)"))</f>
        <v>Early (0-5)</v>
      </c>
      <c r="AC663">
        <v>2</v>
      </c>
      <c r="AD663">
        <v>4</v>
      </c>
      <c r="AE663" t="s">
        <v>63</v>
      </c>
      <c r="AF663">
        <v>0</v>
      </c>
      <c r="AG663">
        <v>0</v>
      </c>
      <c r="AH663">
        <v>0</v>
      </c>
    </row>
    <row r="664" spans="1:34" x14ac:dyDescent="0.3">
      <c r="A664" t="s">
        <v>60</v>
      </c>
      <c r="B664">
        <v>1</v>
      </c>
      <c r="C664" t="s">
        <v>32</v>
      </c>
      <c r="D664">
        <v>500</v>
      </c>
      <c r="E664" t="s">
        <v>33</v>
      </c>
      <c r="F664">
        <v>2</v>
      </c>
      <c r="G664" t="str">
        <f>IF(Table2[[#This Row],[DistanceFromHome]]&lt;=5, "short", IF(Table2[[#This Row],[DistanceFromHome]]&lt;=15, "medium", "long"))</f>
        <v>short</v>
      </c>
      <c r="H664">
        <v>3</v>
      </c>
      <c r="I664" t="s">
        <v>46</v>
      </c>
      <c r="J664">
        <v>922</v>
      </c>
      <c r="K664">
        <v>3</v>
      </c>
      <c r="L664" t="s">
        <v>35</v>
      </c>
      <c r="M664">
        <v>49</v>
      </c>
      <c r="N664">
        <v>2</v>
      </c>
      <c r="O664">
        <v>1</v>
      </c>
      <c r="P664" t="s">
        <v>52</v>
      </c>
      <c r="Q664">
        <v>3</v>
      </c>
      <c r="R664" t="s">
        <v>37</v>
      </c>
      <c r="S664">
        <v>2044</v>
      </c>
      <c r="T664">
        <v>22052</v>
      </c>
      <c r="U664">
        <v>1</v>
      </c>
      <c r="V664" t="s">
        <v>38</v>
      </c>
      <c r="W664">
        <v>13</v>
      </c>
      <c r="X664">
        <v>3</v>
      </c>
      <c r="Y664">
        <v>4</v>
      </c>
      <c r="Z664">
        <v>0</v>
      </c>
      <c r="AA664">
        <v>2</v>
      </c>
      <c r="AB664" t="str">
        <f>IF(Table2[[#This Row],[TotalWorkingYears]]&lt;=5,"Early (0-5)",IF(Table2[[#This Row],[TotalWorkingYears]]&lt;=15,"Mid (6-15)","Senior (16+)"))</f>
        <v>Early (0-5)</v>
      </c>
      <c r="AC664">
        <v>3</v>
      </c>
      <c r="AD664">
        <v>2</v>
      </c>
      <c r="AE664" t="s">
        <v>63</v>
      </c>
      <c r="AF664">
        <v>2</v>
      </c>
      <c r="AG664">
        <v>0</v>
      </c>
      <c r="AH664">
        <v>2</v>
      </c>
    </row>
    <row r="665" spans="1:34" x14ac:dyDescent="0.3">
      <c r="A665" t="s">
        <v>60</v>
      </c>
      <c r="B665">
        <v>1</v>
      </c>
      <c r="C665" t="s">
        <v>32</v>
      </c>
      <c r="D665">
        <v>1427</v>
      </c>
      <c r="E665" t="s">
        <v>40</v>
      </c>
      <c r="F665">
        <v>18</v>
      </c>
      <c r="G665" t="str">
        <f>IF(Table2[[#This Row],[DistanceFromHome]]&lt;=5, "short", IF(Table2[[#This Row],[DistanceFromHome]]&lt;=15, "medium", "long"))</f>
        <v>long</v>
      </c>
      <c r="H665">
        <v>1</v>
      </c>
      <c r="I665" t="s">
        <v>44</v>
      </c>
      <c r="J665">
        <v>923</v>
      </c>
      <c r="K665">
        <v>4</v>
      </c>
      <c r="L665" t="s">
        <v>35</v>
      </c>
      <c r="M665">
        <v>65</v>
      </c>
      <c r="N665">
        <v>3</v>
      </c>
      <c r="O665">
        <v>1</v>
      </c>
      <c r="P665" t="s">
        <v>42</v>
      </c>
      <c r="Q665">
        <v>4</v>
      </c>
      <c r="R665" t="s">
        <v>37</v>
      </c>
      <c r="S665">
        <v>2693</v>
      </c>
      <c r="T665">
        <v>8870</v>
      </c>
      <c r="U665">
        <v>1</v>
      </c>
      <c r="V665" t="s">
        <v>38</v>
      </c>
      <c r="W665">
        <v>19</v>
      </c>
      <c r="X665">
        <v>3</v>
      </c>
      <c r="Y665">
        <v>1</v>
      </c>
      <c r="Z665">
        <v>0</v>
      </c>
      <c r="AA665">
        <v>1</v>
      </c>
      <c r="AB665" t="str">
        <f>IF(Table2[[#This Row],[TotalWorkingYears]]&lt;=5,"Early (0-5)",IF(Table2[[#This Row],[TotalWorkingYears]]&lt;=15,"Mid (6-15)","Senior (16+)"))</f>
        <v>Early (0-5)</v>
      </c>
      <c r="AC665">
        <v>3</v>
      </c>
      <c r="AD665">
        <v>2</v>
      </c>
      <c r="AE665" t="s">
        <v>63</v>
      </c>
      <c r="AF665">
        <v>0</v>
      </c>
      <c r="AG665">
        <v>0</v>
      </c>
      <c r="AH665">
        <v>0</v>
      </c>
    </row>
    <row r="666" spans="1:34" x14ac:dyDescent="0.3">
      <c r="A666" t="s">
        <v>57</v>
      </c>
      <c r="B666">
        <v>0</v>
      </c>
      <c r="C666" t="s">
        <v>32</v>
      </c>
      <c r="D666">
        <v>1425</v>
      </c>
      <c r="E666" t="s">
        <v>40</v>
      </c>
      <c r="F666">
        <v>14</v>
      </c>
      <c r="G666" t="str">
        <f>IF(Table2[[#This Row],[DistanceFromHome]]&lt;=5, "short", IF(Table2[[#This Row],[DistanceFromHome]]&lt;=15, "medium", "long"))</f>
        <v>medium</v>
      </c>
      <c r="H666">
        <v>1</v>
      </c>
      <c r="I666" t="s">
        <v>34</v>
      </c>
      <c r="J666">
        <v>924</v>
      </c>
      <c r="K666">
        <v>3</v>
      </c>
      <c r="L666" t="s">
        <v>41</v>
      </c>
      <c r="M666">
        <v>68</v>
      </c>
      <c r="N666">
        <v>3</v>
      </c>
      <c r="O666">
        <v>2</v>
      </c>
      <c r="P666" t="s">
        <v>49</v>
      </c>
      <c r="Q666">
        <v>4</v>
      </c>
      <c r="R666" t="s">
        <v>43</v>
      </c>
      <c r="S666">
        <v>6586</v>
      </c>
      <c r="T666">
        <v>4821</v>
      </c>
      <c r="U666">
        <v>0</v>
      </c>
      <c r="V666" t="s">
        <v>31</v>
      </c>
      <c r="W666">
        <v>17</v>
      </c>
      <c r="X666">
        <v>3</v>
      </c>
      <c r="Y666">
        <v>1</v>
      </c>
      <c r="Z666">
        <v>1</v>
      </c>
      <c r="AA666">
        <v>17</v>
      </c>
      <c r="AB666" t="str">
        <f>IF(Table2[[#This Row],[TotalWorkingYears]]&lt;=5,"Early (0-5)",IF(Table2[[#This Row],[TotalWorkingYears]]&lt;=15,"Mid (6-15)","Senior (16+)"))</f>
        <v>Senior (16+)</v>
      </c>
      <c r="AC666">
        <v>2</v>
      </c>
      <c r="AD666">
        <v>2</v>
      </c>
      <c r="AE666" t="s">
        <v>65</v>
      </c>
      <c r="AF666">
        <v>8</v>
      </c>
      <c r="AG666">
        <v>4</v>
      </c>
      <c r="AH666">
        <v>11</v>
      </c>
    </row>
    <row r="667" spans="1:34" x14ac:dyDescent="0.3">
      <c r="A667" t="s">
        <v>58</v>
      </c>
      <c r="B667">
        <v>0</v>
      </c>
      <c r="C667" t="s">
        <v>32</v>
      </c>
      <c r="D667">
        <v>1454</v>
      </c>
      <c r="E667" t="s">
        <v>33</v>
      </c>
      <c r="F667">
        <v>2</v>
      </c>
      <c r="G667" t="str">
        <f>IF(Table2[[#This Row],[DistanceFromHome]]&lt;=5, "short", IF(Table2[[#This Row],[DistanceFromHome]]&lt;=15, "medium", "long"))</f>
        <v>short</v>
      </c>
      <c r="H667">
        <v>4</v>
      </c>
      <c r="I667" t="s">
        <v>34</v>
      </c>
      <c r="J667">
        <v>925</v>
      </c>
      <c r="K667">
        <v>4</v>
      </c>
      <c r="L667" t="s">
        <v>35</v>
      </c>
      <c r="M667">
        <v>65</v>
      </c>
      <c r="N667">
        <v>2</v>
      </c>
      <c r="O667">
        <v>1</v>
      </c>
      <c r="P667" t="s">
        <v>52</v>
      </c>
      <c r="Q667">
        <v>4</v>
      </c>
      <c r="R667" t="s">
        <v>37</v>
      </c>
      <c r="S667">
        <v>3294</v>
      </c>
      <c r="T667">
        <v>13137</v>
      </c>
      <c r="U667">
        <v>1</v>
      </c>
      <c r="V667" t="s">
        <v>31</v>
      </c>
      <c r="W667">
        <v>18</v>
      </c>
      <c r="X667">
        <v>3</v>
      </c>
      <c r="Y667">
        <v>1</v>
      </c>
      <c r="Z667">
        <v>0</v>
      </c>
      <c r="AA667">
        <v>3</v>
      </c>
      <c r="AB667" t="str">
        <f>IF(Table2[[#This Row],[TotalWorkingYears]]&lt;=5,"Early (0-5)",IF(Table2[[#This Row],[TotalWorkingYears]]&lt;=15,"Mid (6-15)","Senior (16+)"))</f>
        <v>Early (0-5)</v>
      </c>
      <c r="AC667">
        <v>3</v>
      </c>
      <c r="AD667">
        <v>2</v>
      </c>
      <c r="AE667" t="s">
        <v>64</v>
      </c>
      <c r="AF667">
        <v>2</v>
      </c>
      <c r="AG667">
        <v>1</v>
      </c>
      <c r="AH667">
        <v>2</v>
      </c>
    </row>
    <row r="668" spans="1:34" x14ac:dyDescent="0.3">
      <c r="A668" t="s">
        <v>60</v>
      </c>
      <c r="B668">
        <v>1</v>
      </c>
      <c r="C668" t="s">
        <v>32</v>
      </c>
      <c r="D668">
        <v>617</v>
      </c>
      <c r="E668" t="s">
        <v>40</v>
      </c>
      <c r="F668">
        <v>3</v>
      </c>
      <c r="G668" t="str">
        <f>IF(Table2[[#This Row],[DistanceFromHome]]&lt;=5, "short", IF(Table2[[#This Row],[DistanceFromHome]]&lt;=15, "medium", "long"))</f>
        <v>short</v>
      </c>
      <c r="H668">
        <v>1</v>
      </c>
      <c r="I668" t="s">
        <v>34</v>
      </c>
      <c r="J668">
        <v>926</v>
      </c>
      <c r="K668">
        <v>2</v>
      </c>
      <c r="L668" t="s">
        <v>35</v>
      </c>
      <c r="M668">
        <v>34</v>
      </c>
      <c r="N668">
        <v>3</v>
      </c>
      <c r="O668">
        <v>2</v>
      </c>
      <c r="P668" t="s">
        <v>48</v>
      </c>
      <c r="Q668">
        <v>3</v>
      </c>
      <c r="R668" t="s">
        <v>43</v>
      </c>
      <c r="S668">
        <v>4171</v>
      </c>
      <c r="T668">
        <v>10022</v>
      </c>
      <c r="U668">
        <v>0</v>
      </c>
      <c r="V668" t="s">
        <v>31</v>
      </c>
      <c r="W668">
        <v>19</v>
      </c>
      <c r="X668">
        <v>3</v>
      </c>
      <c r="Y668">
        <v>1</v>
      </c>
      <c r="Z668">
        <v>1</v>
      </c>
      <c r="AA668">
        <v>4</v>
      </c>
      <c r="AB668" t="str">
        <f>IF(Table2[[#This Row],[TotalWorkingYears]]&lt;=5,"Early (0-5)",IF(Table2[[#This Row],[TotalWorkingYears]]&lt;=15,"Mid (6-15)","Senior (16+)"))</f>
        <v>Early (0-5)</v>
      </c>
      <c r="AC668">
        <v>3</v>
      </c>
      <c r="AD668">
        <v>4</v>
      </c>
      <c r="AE668" t="s">
        <v>64</v>
      </c>
      <c r="AF668">
        <v>2</v>
      </c>
      <c r="AG668">
        <v>0</v>
      </c>
      <c r="AH668">
        <v>2</v>
      </c>
    </row>
    <row r="669" spans="1:34" x14ac:dyDescent="0.3">
      <c r="A669" t="s">
        <v>57</v>
      </c>
      <c r="B669">
        <v>1</v>
      </c>
      <c r="C669" t="s">
        <v>32</v>
      </c>
      <c r="D669">
        <v>1085</v>
      </c>
      <c r="E669" t="s">
        <v>40</v>
      </c>
      <c r="F669">
        <v>2</v>
      </c>
      <c r="G669" t="str">
        <f>IF(Table2[[#This Row],[DistanceFromHome]]&lt;=5, "short", IF(Table2[[#This Row],[DistanceFromHome]]&lt;=15, "medium", "long"))</f>
        <v>short</v>
      </c>
      <c r="H669">
        <v>4</v>
      </c>
      <c r="I669" t="s">
        <v>34</v>
      </c>
      <c r="J669">
        <v>927</v>
      </c>
      <c r="K669">
        <v>2</v>
      </c>
      <c r="L669" t="s">
        <v>35</v>
      </c>
      <c r="M669">
        <v>57</v>
      </c>
      <c r="N669">
        <v>1</v>
      </c>
      <c r="O669">
        <v>1</v>
      </c>
      <c r="P669" t="s">
        <v>45</v>
      </c>
      <c r="Q669">
        <v>4</v>
      </c>
      <c r="R669" t="s">
        <v>47</v>
      </c>
      <c r="S669">
        <v>2778</v>
      </c>
      <c r="T669">
        <v>17725</v>
      </c>
      <c r="U669">
        <v>4</v>
      </c>
      <c r="V669" t="s">
        <v>31</v>
      </c>
      <c r="W669">
        <v>13</v>
      </c>
      <c r="X669">
        <v>3</v>
      </c>
      <c r="Y669">
        <v>3</v>
      </c>
      <c r="Z669">
        <v>1</v>
      </c>
      <c r="AA669">
        <v>10</v>
      </c>
      <c r="AB669" t="str">
        <f>IF(Table2[[#This Row],[TotalWorkingYears]]&lt;=5,"Early (0-5)",IF(Table2[[#This Row],[TotalWorkingYears]]&lt;=15,"Mid (6-15)","Senior (16+)"))</f>
        <v>Mid (6-15)</v>
      </c>
      <c r="AC669">
        <v>1</v>
      </c>
      <c r="AD669">
        <v>2</v>
      </c>
      <c r="AE669" t="s">
        <v>62</v>
      </c>
      <c r="AF669">
        <v>7</v>
      </c>
      <c r="AG669">
        <v>1</v>
      </c>
      <c r="AH669">
        <v>0</v>
      </c>
    </row>
    <row r="670" spans="1:34" x14ac:dyDescent="0.3">
      <c r="A670" t="s">
        <v>59</v>
      </c>
      <c r="B670">
        <v>0</v>
      </c>
      <c r="C670" t="s">
        <v>32</v>
      </c>
      <c r="D670">
        <v>995</v>
      </c>
      <c r="E670" t="s">
        <v>40</v>
      </c>
      <c r="F670">
        <v>9</v>
      </c>
      <c r="G670" t="str">
        <f>IF(Table2[[#This Row],[DistanceFromHome]]&lt;=5, "short", IF(Table2[[#This Row],[DistanceFromHome]]&lt;=15, "medium", "long"))</f>
        <v>medium</v>
      </c>
      <c r="H670">
        <v>3</v>
      </c>
      <c r="I670" t="s">
        <v>46</v>
      </c>
      <c r="J670">
        <v>930</v>
      </c>
      <c r="K670">
        <v>3</v>
      </c>
      <c r="L670" t="s">
        <v>35</v>
      </c>
      <c r="M670">
        <v>77</v>
      </c>
      <c r="N670">
        <v>3</v>
      </c>
      <c r="O670">
        <v>1</v>
      </c>
      <c r="P670" t="s">
        <v>42</v>
      </c>
      <c r="Q670">
        <v>3</v>
      </c>
      <c r="R670" t="s">
        <v>47</v>
      </c>
      <c r="S670">
        <v>2377</v>
      </c>
      <c r="T670">
        <v>9834</v>
      </c>
      <c r="U670">
        <v>5</v>
      </c>
      <c r="V670" t="s">
        <v>38</v>
      </c>
      <c r="W670">
        <v>18</v>
      </c>
      <c r="X670">
        <v>3</v>
      </c>
      <c r="Y670">
        <v>2</v>
      </c>
      <c r="Z670">
        <v>1</v>
      </c>
      <c r="AA670">
        <v>6</v>
      </c>
      <c r="AB670" t="str">
        <f>IF(Table2[[#This Row],[TotalWorkingYears]]&lt;=5,"Early (0-5)",IF(Table2[[#This Row],[TotalWorkingYears]]&lt;=15,"Mid (6-15)","Senior (16+)"))</f>
        <v>Mid (6-15)</v>
      </c>
      <c r="AC670">
        <v>2</v>
      </c>
      <c r="AD670">
        <v>3</v>
      </c>
      <c r="AE670" t="s">
        <v>63</v>
      </c>
      <c r="AF670">
        <v>2</v>
      </c>
      <c r="AG670">
        <v>2</v>
      </c>
      <c r="AH670">
        <v>2</v>
      </c>
    </row>
    <row r="671" spans="1:34" x14ac:dyDescent="0.3">
      <c r="A671" t="s">
        <v>57</v>
      </c>
      <c r="B671">
        <v>1</v>
      </c>
      <c r="C671" t="s">
        <v>32</v>
      </c>
      <c r="D671">
        <v>1122</v>
      </c>
      <c r="E671" t="s">
        <v>40</v>
      </c>
      <c r="F671">
        <v>6</v>
      </c>
      <c r="G671" t="str">
        <f>IF(Table2[[#This Row],[DistanceFromHome]]&lt;=5, "short", IF(Table2[[#This Row],[DistanceFromHome]]&lt;=15, "medium", "long"))</f>
        <v>medium</v>
      </c>
      <c r="H671">
        <v>3</v>
      </c>
      <c r="I671" t="s">
        <v>46</v>
      </c>
      <c r="J671">
        <v>932</v>
      </c>
      <c r="K671">
        <v>4</v>
      </c>
      <c r="L671" t="s">
        <v>41</v>
      </c>
      <c r="M671">
        <v>70</v>
      </c>
      <c r="N671">
        <v>3</v>
      </c>
      <c r="O671">
        <v>1</v>
      </c>
      <c r="P671" t="s">
        <v>45</v>
      </c>
      <c r="Q671">
        <v>1</v>
      </c>
      <c r="R671" t="s">
        <v>43</v>
      </c>
      <c r="S671">
        <v>2404</v>
      </c>
      <c r="T671">
        <v>4303</v>
      </c>
      <c r="U671">
        <v>7</v>
      </c>
      <c r="V671" t="s">
        <v>31</v>
      </c>
      <c r="W671">
        <v>21</v>
      </c>
      <c r="X671">
        <v>4</v>
      </c>
      <c r="Y671">
        <v>4</v>
      </c>
      <c r="Z671">
        <v>0</v>
      </c>
      <c r="AA671">
        <v>8</v>
      </c>
      <c r="AB671" t="str">
        <f>IF(Table2[[#This Row],[TotalWorkingYears]]&lt;=5,"Early (0-5)",IF(Table2[[#This Row],[TotalWorkingYears]]&lt;=15,"Mid (6-15)","Senior (16+)"))</f>
        <v>Mid (6-15)</v>
      </c>
      <c r="AC671">
        <v>2</v>
      </c>
      <c r="AD671">
        <v>1</v>
      </c>
      <c r="AE671" t="s">
        <v>63</v>
      </c>
      <c r="AF671">
        <v>2</v>
      </c>
      <c r="AG671">
        <v>2</v>
      </c>
      <c r="AH671">
        <v>2</v>
      </c>
    </row>
    <row r="672" spans="1:34" x14ac:dyDescent="0.3">
      <c r="A672" t="s">
        <v>59</v>
      </c>
      <c r="B672">
        <v>0</v>
      </c>
      <c r="C672" t="s">
        <v>32</v>
      </c>
      <c r="D672">
        <v>618</v>
      </c>
      <c r="E672" t="s">
        <v>40</v>
      </c>
      <c r="F672">
        <v>4</v>
      </c>
      <c r="G672" t="str">
        <f>IF(Table2[[#This Row],[DistanceFromHome]]&lt;=5, "short", IF(Table2[[#This Row],[DistanceFromHome]]&lt;=15, "medium", "long"))</f>
        <v>short</v>
      </c>
      <c r="H672">
        <v>3</v>
      </c>
      <c r="I672" t="s">
        <v>34</v>
      </c>
      <c r="J672">
        <v>933</v>
      </c>
      <c r="K672">
        <v>2</v>
      </c>
      <c r="L672" t="s">
        <v>35</v>
      </c>
      <c r="M672">
        <v>76</v>
      </c>
      <c r="N672">
        <v>3</v>
      </c>
      <c r="O672">
        <v>1</v>
      </c>
      <c r="P672" t="s">
        <v>42</v>
      </c>
      <c r="Q672">
        <v>3</v>
      </c>
      <c r="R672" t="s">
        <v>37</v>
      </c>
      <c r="S672">
        <v>2318</v>
      </c>
      <c r="T672">
        <v>17808</v>
      </c>
      <c r="U672">
        <v>1</v>
      </c>
      <c r="V672" t="s">
        <v>38</v>
      </c>
      <c r="W672">
        <v>19</v>
      </c>
      <c r="X672">
        <v>3</v>
      </c>
      <c r="Y672">
        <v>3</v>
      </c>
      <c r="Z672">
        <v>0</v>
      </c>
      <c r="AA672">
        <v>1</v>
      </c>
      <c r="AB672" t="str">
        <f>IF(Table2[[#This Row],[TotalWorkingYears]]&lt;=5,"Early (0-5)",IF(Table2[[#This Row],[TotalWorkingYears]]&lt;=15,"Mid (6-15)","Senior (16+)"))</f>
        <v>Early (0-5)</v>
      </c>
      <c r="AC672">
        <v>2</v>
      </c>
      <c r="AD672">
        <v>3</v>
      </c>
      <c r="AE672" t="s">
        <v>63</v>
      </c>
      <c r="AF672">
        <v>1</v>
      </c>
      <c r="AG672">
        <v>0</v>
      </c>
      <c r="AH672">
        <v>0</v>
      </c>
    </row>
    <row r="673" spans="1:34" x14ac:dyDescent="0.3">
      <c r="A673" t="s">
        <v>59</v>
      </c>
      <c r="B673">
        <v>0</v>
      </c>
      <c r="C673" t="s">
        <v>32</v>
      </c>
      <c r="D673">
        <v>546</v>
      </c>
      <c r="E673" t="s">
        <v>40</v>
      </c>
      <c r="F673">
        <v>10</v>
      </c>
      <c r="G673" t="str">
        <f>IF(Table2[[#This Row],[DistanceFromHome]]&lt;=5, "short", IF(Table2[[#This Row],[DistanceFromHome]]&lt;=15, "medium", "long"))</f>
        <v>medium</v>
      </c>
      <c r="H673">
        <v>3</v>
      </c>
      <c r="I673" t="s">
        <v>34</v>
      </c>
      <c r="J673">
        <v>934</v>
      </c>
      <c r="K673">
        <v>2</v>
      </c>
      <c r="L673" t="s">
        <v>41</v>
      </c>
      <c r="M673">
        <v>83</v>
      </c>
      <c r="N673">
        <v>3</v>
      </c>
      <c r="O673">
        <v>1</v>
      </c>
      <c r="P673" t="s">
        <v>45</v>
      </c>
      <c r="Q673">
        <v>2</v>
      </c>
      <c r="R673" t="s">
        <v>47</v>
      </c>
      <c r="S673">
        <v>2008</v>
      </c>
      <c r="T673">
        <v>6896</v>
      </c>
      <c r="U673">
        <v>1</v>
      </c>
      <c r="V673" t="s">
        <v>38</v>
      </c>
      <c r="W673">
        <v>14</v>
      </c>
      <c r="X673">
        <v>3</v>
      </c>
      <c r="Y673">
        <v>2</v>
      </c>
      <c r="Z673">
        <v>2</v>
      </c>
      <c r="AA673">
        <v>1</v>
      </c>
      <c r="AB673" t="str">
        <f>IF(Table2[[#This Row],[TotalWorkingYears]]&lt;=5,"Early (0-5)",IF(Table2[[#This Row],[TotalWorkingYears]]&lt;=15,"Mid (6-15)","Senior (16+)"))</f>
        <v>Early (0-5)</v>
      </c>
      <c r="AC673">
        <v>3</v>
      </c>
      <c r="AD673">
        <v>3</v>
      </c>
      <c r="AE673" t="s">
        <v>63</v>
      </c>
      <c r="AF673">
        <v>0</v>
      </c>
      <c r="AG673">
        <v>1</v>
      </c>
      <c r="AH673">
        <v>0</v>
      </c>
    </row>
    <row r="674" spans="1:34" x14ac:dyDescent="0.3">
      <c r="A674" t="s">
        <v>57</v>
      </c>
      <c r="B674">
        <v>0</v>
      </c>
      <c r="C674" t="s">
        <v>32</v>
      </c>
      <c r="D674">
        <v>462</v>
      </c>
      <c r="E674" t="s">
        <v>33</v>
      </c>
      <c r="F674">
        <v>14</v>
      </c>
      <c r="G674" t="str">
        <f>IF(Table2[[#This Row],[DistanceFromHome]]&lt;=5, "short", IF(Table2[[#This Row],[DistanceFromHome]]&lt;=15, "medium", "long"))</f>
        <v>medium</v>
      </c>
      <c r="H674">
        <v>2</v>
      </c>
      <c r="I674" t="s">
        <v>46</v>
      </c>
      <c r="J674">
        <v>936</v>
      </c>
      <c r="K674">
        <v>3</v>
      </c>
      <c r="L674" t="s">
        <v>35</v>
      </c>
      <c r="M674">
        <v>68</v>
      </c>
      <c r="N674">
        <v>2</v>
      </c>
      <c r="O674">
        <v>2</v>
      </c>
      <c r="P674" t="s">
        <v>36</v>
      </c>
      <c r="Q674">
        <v>3</v>
      </c>
      <c r="R674" t="s">
        <v>37</v>
      </c>
      <c r="S674">
        <v>6244</v>
      </c>
      <c r="T674">
        <v>7824</v>
      </c>
      <c r="U674">
        <v>7</v>
      </c>
      <c r="V674" t="s">
        <v>38</v>
      </c>
      <c r="W674">
        <v>17</v>
      </c>
      <c r="X674">
        <v>3</v>
      </c>
      <c r="Y674">
        <v>1</v>
      </c>
      <c r="Z674">
        <v>0</v>
      </c>
      <c r="AA674">
        <v>10</v>
      </c>
      <c r="AB674" t="str">
        <f>IF(Table2[[#This Row],[TotalWorkingYears]]&lt;=5,"Early (0-5)",IF(Table2[[#This Row],[TotalWorkingYears]]&lt;=15,"Mid (6-15)","Senior (16+)"))</f>
        <v>Mid (6-15)</v>
      </c>
      <c r="AC674">
        <v>6</v>
      </c>
      <c r="AD674">
        <v>3</v>
      </c>
      <c r="AE674" t="s">
        <v>64</v>
      </c>
      <c r="AF674">
        <v>4</v>
      </c>
      <c r="AG674">
        <v>0</v>
      </c>
      <c r="AH674">
        <v>3</v>
      </c>
    </row>
    <row r="675" spans="1:34" x14ac:dyDescent="0.3">
      <c r="A675" t="s">
        <v>59</v>
      </c>
      <c r="B675">
        <v>0</v>
      </c>
      <c r="C675" t="s">
        <v>32</v>
      </c>
      <c r="D675">
        <v>1198</v>
      </c>
      <c r="E675" t="s">
        <v>40</v>
      </c>
      <c r="F675">
        <v>1</v>
      </c>
      <c r="G675" t="str">
        <f>IF(Table2[[#This Row],[DistanceFromHome]]&lt;=5, "short", IF(Table2[[#This Row],[DistanceFromHome]]&lt;=15, "medium", "long"))</f>
        <v>short</v>
      </c>
      <c r="H675">
        <v>4</v>
      </c>
      <c r="I675" t="s">
        <v>44</v>
      </c>
      <c r="J675">
        <v>939</v>
      </c>
      <c r="K675">
        <v>3</v>
      </c>
      <c r="L675" t="s">
        <v>41</v>
      </c>
      <c r="M675">
        <v>100</v>
      </c>
      <c r="N675">
        <v>2</v>
      </c>
      <c r="O675">
        <v>1</v>
      </c>
      <c r="P675" t="s">
        <v>42</v>
      </c>
      <c r="Q675">
        <v>1</v>
      </c>
      <c r="R675" t="s">
        <v>37</v>
      </c>
      <c r="S675">
        <v>2799</v>
      </c>
      <c r="T675">
        <v>3339</v>
      </c>
      <c r="U675">
        <v>3</v>
      </c>
      <c r="V675" t="s">
        <v>31</v>
      </c>
      <c r="W675">
        <v>11</v>
      </c>
      <c r="X675">
        <v>3</v>
      </c>
      <c r="Y675">
        <v>2</v>
      </c>
      <c r="Z675">
        <v>0</v>
      </c>
      <c r="AA675">
        <v>6</v>
      </c>
      <c r="AB675" t="str">
        <f>IF(Table2[[#This Row],[TotalWorkingYears]]&lt;=5,"Early (0-5)",IF(Table2[[#This Row],[TotalWorkingYears]]&lt;=15,"Mid (6-15)","Senior (16+)"))</f>
        <v>Mid (6-15)</v>
      </c>
      <c r="AC675">
        <v>1</v>
      </c>
      <c r="AD675">
        <v>3</v>
      </c>
      <c r="AE675" t="s">
        <v>64</v>
      </c>
      <c r="AF675">
        <v>2</v>
      </c>
      <c r="AG675">
        <v>0</v>
      </c>
      <c r="AH675">
        <v>2</v>
      </c>
    </row>
    <row r="676" spans="1:34" x14ac:dyDescent="0.3">
      <c r="A676" t="s">
        <v>58</v>
      </c>
      <c r="B676">
        <v>0</v>
      </c>
      <c r="C676" t="s">
        <v>32</v>
      </c>
      <c r="D676">
        <v>1272</v>
      </c>
      <c r="E676" t="s">
        <v>40</v>
      </c>
      <c r="F676">
        <v>5</v>
      </c>
      <c r="G676" t="str">
        <f>IF(Table2[[#This Row],[DistanceFromHome]]&lt;=5, "short", IF(Table2[[#This Row],[DistanceFromHome]]&lt;=15, "medium", "long"))</f>
        <v>short</v>
      </c>
      <c r="H676">
        <v>3</v>
      </c>
      <c r="I676" t="s">
        <v>55</v>
      </c>
      <c r="J676">
        <v>940</v>
      </c>
      <c r="K676">
        <v>3</v>
      </c>
      <c r="L676" t="s">
        <v>35</v>
      </c>
      <c r="M676">
        <v>37</v>
      </c>
      <c r="N676">
        <v>2</v>
      </c>
      <c r="O676">
        <v>3</v>
      </c>
      <c r="P676" t="s">
        <v>49</v>
      </c>
      <c r="Q676">
        <v>2</v>
      </c>
      <c r="R676" t="s">
        <v>47</v>
      </c>
      <c r="S676">
        <v>10552</v>
      </c>
      <c r="T676">
        <v>9255</v>
      </c>
      <c r="U676">
        <v>2</v>
      </c>
      <c r="V676" t="s">
        <v>31</v>
      </c>
      <c r="W676">
        <v>13</v>
      </c>
      <c r="X676">
        <v>3</v>
      </c>
      <c r="Y676">
        <v>4</v>
      </c>
      <c r="Z676">
        <v>1</v>
      </c>
      <c r="AA676">
        <v>24</v>
      </c>
      <c r="AB676" t="str">
        <f>IF(Table2[[#This Row],[TotalWorkingYears]]&lt;=5,"Early (0-5)",IF(Table2[[#This Row],[TotalWorkingYears]]&lt;=15,"Mid (6-15)","Senior (16+)"))</f>
        <v>Senior (16+)</v>
      </c>
      <c r="AC676">
        <v>3</v>
      </c>
      <c r="AD676">
        <v>3</v>
      </c>
      <c r="AE676" t="s">
        <v>62</v>
      </c>
      <c r="AF676">
        <v>0</v>
      </c>
      <c r="AG676">
        <v>0</v>
      </c>
      <c r="AH676">
        <v>4</v>
      </c>
    </row>
    <row r="677" spans="1:34" x14ac:dyDescent="0.3">
      <c r="A677" t="s">
        <v>59</v>
      </c>
      <c r="B677">
        <v>0</v>
      </c>
      <c r="C677" t="s">
        <v>32</v>
      </c>
      <c r="D677">
        <v>154</v>
      </c>
      <c r="E677" t="s">
        <v>33</v>
      </c>
      <c r="F677">
        <v>7</v>
      </c>
      <c r="G677" t="str">
        <f>IF(Table2[[#This Row],[DistanceFromHome]]&lt;=5, "short", IF(Table2[[#This Row],[DistanceFromHome]]&lt;=15, "medium", "long"))</f>
        <v>medium</v>
      </c>
      <c r="H677">
        <v>4</v>
      </c>
      <c r="I677" t="s">
        <v>34</v>
      </c>
      <c r="J677">
        <v>941</v>
      </c>
      <c r="K677">
        <v>2</v>
      </c>
      <c r="L677" t="s">
        <v>41</v>
      </c>
      <c r="M677">
        <v>41</v>
      </c>
      <c r="N677">
        <v>2</v>
      </c>
      <c r="O677">
        <v>1</v>
      </c>
      <c r="P677" t="s">
        <v>52</v>
      </c>
      <c r="Q677">
        <v>3</v>
      </c>
      <c r="R677" t="s">
        <v>43</v>
      </c>
      <c r="S677">
        <v>2329</v>
      </c>
      <c r="T677">
        <v>11737</v>
      </c>
      <c r="U677">
        <v>3</v>
      </c>
      <c r="V677" t="s">
        <v>38</v>
      </c>
      <c r="W677">
        <v>15</v>
      </c>
      <c r="X677">
        <v>3</v>
      </c>
      <c r="Y677">
        <v>2</v>
      </c>
      <c r="Z677">
        <v>0</v>
      </c>
      <c r="AA677">
        <v>13</v>
      </c>
      <c r="AB677" t="str">
        <f>IF(Table2[[#This Row],[TotalWorkingYears]]&lt;=5,"Early (0-5)",IF(Table2[[#This Row],[TotalWorkingYears]]&lt;=15,"Mid (6-15)","Senior (16+)"))</f>
        <v>Mid (6-15)</v>
      </c>
      <c r="AC677">
        <v>2</v>
      </c>
      <c r="AD677">
        <v>4</v>
      </c>
      <c r="AE677" t="s">
        <v>62</v>
      </c>
      <c r="AF677">
        <v>7</v>
      </c>
      <c r="AG677">
        <v>5</v>
      </c>
      <c r="AH677">
        <v>2</v>
      </c>
    </row>
    <row r="678" spans="1:34" x14ac:dyDescent="0.3">
      <c r="A678" t="s">
        <v>59</v>
      </c>
      <c r="B678">
        <v>0</v>
      </c>
      <c r="C678" t="s">
        <v>32</v>
      </c>
      <c r="D678">
        <v>1137</v>
      </c>
      <c r="E678" t="s">
        <v>40</v>
      </c>
      <c r="F678">
        <v>21</v>
      </c>
      <c r="G678" t="str">
        <f>IF(Table2[[#This Row],[DistanceFromHome]]&lt;=5, "short", IF(Table2[[#This Row],[DistanceFromHome]]&lt;=15, "medium", "long"))</f>
        <v>long</v>
      </c>
      <c r="H678">
        <v>1</v>
      </c>
      <c r="I678" t="s">
        <v>34</v>
      </c>
      <c r="J678">
        <v>942</v>
      </c>
      <c r="K678">
        <v>4</v>
      </c>
      <c r="L678" t="s">
        <v>35</v>
      </c>
      <c r="M678">
        <v>51</v>
      </c>
      <c r="N678">
        <v>3</v>
      </c>
      <c r="O678">
        <v>2</v>
      </c>
      <c r="P678" t="s">
        <v>49</v>
      </c>
      <c r="Q678">
        <v>4</v>
      </c>
      <c r="R678" t="s">
        <v>43</v>
      </c>
      <c r="S678">
        <v>4014</v>
      </c>
      <c r="T678">
        <v>19170</v>
      </c>
      <c r="U678">
        <v>1</v>
      </c>
      <c r="V678" t="s">
        <v>31</v>
      </c>
      <c r="W678">
        <v>25</v>
      </c>
      <c r="X678">
        <v>4</v>
      </c>
      <c r="Y678">
        <v>4</v>
      </c>
      <c r="Z678">
        <v>1</v>
      </c>
      <c r="AA678">
        <v>10</v>
      </c>
      <c r="AB678" t="str">
        <f>IF(Table2[[#This Row],[TotalWorkingYears]]&lt;=5,"Early (0-5)",IF(Table2[[#This Row],[TotalWorkingYears]]&lt;=15,"Mid (6-15)","Senior (16+)"))</f>
        <v>Mid (6-15)</v>
      </c>
      <c r="AC678">
        <v>2</v>
      </c>
      <c r="AD678">
        <v>1</v>
      </c>
      <c r="AE678" t="s">
        <v>62</v>
      </c>
      <c r="AF678">
        <v>6</v>
      </c>
      <c r="AG678">
        <v>0</v>
      </c>
      <c r="AH678">
        <v>7</v>
      </c>
    </row>
    <row r="679" spans="1:34" x14ac:dyDescent="0.3">
      <c r="A679" t="s">
        <v>58</v>
      </c>
      <c r="B679">
        <v>0</v>
      </c>
      <c r="C679" t="s">
        <v>32</v>
      </c>
      <c r="D679">
        <v>527</v>
      </c>
      <c r="E679" t="s">
        <v>40</v>
      </c>
      <c r="F679">
        <v>8</v>
      </c>
      <c r="G679" t="str">
        <f>IF(Table2[[#This Row],[DistanceFromHome]]&lt;=5, "short", IF(Table2[[#This Row],[DistanceFromHome]]&lt;=15, "medium", "long"))</f>
        <v>medium</v>
      </c>
      <c r="H679">
        <v>2</v>
      </c>
      <c r="I679" t="s">
        <v>44</v>
      </c>
      <c r="J679">
        <v>944</v>
      </c>
      <c r="K679">
        <v>1</v>
      </c>
      <c r="L679" t="s">
        <v>35</v>
      </c>
      <c r="M679">
        <v>51</v>
      </c>
      <c r="N679">
        <v>3</v>
      </c>
      <c r="O679">
        <v>3</v>
      </c>
      <c r="P679" t="s">
        <v>45</v>
      </c>
      <c r="Q679">
        <v>2</v>
      </c>
      <c r="R679" t="s">
        <v>43</v>
      </c>
      <c r="S679">
        <v>7403</v>
      </c>
      <c r="T679">
        <v>22477</v>
      </c>
      <c r="U679">
        <v>4</v>
      </c>
      <c r="V679" t="s">
        <v>38</v>
      </c>
      <c r="W679">
        <v>11</v>
      </c>
      <c r="X679">
        <v>3</v>
      </c>
      <c r="Y679">
        <v>3</v>
      </c>
      <c r="Z679">
        <v>1</v>
      </c>
      <c r="AA679">
        <v>29</v>
      </c>
      <c r="AB679" t="str">
        <f>IF(Table2[[#This Row],[TotalWorkingYears]]&lt;=5,"Early (0-5)",IF(Table2[[#This Row],[TotalWorkingYears]]&lt;=15,"Mid (6-15)","Senior (16+)"))</f>
        <v>Senior (16+)</v>
      </c>
      <c r="AC679">
        <v>3</v>
      </c>
      <c r="AD679">
        <v>2</v>
      </c>
      <c r="AE679" t="s">
        <v>65</v>
      </c>
      <c r="AF679">
        <v>9</v>
      </c>
      <c r="AG679">
        <v>1</v>
      </c>
      <c r="AH679">
        <v>7</v>
      </c>
    </row>
    <row r="680" spans="1:34" x14ac:dyDescent="0.3">
      <c r="A680" t="s">
        <v>58</v>
      </c>
      <c r="B680">
        <v>0</v>
      </c>
      <c r="C680" t="s">
        <v>32</v>
      </c>
      <c r="D680">
        <v>1469</v>
      </c>
      <c r="E680" t="s">
        <v>40</v>
      </c>
      <c r="F680">
        <v>20</v>
      </c>
      <c r="G680" t="str">
        <f>IF(Table2[[#This Row],[DistanceFromHome]]&lt;=5, "short", IF(Table2[[#This Row],[DistanceFromHome]]&lt;=15, "medium", "long"))</f>
        <v>long</v>
      </c>
      <c r="H680">
        <v>4</v>
      </c>
      <c r="I680" t="s">
        <v>46</v>
      </c>
      <c r="J680">
        <v>945</v>
      </c>
      <c r="K680">
        <v>4</v>
      </c>
      <c r="L680" t="s">
        <v>41</v>
      </c>
      <c r="M680">
        <v>51</v>
      </c>
      <c r="N680">
        <v>3</v>
      </c>
      <c r="O680">
        <v>1</v>
      </c>
      <c r="P680" t="s">
        <v>42</v>
      </c>
      <c r="Q680">
        <v>3</v>
      </c>
      <c r="R680" t="s">
        <v>43</v>
      </c>
      <c r="S680">
        <v>2259</v>
      </c>
      <c r="T680">
        <v>5543</v>
      </c>
      <c r="U680">
        <v>4</v>
      </c>
      <c r="V680" t="s">
        <v>38</v>
      </c>
      <c r="W680">
        <v>17</v>
      </c>
      <c r="X680">
        <v>3</v>
      </c>
      <c r="Y680">
        <v>1</v>
      </c>
      <c r="Z680">
        <v>2</v>
      </c>
      <c r="AA680">
        <v>13</v>
      </c>
      <c r="AB680" t="str">
        <f>IF(Table2[[#This Row],[TotalWorkingYears]]&lt;=5,"Early (0-5)",IF(Table2[[#This Row],[TotalWorkingYears]]&lt;=15,"Mid (6-15)","Senior (16+)"))</f>
        <v>Mid (6-15)</v>
      </c>
      <c r="AC680">
        <v>2</v>
      </c>
      <c r="AD680">
        <v>2</v>
      </c>
      <c r="AE680" t="s">
        <v>63</v>
      </c>
      <c r="AF680">
        <v>0</v>
      </c>
      <c r="AG680">
        <v>0</v>
      </c>
      <c r="AH680">
        <v>0</v>
      </c>
    </row>
    <row r="681" spans="1:34" x14ac:dyDescent="0.3">
      <c r="A681" t="s">
        <v>59</v>
      </c>
      <c r="B681">
        <v>0</v>
      </c>
      <c r="C681" t="s">
        <v>50</v>
      </c>
      <c r="D681">
        <v>1188</v>
      </c>
      <c r="E681" t="s">
        <v>33</v>
      </c>
      <c r="F681">
        <v>20</v>
      </c>
      <c r="G681" t="str">
        <f>IF(Table2[[#This Row],[DistanceFromHome]]&lt;=5, "short", IF(Table2[[#This Row],[DistanceFromHome]]&lt;=15, "medium", "long"))</f>
        <v>long</v>
      </c>
      <c r="H681">
        <v>2</v>
      </c>
      <c r="I681" t="s">
        <v>54</v>
      </c>
      <c r="J681">
        <v>947</v>
      </c>
      <c r="K681">
        <v>4</v>
      </c>
      <c r="L681" t="s">
        <v>35</v>
      </c>
      <c r="M681">
        <v>45</v>
      </c>
      <c r="N681">
        <v>3</v>
      </c>
      <c r="O681">
        <v>2</v>
      </c>
      <c r="P681" t="s">
        <v>36</v>
      </c>
      <c r="Q681">
        <v>3</v>
      </c>
      <c r="R681" t="s">
        <v>43</v>
      </c>
      <c r="S681">
        <v>6932</v>
      </c>
      <c r="T681">
        <v>24406</v>
      </c>
      <c r="U681">
        <v>1</v>
      </c>
      <c r="V681" t="s">
        <v>38</v>
      </c>
      <c r="W681">
        <v>13</v>
      </c>
      <c r="X681">
        <v>3</v>
      </c>
      <c r="Y681">
        <v>4</v>
      </c>
      <c r="Z681">
        <v>1</v>
      </c>
      <c r="AA681">
        <v>9</v>
      </c>
      <c r="AB681" t="str">
        <f>IF(Table2[[#This Row],[TotalWorkingYears]]&lt;=5,"Early (0-5)",IF(Table2[[#This Row],[TotalWorkingYears]]&lt;=15,"Mid (6-15)","Senior (16+)"))</f>
        <v>Mid (6-15)</v>
      </c>
      <c r="AC681">
        <v>2</v>
      </c>
      <c r="AD681">
        <v>2</v>
      </c>
      <c r="AE681" t="s">
        <v>62</v>
      </c>
      <c r="AF681">
        <v>8</v>
      </c>
      <c r="AG681">
        <v>0</v>
      </c>
      <c r="AH681">
        <v>0</v>
      </c>
    </row>
    <row r="682" spans="1:34" x14ac:dyDescent="0.3">
      <c r="A682" t="s">
        <v>57</v>
      </c>
      <c r="B682">
        <v>0</v>
      </c>
      <c r="C682" t="s">
        <v>32</v>
      </c>
      <c r="D682">
        <v>188</v>
      </c>
      <c r="E682" t="s">
        <v>40</v>
      </c>
      <c r="F682">
        <v>7</v>
      </c>
      <c r="G682" t="str">
        <f>IF(Table2[[#This Row],[DistanceFromHome]]&lt;=5, "short", IF(Table2[[#This Row],[DistanceFromHome]]&lt;=15, "medium", "long"))</f>
        <v>medium</v>
      </c>
      <c r="H682">
        <v>4</v>
      </c>
      <c r="I682" t="s">
        <v>44</v>
      </c>
      <c r="J682">
        <v>949</v>
      </c>
      <c r="K682">
        <v>2</v>
      </c>
      <c r="L682" t="s">
        <v>41</v>
      </c>
      <c r="M682">
        <v>65</v>
      </c>
      <c r="N682">
        <v>3</v>
      </c>
      <c r="O682">
        <v>1</v>
      </c>
      <c r="P682" t="s">
        <v>42</v>
      </c>
      <c r="Q682">
        <v>4</v>
      </c>
      <c r="R682" t="s">
        <v>37</v>
      </c>
      <c r="S682">
        <v>4678</v>
      </c>
      <c r="T682">
        <v>23293</v>
      </c>
      <c r="U682">
        <v>2</v>
      </c>
      <c r="V682" t="s">
        <v>38</v>
      </c>
      <c r="W682">
        <v>18</v>
      </c>
      <c r="X682">
        <v>3</v>
      </c>
      <c r="Y682">
        <v>3</v>
      </c>
      <c r="Z682">
        <v>0</v>
      </c>
      <c r="AA682">
        <v>8</v>
      </c>
      <c r="AB682" t="str">
        <f>IF(Table2[[#This Row],[TotalWorkingYears]]&lt;=5,"Early (0-5)",IF(Table2[[#This Row],[TotalWorkingYears]]&lt;=15,"Mid (6-15)","Senior (16+)"))</f>
        <v>Mid (6-15)</v>
      </c>
      <c r="AC682">
        <v>6</v>
      </c>
      <c r="AD682">
        <v>3</v>
      </c>
      <c r="AE682" t="s">
        <v>62</v>
      </c>
      <c r="AF682">
        <v>2</v>
      </c>
      <c r="AG682">
        <v>0</v>
      </c>
      <c r="AH682">
        <v>1</v>
      </c>
    </row>
    <row r="683" spans="1:34" x14ac:dyDescent="0.3">
      <c r="A683" t="s">
        <v>57</v>
      </c>
      <c r="B683">
        <v>0</v>
      </c>
      <c r="C683" t="s">
        <v>32</v>
      </c>
      <c r="D683">
        <v>1333</v>
      </c>
      <c r="E683" t="s">
        <v>40</v>
      </c>
      <c r="F683">
        <v>1</v>
      </c>
      <c r="G683" t="str">
        <f>IF(Table2[[#This Row],[DistanceFromHome]]&lt;=5, "short", IF(Table2[[#This Row],[DistanceFromHome]]&lt;=15, "medium", "long"))</f>
        <v>short</v>
      </c>
      <c r="H683">
        <v>3</v>
      </c>
      <c r="I683" t="s">
        <v>55</v>
      </c>
      <c r="J683">
        <v>950</v>
      </c>
      <c r="K683">
        <v>4</v>
      </c>
      <c r="L683" t="s">
        <v>35</v>
      </c>
      <c r="M683">
        <v>80</v>
      </c>
      <c r="N683">
        <v>3</v>
      </c>
      <c r="O683">
        <v>3</v>
      </c>
      <c r="P683" t="s">
        <v>53</v>
      </c>
      <c r="Q683">
        <v>1</v>
      </c>
      <c r="R683" t="s">
        <v>43</v>
      </c>
      <c r="S683">
        <v>13582</v>
      </c>
      <c r="T683">
        <v>16292</v>
      </c>
      <c r="U683">
        <v>1</v>
      </c>
      <c r="V683" t="s">
        <v>38</v>
      </c>
      <c r="W683">
        <v>13</v>
      </c>
      <c r="X683">
        <v>3</v>
      </c>
      <c r="Y683">
        <v>2</v>
      </c>
      <c r="Z683">
        <v>1</v>
      </c>
      <c r="AA683">
        <v>15</v>
      </c>
      <c r="AB683" t="str">
        <f>IF(Table2[[#This Row],[TotalWorkingYears]]&lt;=5,"Early (0-5)",IF(Table2[[#This Row],[TotalWorkingYears]]&lt;=15,"Mid (6-15)","Senior (16+)"))</f>
        <v>Mid (6-15)</v>
      </c>
      <c r="AC683">
        <v>3</v>
      </c>
      <c r="AD683">
        <v>3</v>
      </c>
      <c r="AE683" t="s">
        <v>65</v>
      </c>
      <c r="AF683">
        <v>12</v>
      </c>
      <c r="AG683">
        <v>5</v>
      </c>
      <c r="AH683">
        <v>11</v>
      </c>
    </row>
    <row r="684" spans="1:34" x14ac:dyDescent="0.3">
      <c r="A684" t="s">
        <v>59</v>
      </c>
      <c r="B684">
        <v>0</v>
      </c>
      <c r="C684" t="s">
        <v>50</v>
      </c>
      <c r="D684">
        <v>1184</v>
      </c>
      <c r="E684" t="s">
        <v>40</v>
      </c>
      <c r="F684">
        <v>1</v>
      </c>
      <c r="G684" t="str">
        <f>IF(Table2[[#This Row],[DistanceFromHome]]&lt;=5, "short", IF(Table2[[#This Row],[DistanceFromHome]]&lt;=15, "medium", "long"))</f>
        <v>short</v>
      </c>
      <c r="H684">
        <v>3</v>
      </c>
      <c r="I684" t="s">
        <v>34</v>
      </c>
      <c r="J684">
        <v>951</v>
      </c>
      <c r="K684">
        <v>3</v>
      </c>
      <c r="L684" t="s">
        <v>35</v>
      </c>
      <c r="M684">
        <v>70</v>
      </c>
      <c r="N684">
        <v>2</v>
      </c>
      <c r="O684">
        <v>1</v>
      </c>
      <c r="P684" t="s">
        <v>45</v>
      </c>
      <c r="Q684">
        <v>2</v>
      </c>
      <c r="R684" t="s">
        <v>43</v>
      </c>
      <c r="S684">
        <v>2332</v>
      </c>
      <c r="T684">
        <v>3974</v>
      </c>
      <c r="U684">
        <v>6</v>
      </c>
      <c r="V684" t="s">
        <v>38</v>
      </c>
      <c r="W684">
        <v>20</v>
      </c>
      <c r="X684">
        <v>4</v>
      </c>
      <c r="Y684">
        <v>3</v>
      </c>
      <c r="Z684">
        <v>0</v>
      </c>
      <c r="AA684">
        <v>5</v>
      </c>
      <c r="AB684" t="str">
        <f>IF(Table2[[#This Row],[TotalWorkingYears]]&lt;=5,"Early (0-5)",IF(Table2[[#This Row],[TotalWorkingYears]]&lt;=15,"Mid (6-15)","Senior (16+)"))</f>
        <v>Early (0-5)</v>
      </c>
      <c r="AC684">
        <v>3</v>
      </c>
      <c r="AD684">
        <v>3</v>
      </c>
      <c r="AE684" t="s">
        <v>64</v>
      </c>
      <c r="AF684">
        <v>0</v>
      </c>
      <c r="AG684">
        <v>0</v>
      </c>
      <c r="AH684">
        <v>2</v>
      </c>
    </row>
    <row r="685" spans="1:34" x14ac:dyDescent="0.3">
      <c r="A685" t="s">
        <v>60</v>
      </c>
      <c r="B685">
        <v>1</v>
      </c>
      <c r="C685" t="s">
        <v>32</v>
      </c>
      <c r="D685">
        <v>867</v>
      </c>
      <c r="E685" t="s">
        <v>33</v>
      </c>
      <c r="F685">
        <v>19</v>
      </c>
      <c r="G685" t="str">
        <f>IF(Table2[[#This Row],[DistanceFromHome]]&lt;=5, "short", IF(Table2[[#This Row],[DistanceFromHome]]&lt;=15, "medium", "long"))</f>
        <v>long</v>
      </c>
      <c r="H685">
        <v>2</v>
      </c>
      <c r="I685" t="s">
        <v>54</v>
      </c>
      <c r="J685">
        <v>952</v>
      </c>
      <c r="K685">
        <v>3</v>
      </c>
      <c r="L685" t="s">
        <v>41</v>
      </c>
      <c r="M685">
        <v>36</v>
      </c>
      <c r="N685">
        <v>2</v>
      </c>
      <c r="O685">
        <v>1</v>
      </c>
      <c r="P685" t="s">
        <v>52</v>
      </c>
      <c r="Q685">
        <v>2</v>
      </c>
      <c r="R685" t="s">
        <v>43</v>
      </c>
      <c r="S685">
        <v>2413</v>
      </c>
      <c r="T685">
        <v>18798</v>
      </c>
      <c r="U685">
        <v>1</v>
      </c>
      <c r="V685" t="s">
        <v>31</v>
      </c>
      <c r="W685">
        <v>18</v>
      </c>
      <c r="X685">
        <v>3</v>
      </c>
      <c r="Y685">
        <v>3</v>
      </c>
      <c r="Z685">
        <v>3</v>
      </c>
      <c r="AA685">
        <v>1</v>
      </c>
      <c r="AB685" t="str">
        <f>IF(Table2[[#This Row],[TotalWorkingYears]]&lt;=5,"Early (0-5)",IF(Table2[[#This Row],[TotalWorkingYears]]&lt;=15,"Mid (6-15)","Senior (16+)"))</f>
        <v>Early (0-5)</v>
      </c>
      <c r="AC685">
        <v>2</v>
      </c>
      <c r="AD685">
        <v>3</v>
      </c>
      <c r="AE685" t="s">
        <v>63</v>
      </c>
      <c r="AF685">
        <v>0</v>
      </c>
      <c r="AG685">
        <v>0</v>
      </c>
      <c r="AH685">
        <v>0</v>
      </c>
    </row>
    <row r="686" spans="1:34" x14ac:dyDescent="0.3">
      <c r="A686" t="s">
        <v>57</v>
      </c>
      <c r="B686">
        <v>0</v>
      </c>
      <c r="C686" t="s">
        <v>32</v>
      </c>
      <c r="D686">
        <v>658</v>
      </c>
      <c r="E686" t="s">
        <v>33</v>
      </c>
      <c r="F686">
        <v>10</v>
      </c>
      <c r="G686" t="str">
        <f>IF(Table2[[#This Row],[DistanceFromHome]]&lt;=5, "short", IF(Table2[[#This Row],[DistanceFromHome]]&lt;=15, "medium", "long"))</f>
        <v>medium</v>
      </c>
      <c r="H686">
        <v>4</v>
      </c>
      <c r="I686" t="s">
        <v>54</v>
      </c>
      <c r="J686">
        <v>954</v>
      </c>
      <c r="K686">
        <v>1</v>
      </c>
      <c r="L686" t="s">
        <v>41</v>
      </c>
      <c r="M686">
        <v>67</v>
      </c>
      <c r="N686">
        <v>2</v>
      </c>
      <c r="O686">
        <v>3</v>
      </c>
      <c r="P686" t="s">
        <v>36</v>
      </c>
      <c r="Q686">
        <v>2</v>
      </c>
      <c r="R686" t="s">
        <v>47</v>
      </c>
      <c r="S686">
        <v>9705</v>
      </c>
      <c r="T686">
        <v>20652</v>
      </c>
      <c r="U686">
        <v>2</v>
      </c>
      <c r="V686" t="s">
        <v>38</v>
      </c>
      <c r="W686">
        <v>12</v>
      </c>
      <c r="X686">
        <v>3</v>
      </c>
      <c r="Y686">
        <v>2</v>
      </c>
      <c r="Z686">
        <v>1</v>
      </c>
      <c r="AA686">
        <v>11</v>
      </c>
      <c r="AB686" t="str">
        <f>IF(Table2[[#This Row],[TotalWorkingYears]]&lt;=5,"Early (0-5)",IF(Table2[[#This Row],[TotalWorkingYears]]&lt;=15,"Mid (6-15)","Senior (16+)"))</f>
        <v>Mid (6-15)</v>
      </c>
      <c r="AC686">
        <v>2</v>
      </c>
      <c r="AD686">
        <v>2</v>
      </c>
      <c r="AE686" t="s">
        <v>63</v>
      </c>
      <c r="AF686">
        <v>0</v>
      </c>
      <c r="AG686">
        <v>0</v>
      </c>
      <c r="AH686">
        <v>0</v>
      </c>
    </row>
    <row r="687" spans="1:34" x14ac:dyDescent="0.3">
      <c r="A687" t="s">
        <v>59</v>
      </c>
      <c r="B687">
        <v>0</v>
      </c>
      <c r="C687" t="s">
        <v>39</v>
      </c>
      <c r="D687">
        <v>1283</v>
      </c>
      <c r="E687" t="s">
        <v>33</v>
      </c>
      <c r="F687">
        <v>1</v>
      </c>
      <c r="G687" t="str">
        <f>IF(Table2[[#This Row],[DistanceFromHome]]&lt;=5, "short", IF(Table2[[#This Row],[DistanceFromHome]]&lt;=15, "medium", "long"))</f>
        <v>short</v>
      </c>
      <c r="H687">
        <v>3</v>
      </c>
      <c r="I687" t="s">
        <v>46</v>
      </c>
      <c r="J687">
        <v>956</v>
      </c>
      <c r="K687">
        <v>3</v>
      </c>
      <c r="L687" t="s">
        <v>41</v>
      </c>
      <c r="M687">
        <v>52</v>
      </c>
      <c r="N687">
        <v>2</v>
      </c>
      <c r="O687">
        <v>2</v>
      </c>
      <c r="P687" t="s">
        <v>36</v>
      </c>
      <c r="Q687">
        <v>1</v>
      </c>
      <c r="R687" t="s">
        <v>37</v>
      </c>
      <c r="S687">
        <v>4294</v>
      </c>
      <c r="T687">
        <v>11148</v>
      </c>
      <c r="U687">
        <v>1</v>
      </c>
      <c r="V687" t="s">
        <v>38</v>
      </c>
      <c r="W687">
        <v>12</v>
      </c>
      <c r="X687">
        <v>3</v>
      </c>
      <c r="Y687">
        <v>2</v>
      </c>
      <c r="Z687">
        <v>0</v>
      </c>
      <c r="AA687">
        <v>7</v>
      </c>
      <c r="AB687" t="str">
        <f>IF(Table2[[#This Row],[TotalWorkingYears]]&lt;=5,"Early (0-5)",IF(Table2[[#This Row],[TotalWorkingYears]]&lt;=15,"Mid (6-15)","Senior (16+)"))</f>
        <v>Mid (6-15)</v>
      </c>
      <c r="AC687">
        <v>2</v>
      </c>
      <c r="AD687">
        <v>3</v>
      </c>
      <c r="AE687" t="s">
        <v>62</v>
      </c>
      <c r="AF687">
        <v>7</v>
      </c>
      <c r="AG687">
        <v>0</v>
      </c>
      <c r="AH687">
        <v>7</v>
      </c>
    </row>
    <row r="688" spans="1:34" x14ac:dyDescent="0.3">
      <c r="A688" t="s">
        <v>57</v>
      </c>
      <c r="B688">
        <v>0</v>
      </c>
      <c r="C688" t="s">
        <v>32</v>
      </c>
      <c r="D688">
        <v>263</v>
      </c>
      <c r="E688" t="s">
        <v>40</v>
      </c>
      <c r="F688">
        <v>6</v>
      </c>
      <c r="G688" t="str">
        <f>IF(Table2[[#This Row],[DistanceFromHome]]&lt;=5, "short", IF(Table2[[#This Row],[DistanceFromHome]]&lt;=15, "medium", "long"))</f>
        <v>medium</v>
      </c>
      <c r="H688">
        <v>3</v>
      </c>
      <c r="I688" t="s">
        <v>46</v>
      </c>
      <c r="J688">
        <v>957</v>
      </c>
      <c r="K688">
        <v>4</v>
      </c>
      <c r="L688" t="s">
        <v>41</v>
      </c>
      <c r="M688">
        <v>59</v>
      </c>
      <c r="N688">
        <v>3</v>
      </c>
      <c r="O688">
        <v>1</v>
      </c>
      <c r="P688" t="s">
        <v>45</v>
      </c>
      <c r="Q688">
        <v>1</v>
      </c>
      <c r="R688" t="s">
        <v>37</v>
      </c>
      <c r="S688">
        <v>4721</v>
      </c>
      <c r="T688">
        <v>3119</v>
      </c>
      <c r="U688">
        <v>2</v>
      </c>
      <c r="V688" t="s">
        <v>31</v>
      </c>
      <c r="W688">
        <v>13</v>
      </c>
      <c r="X688">
        <v>3</v>
      </c>
      <c r="Y688">
        <v>3</v>
      </c>
      <c r="Z688">
        <v>0</v>
      </c>
      <c r="AA688">
        <v>20</v>
      </c>
      <c r="AB688" t="str">
        <f>IF(Table2[[#This Row],[TotalWorkingYears]]&lt;=5,"Early (0-5)",IF(Table2[[#This Row],[TotalWorkingYears]]&lt;=15,"Mid (6-15)","Senior (16+)"))</f>
        <v>Senior (16+)</v>
      </c>
      <c r="AC688">
        <v>3</v>
      </c>
      <c r="AD688">
        <v>3</v>
      </c>
      <c r="AE688" t="s">
        <v>65</v>
      </c>
      <c r="AF688">
        <v>13</v>
      </c>
      <c r="AG688">
        <v>2</v>
      </c>
      <c r="AH688">
        <v>17</v>
      </c>
    </row>
    <row r="689" spans="1:34" x14ac:dyDescent="0.3">
      <c r="A689" t="s">
        <v>57</v>
      </c>
      <c r="B689">
        <v>0</v>
      </c>
      <c r="C689" t="s">
        <v>32</v>
      </c>
      <c r="D689">
        <v>938</v>
      </c>
      <c r="E689" t="s">
        <v>40</v>
      </c>
      <c r="F689">
        <v>2</v>
      </c>
      <c r="G689" t="str">
        <f>IF(Table2[[#This Row],[DistanceFromHome]]&lt;=5, "short", IF(Table2[[#This Row],[DistanceFromHome]]&lt;=15, "medium", "long"))</f>
        <v>short</v>
      </c>
      <c r="H689">
        <v>4</v>
      </c>
      <c r="I689" t="s">
        <v>46</v>
      </c>
      <c r="J689">
        <v>958</v>
      </c>
      <c r="K689">
        <v>3</v>
      </c>
      <c r="L689" t="s">
        <v>41</v>
      </c>
      <c r="M689">
        <v>79</v>
      </c>
      <c r="N689">
        <v>3</v>
      </c>
      <c r="O689">
        <v>1</v>
      </c>
      <c r="P689" t="s">
        <v>45</v>
      </c>
      <c r="Q689">
        <v>3</v>
      </c>
      <c r="R689" t="s">
        <v>37</v>
      </c>
      <c r="S689">
        <v>2519</v>
      </c>
      <c r="T689">
        <v>12287</v>
      </c>
      <c r="U689">
        <v>4</v>
      </c>
      <c r="V689" t="s">
        <v>38</v>
      </c>
      <c r="W689">
        <v>21</v>
      </c>
      <c r="X689">
        <v>4</v>
      </c>
      <c r="Y689">
        <v>3</v>
      </c>
      <c r="Z689">
        <v>0</v>
      </c>
      <c r="AA689">
        <v>16</v>
      </c>
      <c r="AB689" t="str">
        <f>IF(Table2[[#This Row],[TotalWorkingYears]]&lt;=5,"Early (0-5)",IF(Table2[[#This Row],[TotalWorkingYears]]&lt;=15,"Mid (6-15)","Senior (16+)"))</f>
        <v>Senior (16+)</v>
      </c>
      <c r="AC689">
        <v>6</v>
      </c>
      <c r="AD689">
        <v>3</v>
      </c>
      <c r="AE689" t="s">
        <v>65</v>
      </c>
      <c r="AF689">
        <v>8</v>
      </c>
      <c r="AG689">
        <v>3</v>
      </c>
      <c r="AH689">
        <v>9</v>
      </c>
    </row>
    <row r="690" spans="1:34" x14ac:dyDescent="0.3">
      <c r="A690" t="s">
        <v>60</v>
      </c>
      <c r="B690">
        <v>1</v>
      </c>
      <c r="C690" t="s">
        <v>32</v>
      </c>
      <c r="D690">
        <v>419</v>
      </c>
      <c r="E690" t="s">
        <v>33</v>
      </c>
      <c r="F690">
        <v>21</v>
      </c>
      <c r="G690" t="str">
        <f>IF(Table2[[#This Row],[DistanceFromHome]]&lt;=5, "short", IF(Table2[[#This Row],[DistanceFromHome]]&lt;=15, "medium", "long"))</f>
        <v>long</v>
      </c>
      <c r="H690">
        <v>3</v>
      </c>
      <c r="I690" t="s">
        <v>44</v>
      </c>
      <c r="J690">
        <v>959</v>
      </c>
      <c r="K690">
        <v>4</v>
      </c>
      <c r="L690" t="s">
        <v>41</v>
      </c>
      <c r="M690">
        <v>37</v>
      </c>
      <c r="N690">
        <v>2</v>
      </c>
      <c r="O690">
        <v>1</v>
      </c>
      <c r="P690" t="s">
        <v>52</v>
      </c>
      <c r="Q690">
        <v>2</v>
      </c>
      <c r="R690" t="s">
        <v>37</v>
      </c>
      <c r="S690">
        <v>2121</v>
      </c>
      <c r="T690">
        <v>9947</v>
      </c>
      <c r="U690">
        <v>1</v>
      </c>
      <c r="V690" t="s">
        <v>31</v>
      </c>
      <c r="W690">
        <v>13</v>
      </c>
      <c r="X690">
        <v>3</v>
      </c>
      <c r="Y690">
        <v>2</v>
      </c>
      <c r="Z690">
        <v>0</v>
      </c>
      <c r="AA690">
        <v>1</v>
      </c>
      <c r="AB690" t="str">
        <f>IF(Table2[[#This Row],[TotalWorkingYears]]&lt;=5,"Early (0-5)",IF(Table2[[#This Row],[TotalWorkingYears]]&lt;=15,"Mid (6-15)","Senior (16+)"))</f>
        <v>Early (0-5)</v>
      </c>
      <c r="AC690">
        <v>3</v>
      </c>
      <c r="AD690">
        <v>4</v>
      </c>
      <c r="AE690" t="s">
        <v>63</v>
      </c>
      <c r="AF690">
        <v>0</v>
      </c>
      <c r="AG690">
        <v>0</v>
      </c>
      <c r="AH690">
        <v>0</v>
      </c>
    </row>
    <row r="691" spans="1:34" x14ac:dyDescent="0.3">
      <c r="A691" t="s">
        <v>60</v>
      </c>
      <c r="B691">
        <v>1</v>
      </c>
      <c r="C691" t="s">
        <v>32</v>
      </c>
      <c r="D691">
        <v>129</v>
      </c>
      <c r="E691" t="s">
        <v>40</v>
      </c>
      <c r="F691">
        <v>4</v>
      </c>
      <c r="G691" t="str">
        <f>IF(Table2[[#This Row],[DistanceFromHome]]&lt;=5, "short", IF(Table2[[#This Row],[DistanceFromHome]]&lt;=15, "medium", "long"))</f>
        <v>short</v>
      </c>
      <c r="H691">
        <v>3</v>
      </c>
      <c r="I691" t="s">
        <v>55</v>
      </c>
      <c r="J691">
        <v>960</v>
      </c>
      <c r="K691">
        <v>1</v>
      </c>
      <c r="L691" t="s">
        <v>41</v>
      </c>
      <c r="M691">
        <v>84</v>
      </c>
      <c r="N691">
        <v>3</v>
      </c>
      <c r="O691">
        <v>1</v>
      </c>
      <c r="P691" t="s">
        <v>45</v>
      </c>
      <c r="Q691">
        <v>1</v>
      </c>
      <c r="R691" t="s">
        <v>37</v>
      </c>
      <c r="S691">
        <v>2973</v>
      </c>
      <c r="T691">
        <v>13008</v>
      </c>
      <c r="U691">
        <v>1</v>
      </c>
      <c r="V691" t="s">
        <v>38</v>
      </c>
      <c r="W691">
        <v>19</v>
      </c>
      <c r="X691">
        <v>3</v>
      </c>
      <c r="Y691">
        <v>2</v>
      </c>
      <c r="Z691">
        <v>0</v>
      </c>
      <c r="AA691">
        <v>1</v>
      </c>
      <c r="AB691" t="str">
        <f>IF(Table2[[#This Row],[TotalWorkingYears]]&lt;=5,"Early (0-5)",IF(Table2[[#This Row],[TotalWorkingYears]]&lt;=15,"Mid (6-15)","Senior (16+)"))</f>
        <v>Early (0-5)</v>
      </c>
      <c r="AC691">
        <v>2</v>
      </c>
      <c r="AD691">
        <v>3</v>
      </c>
      <c r="AE691" t="s">
        <v>63</v>
      </c>
      <c r="AF691">
        <v>0</v>
      </c>
      <c r="AG691">
        <v>0</v>
      </c>
      <c r="AH691">
        <v>0</v>
      </c>
    </row>
    <row r="692" spans="1:34" x14ac:dyDescent="0.3">
      <c r="A692" t="s">
        <v>59</v>
      </c>
      <c r="B692">
        <v>0</v>
      </c>
      <c r="C692" t="s">
        <v>32</v>
      </c>
      <c r="D692">
        <v>616</v>
      </c>
      <c r="E692" t="s">
        <v>40</v>
      </c>
      <c r="F692">
        <v>12</v>
      </c>
      <c r="G692" t="str">
        <f>IF(Table2[[#This Row],[DistanceFromHome]]&lt;=5, "short", IF(Table2[[#This Row],[DistanceFromHome]]&lt;=15, "medium", "long"))</f>
        <v>medium</v>
      </c>
      <c r="H692">
        <v>3</v>
      </c>
      <c r="I692" t="s">
        <v>46</v>
      </c>
      <c r="J692">
        <v>961</v>
      </c>
      <c r="K692">
        <v>4</v>
      </c>
      <c r="L692" t="s">
        <v>35</v>
      </c>
      <c r="M692">
        <v>41</v>
      </c>
      <c r="N692">
        <v>3</v>
      </c>
      <c r="O692">
        <v>2</v>
      </c>
      <c r="P692" t="s">
        <v>49</v>
      </c>
      <c r="Q692">
        <v>4</v>
      </c>
      <c r="R692" t="s">
        <v>43</v>
      </c>
      <c r="S692">
        <v>5855</v>
      </c>
      <c r="T692">
        <v>17369</v>
      </c>
      <c r="U692">
        <v>0</v>
      </c>
      <c r="V692" t="s">
        <v>31</v>
      </c>
      <c r="W692">
        <v>11</v>
      </c>
      <c r="X692">
        <v>3</v>
      </c>
      <c r="Y692">
        <v>3</v>
      </c>
      <c r="Z692">
        <v>2</v>
      </c>
      <c r="AA692">
        <v>10</v>
      </c>
      <c r="AB692" t="str">
        <f>IF(Table2[[#This Row],[TotalWorkingYears]]&lt;=5,"Early (0-5)",IF(Table2[[#This Row],[TotalWorkingYears]]&lt;=15,"Mid (6-15)","Senior (16+)"))</f>
        <v>Mid (6-15)</v>
      </c>
      <c r="AC692">
        <v>2</v>
      </c>
      <c r="AD692">
        <v>1</v>
      </c>
      <c r="AE692" t="s">
        <v>62</v>
      </c>
      <c r="AF692">
        <v>7</v>
      </c>
      <c r="AG692">
        <v>8</v>
      </c>
      <c r="AH692">
        <v>5</v>
      </c>
    </row>
    <row r="693" spans="1:34" x14ac:dyDescent="0.3">
      <c r="A693" t="s">
        <v>57</v>
      </c>
      <c r="B693">
        <v>0</v>
      </c>
      <c r="C693" t="s">
        <v>39</v>
      </c>
      <c r="D693">
        <v>1469</v>
      </c>
      <c r="E693" t="s">
        <v>40</v>
      </c>
      <c r="F693">
        <v>9</v>
      </c>
      <c r="G693" t="str">
        <f>IF(Table2[[#This Row],[DistanceFromHome]]&lt;=5, "short", IF(Table2[[#This Row],[DistanceFromHome]]&lt;=15, "medium", "long"))</f>
        <v>medium</v>
      </c>
      <c r="H693">
        <v>4</v>
      </c>
      <c r="I693" t="s">
        <v>46</v>
      </c>
      <c r="J693">
        <v>964</v>
      </c>
      <c r="K693">
        <v>4</v>
      </c>
      <c r="L693" t="s">
        <v>41</v>
      </c>
      <c r="M693">
        <v>35</v>
      </c>
      <c r="N693">
        <v>3</v>
      </c>
      <c r="O693">
        <v>1</v>
      </c>
      <c r="P693" t="s">
        <v>42</v>
      </c>
      <c r="Q693">
        <v>2</v>
      </c>
      <c r="R693" t="s">
        <v>47</v>
      </c>
      <c r="S693">
        <v>3617</v>
      </c>
      <c r="T693">
        <v>25063</v>
      </c>
      <c r="U693">
        <v>8</v>
      </c>
      <c r="V693" t="s">
        <v>31</v>
      </c>
      <c r="W693">
        <v>14</v>
      </c>
      <c r="X693">
        <v>3</v>
      </c>
      <c r="Y693">
        <v>4</v>
      </c>
      <c r="Z693">
        <v>1</v>
      </c>
      <c r="AA693">
        <v>3</v>
      </c>
      <c r="AB693" t="str">
        <f>IF(Table2[[#This Row],[TotalWorkingYears]]&lt;=5,"Early (0-5)",IF(Table2[[#This Row],[TotalWorkingYears]]&lt;=15,"Mid (6-15)","Senior (16+)"))</f>
        <v>Early (0-5)</v>
      </c>
      <c r="AC693">
        <v>2</v>
      </c>
      <c r="AD693">
        <v>3</v>
      </c>
      <c r="AE693" t="s">
        <v>63</v>
      </c>
      <c r="AF693">
        <v>1</v>
      </c>
      <c r="AG693">
        <v>0</v>
      </c>
      <c r="AH693">
        <v>0</v>
      </c>
    </row>
    <row r="694" spans="1:34" x14ac:dyDescent="0.3">
      <c r="A694" t="s">
        <v>59</v>
      </c>
      <c r="B694">
        <v>0</v>
      </c>
      <c r="C694" t="s">
        <v>32</v>
      </c>
      <c r="D694">
        <v>498</v>
      </c>
      <c r="E694" t="s">
        <v>40</v>
      </c>
      <c r="F694">
        <v>3</v>
      </c>
      <c r="G694" t="str">
        <f>IF(Table2[[#This Row],[DistanceFromHome]]&lt;=5, "short", IF(Table2[[#This Row],[DistanceFromHome]]&lt;=15, "medium", "long"))</f>
        <v>short</v>
      </c>
      <c r="H694">
        <v>4</v>
      </c>
      <c r="I694" t="s">
        <v>46</v>
      </c>
      <c r="J694">
        <v>966</v>
      </c>
      <c r="K694">
        <v>3</v>
      </c>
      <c r="L694" t="s">
        <v>35</v>
      </c>
      <c r="M694">
        <v>93</v>
      </c>
      <c r="N694">
        <v>3</v>
      </c>
      <c r="O694">
        <v>2</v>
      </c>
      <c r="P694" t="s">
        <v>48</v>
      </c>
      <c r="Q694">
        <v>1</v>
      </c>
      <c r="R694" t="s">
        <v>43</v>
      </c>
      <c r="S694">
        <v>6725</v>
      </c>
      <c r="T694">
        <v>13554</v>
      </c>
      <c r="U694">
        <v>1</v>
      </c>
      <c r="V694" t="s">
        <v>38</v>
      </c>
      <c r="W694">
        <v>12</v>
      </c>
      <c r="X694">
        <v>3</v>
      </c>
      <c r="Y694">
        <v>3</v>
      </c>
      <c r="Z694">
        <v>1</v>
      </c>
      <c r="AA694">
        <v>8</v>
      </c>
      <c r="AB694" t="str">
        <f>IF(Table2[[#This Row],[TotalWorkingYears]]&lt;=5,"Early (0-5)",IF(Table2[[#This Row],[TotalWorkingYears]]&lt;=15,"Mid (6-15)","Senior (16+)"))</f>
        <v>Mid (6-15)</v>
      </c>
      <c r="AC694">
        <v>2</v>
      </c>
      <c r="AD694">
        <v>4</v>
      </c>
      <c r="AE694" t="s">
        <v>62</v>
      </c>
      <c r="AF694">
        <v>7</v>
      </c>
      <c r="AG694">
        <v>6</v>
      </c>
      <c r="AH694">
        <v>3</v>
      </c>
    </row>
    <row r="695" spans="1:34" x14ac:dyDescent="0.3">
      <c r="A695" t="s">
        <v>57</v>
      </c>
      <c r="B695">
        <v>1</v>
      </c>
      <c r="C695" t="s">
        <v>32</v>
      </c>
      <c r="D695">
        <v>530</v>
      </c>
      <c r="E695" t="s">
        <v>33</v>
      </c>
      <c r="F695">
        <v>3</v>
      </c>
      <c r="G695" t="str">
        <f>IF(Table2[[#This Row],[DistanceFromHome]]&lt;=5, "short", IF(Table2[[#This Row],[DistanceFromHome]]&lt;=15, "medium", "long"))</f>
        <v>short</v>
      </c>
      <c r="H695">
        <v>1</v>
      </c>
      <c r="I695" t="s">
        <v>34</v>
      </c>
      <c r="J695">
        <v>967</v>
      </c>
      <c r="K695">
        <v>3</v>
      </c>
      <c r="L695" t="s">
        <v>41</v>
      </c>
      <c r="M695">
        <v>51</v>
      </c>
      <c r="N695">
        <v>2</v>
      </c>
      <c r="O695">
        <v>3</v>
      </c>
      <c r="P695" t="s">
        <v>36</v>
      </c>
      <c r="Q695">
        <v>4</v>
      </c>
      <c r="R695" t="s">
        <v>43</v>
      </c>
      <c r="S695">
        <v>10325</v>
      </c>
      <c r="T695">
        <v>5518</v>
      </c>
      <c r="U695">
        <v>1</v>
      </c>
      <c r="V695" t="s">
        <v>31</v>
      </c>
      <c r="W695">
        <v>11</v>
      </c>
      <c r="X695">
        <v>3</v>
      </c>
      <c r="Y695">
        <v>1</v>
      </c>
      <c r="Z695">
        <v>1</v>
      </c>
      <c r="AA695">
        <v>16</v>
      </c>
      <c r="AB695" t="str">
        <f>IF(Table2[[#This Row],[TotalWorkingYears]]&lt;=5,"Early (0-5)",IF(Table2[[#This Row],[TotalWorkingYears]]&lt;=15,"Mid (6-15)","Senior (16+)"))</f>
        <v>Senior (16+)</v>
      </c>
      <c r="AC695">
        <v>6</v>
      </c>
      <c r="AD695">
        <v>3</v>
      </c>
      <c r="AE695" t="s">
        <v>65</v>
      </c>
      <c r="AF695">
        <v>7</v>
      </c>
      <c r="AG695">
        <v>3</v>
      </c>
      <c r="AH695">
        <v>7</v>
      </c>
    </row>
    <row r="696" spans="1:34" x14ac:dyDescent="0.3">
      <c r="A696" t="s">
        <v>59</v>
      </c>
      <c r="B696">
        <v>0</v>
      </c>
      <c r="C696" t="s">
        <v>32</v>
      </c>
      <c r="D696">
        <v>1069</v>
      </c>
      <c r="E696" t="s">
        <v>40</v>
      </c>
      <c r="F696">
        <v>1</v>
      </c>
      <c r="G696" t="str">
        <f>IF(Table2[[#This Row],[DistanceFromHome]]&lt;=5, "short", IF(Table2[[#This Row],[DistanceFromHome]]&lt;=15, "medium", "long"))</f>
        <v>short</v>
      </c>
      <c r="H696">
        <v>3</v>
      </c>
      <c r="I696" t="s">
        <v>34</v>
      </c>
      <c r="J696">
        <v>969</v>
      </c>
      <c r="K696">
        <v>2</v>
      </c>
      <c r="L696" t="s">
        <v>35</v>
      </c>
      <c r="M696">
        <v>42</v>
      </c>
      <c r="N696">
        <v>2</v>
      </c>
      <c r="O696">
        <v>2</v>
      </c>
      <c r="P696" t="s">
        <v>49</v>
      </c>
      <c r="Q696">
        <v>4</v>
      </c>
      <c r="R696" t="s">
        <v>37</v>
      </c>
      <c r="S696">
        <v>6949</v>
      </c>
      <c r="T696">
        <v>12291</v>
      </c>
      <c r="U696">
        <v>0</v>
      </c>
      <c r="V696" t="s">
        <v>38</v>
      </c>
      <c r="W696">
        <v>14</v>
      </c>
      <c r="X696">
        <v>3</v>
      </c>
      <c r="Y696">
        <v>1</v>
      </c>
      <c r="Z696">
        <v>0</v>
      </c>
      <c r="AA696">
        <v>6</v>
      </c>
      <c r="AB696" t="str">
        <f>IF(Table2[[#This Row],[TotalWorkingYears]]&lt;=5,"Early (0-5)",IF(Table2[[#This Row],[TotalWorkingYears]]&lt;=15,"Mid (6-15)","Senior (16+)"))</f>
        <v>Mid (6-15)</v>
      </c>
      <c r="AC696">
        <v>3</v>
      </c>
      <c r="AD696">
        <v>3</v>
      </c>
      <c r="AE696" t="s">
        <v>64</v>
      </c>
      <c r="AF696">
        <v>0</v>
      </c>
      <c r="AG696">
        <v>1</v>
      </c>
      <c r="AH696">
        <v>4</v>
      </c>
    </row>
    <row r="697" spans="1:34" x14ac:dyDescent="0.3">
      <c r="A697" t="s">
        <v>57</v>
      </c>
      <c r="B697">
        <v>1</v>
      </c>
      <c r="C697" t="s">
        <v>32</v>
      </c>
      <c r="D697">
        <v>625</v>
      </c>
      <c r="E697" t="s">
        <v>33</v>
      </c>
      <c r="F697">
        <v>1</v>
      </c>
      <c r="G697" t="str">
        <f>IF(Table2[[#This Row],[DistanceFromHome]]&lt;=5, "short", IF(Table2[[#This Row],[DistanceFromHome]]&lt;=15, "medium", "long"))</f>
        <v>short</v>
      </c>
      <c r="H697">
        <v>4</v>
      </c>
      <c r="I697" t="s">
        <v>34</v>
      </c>
      <c r="J697">
        <v>970</v>
      </c>
      <c r="K697">
        <v>1</v>
      </c>
      <c r="L697" t="s">
        <v>41</v>
      </c>
      <c r="M697">
        <v>46</v>
      </c>
      <c r="N697">
        <v>2</v>
      </c>
      <c r="O697">
        <v>3</v>
      </c>
      <c r="P697" t="s">
        <v>36</v>
      </c>
      <c r="Q697">
        <v>3</v>
      </c>
      <c r="R697" t="s">
        <v>43</v>
      </c>
      <c r="S697">
        <v>10609</v>
      </c>
      <c r="T697">
        <v>14922</v>
      </c>
      <c r="U697">
        <v>5</v>
      </c>
      <c r="V697" t="s">
        <v>38</v>
      </c>
      <c r="W697">
        <v>11</v>
      </c>
      <c r="X697">
        <v>3</v>
      </c>
      <c r="Y697">
        <v>3</v>
      </c>
      <c r="Z697">
        <v>0</v>
      </c>
      <c r="AA697">
        <v>17</v>
      </c>
      <c r="AB697" t="str">
        <f>IF(Table2[[#This Row],[TotalWorkingYears]]&lt;=5,"Early (0-5)",IF(Table2[[#This Row],[TotalWorkingYears]]&lt;=15,"Mid (6-15)","Senior (16+)"))</f>
        <v>Senior (16+)</v>
      </c>
      <c r="AC697">
        <v>2</v>
      </c>
      <c r="AD697">
        <v>1</v>
      </c>
      <c r="AE697" t="s">
        <v>65</v>
      </c>
      <c r="AF697">
        <v>1</v>
      </c>
      <c r="AG697">
        <v>11</v>
      </c>
      <c r="AH697">
        <v>7</v>
      </c>
    </row>
    <row r="698" spans="1:34" x14ac:dyDescent="0.3">
      <c r="A698" t="s">
        <v>57</v>
      </c>
      <c r="B698">
        <v>0</v>
      </c>
      <c r="C698" t="s">
        <v>50</v>
      </c>
      <c r="D698">
        <v>805</v>
      </c>
      <c r="E698" t="s">
        <v>40</v>
      </c>
      <c r="F698">
        <v>4</v>
      </c>
      <c r="G698" t="str">
        <f>IF(Table2[[#This Row],[DistanceFromHome]]&lt;=5, "short", IF(Table2[[#This Row],[DistanceFromHome]]&lt;=15, "medium", "long"))</f>
        <v>short</v>
      </c>
      <c r="H698">
        <v>2</v>
      </c>
      <c r="I698" t="s">
        <v>34</v>
      </c>
      <c r="J698">
        <v>972</v>
      </c>
      <c r="K698">
        <v>3</v>
      </c>
      <c r="L698" t="s">
        <v>41</v>
      </c>
      <c r="M698">
        <v>57</v>
      </c>
      <c r="N698">
        <v>3</v>
      </c>
      <c r="O698">
        <v>2</v>
      </c>
      <c r="P698" t="s">
        <v>45</v>
      </c>
      <c r="Q698">
        <v>2</v>
      </c>
      <c r="R698" t="s">
        <v>43</v>
      </c>
      <c r="S698">
        <v>4447</v>
      </c>
      <c r="T698">
        <v>23163</v>
      </c>
      <c r="U698">
        <v>1</v>
      </c>
      <c r="V698" t="s">
        <v>38</v>
      </c>
      <c r="W698">
        <v>12</v>
      </c>
      <c r="X698">
        <v>3</v>
      </c>
      <c r="Y698">
        <v>2</v>
      </c>
      <c r="Z698">
        <v>0</v>
      </c>
      <c r="AA698">
        <v>9</v>
      </c>
      <c r="AB698" t="str">
        <f>IF(Table2[[#This Row],[TotalWorkingYears]]&lt;=5,"Early (0-5)",IF(Table2[[#This Row],[TotalWorkingYears]]&lt;=15,"Mid (6-15)","Senior (16+)"))</f>
        <v>Mid (6-15)</v>
      </c>
      <c r="AC698">
        <v>5</v>
      </c>
      <c r="AD698">
        <v>2</v>
      </c>
      <c r="AE698" t="s">
        <v>62</v>
      </c>
      <c r="AF698">
        <v>7</v>
      </c>
      <c r="AG698">
        <v>0</v>
      </c>
      <c r="AH698">
        <v>8</v>
      </c>
    </row>
    <row r="699" spans="1:34" x14ac:dyDescent="0.3">
      <c r="A699" t="s">
        <v>59</v>
      </c>
      <c r="B699">
        <v>0</v>
      </c>
      <c r="C699" t="s">
        <v>39</v>
      </c>
      <c r="D699">
        <v>1404</v>
      </c>
      <c r="E699" t="s">
        <v>33</v>
      </c>
      <c r="F699">
        <v>20</v>
      </c>
      <c r="G699" t="str">
        <f>IF(Table2[[#This Row],[DistanceFromHome]]&lt;=5, "short", IF(Table2[[#This Row],[DistanceFromHome]]&lt;=15, "medium", "long"))</f>
        <v>long</v>
      </c>
      <c r="H699">
        <v>3</v>
      </c>
      <c r="I699" t="s">
        <v>55</v>
      </c>
      <c r="J699">
        <v>974</v>
      </c>
      <c r="K699">
        <v>3</v>
      </c>
      <c r="L699" t="s">
        <v>35</v>
      </c>
      <c r="M699">
        <v>84</v>
      </c>
      <c r="N699">
        <v>3</v>
      </c>
      <c r="O699">
        <v>1</v>
      </c>
      <c r="P699" t="s">
        <v>52</v>
      </c>
      <c r="Q699">
        <v>4</v>
      </c>
      <c r="R699" t="s">
        <v>43</v>
      </c>
      <c r="S699">
        <v>2157</v>
      </c>
      <c r="T699">
        <v>18203</v>
      </c>
      <c r="U699">
        <v>1</v>
      </c>
      <c r="V699" t="s">
        <v>38</v>
      </c>
      <c r="W699">
        <v>15</v>
      </c>
      <c r="X699">
        <v>3</v>
      </c>
      <c r="Y699">
        <v>2</v>
      </c>
      <c r="Z699">
        <v>1</v>
      </c>
      <c r="AA699">
        <v>3</v>
      </c>
      <c r="AB699" t="str">
        <f>IF(Table2[[#This Row],[TotalWorkingYears]]&lt;=5,"Early (0-5)",IF(Table2[[#This Row],[TotalWorkingYears]]&lt;=15,"Mid (6-15)","Senior (16+)"))</f>
        <v>Early (0-5)</v>
      </c>
      <c r="AC699">
        <v>5</v>
      </c>
      <c r="AD699">
        <v>3</v>
      </c>
      <c r="AE699" t="s">
        <v>64</v>
      </c>
      <c r="AF699">
        <v>1</v>
      </c>
      <c r="AG699">
        <v>0</v>
      </c>
      <c r="AH699">
        <v>2</v>
      </c>
    </row>
    <row r="700" spans="1:34" x14ac:dyDescent="0.3">
      <c r="A700" t="s">
        <v>59</v>
      </c>
      <c r="B700">
        <v>0</v>
      </c>
      <c r="C700" t="s">
        <v>32</v>
      </c>
      <c r="D700">
        <v>1219</v>
      </c>
      <c r="E700" t="s">
        <v>33</v>
      </c>
      <c r="F700">
        <v>18</v>
      </c>
      <c r="G700" t="str">
        <f>IF(Table2[[#This Row],[DistanceFromHome]]&lt;=5, "short", IF(Table2[[#This Row],[DistanceFromHome]]&lt;=15, "medium", "long"))</f>
        <v>long</v>
      </c>
      <c r="H700">
        <v>3</v>
      </c>
      <c r="I700" t="s">
        <v>46</v>
      </c>
      <c r="J700">
        <v>975</v>
      </c>
      <c r="K700">
        <v>3</v>
      </c>
      <c r="L700" t="s">
        <v>35</v>
      </c>
      <c r="M700">
        <v>86</v>
      </c>
      <c r="N700">
        <v>3</v>
      </c>
      <c r="O700">
        <v>2</v>
      </c>
      <c r="P700" t="s">
        <v>36</v>
      </c>
      <c r="Q700">
        <v>3</v>
      </c>
      <c r="R700" t="s">
        <v>43</v>
      </c>
      <c r="S700">
        <v>4601</v>
      </c>
      <c r="T700">
        <v>6179</v>
      </c>
      <c r="U700">
        <v>1</v>
      </c>
      <c r="V700" t="s">
        <v>38</v>
      </c>
      <c r="W700">
        <v>16</v>
      </c>
      <c r="X700">
        <v>3</v>
      </c>
      <c r="Y700">
        <v>2</v>
      </c>
      <c r="Z700">
        <v>0</v>
      </c>
      <c r="AA700">
        <v>5</v>
      </c>
      <c r="AB700" t="str">
        <f>IF(Table2[[#This Row],[TotalWorkingYears]]&lt;=5,"Early (0-5)",IF(Table2[[#This Row],[TotalWorkingYears]]&lt;=15,"Mid (6-15)","Senior (16+)"))</f>
        <v>Early (0-5)</v>
      </c>
      <c r="AC700">
        <v>3</v>
      </c>
      <c r="AD700">
        <v>3</v>
      </c>
      <c r="AE700" t="s">
        <v>64</v>
      </c>
      <c r="AF700">
        <v>2</v>
      </c>
      <c r="AG700">
        <v>1</v>
      </c>
      <c r="AH700">
        <v>0</v>
      </c>
    </row>
    <row r="701" spans="1:34" x14ac:dyDescent="0.3">
      <c r="A701" t="s">
        <v>58</v>
      </c>
      <c r="B701">
        <v>0</v>
      </c>
      <c r="C701" t="s">
        <v>32</v>
      </c>
      <c r="D701">
        <v>1053</v>
      </c>
      <c r="E701" t="s">
        <v>40</v>
      </c>
      <c r="F701">
        <v>1</v>
      </c>
      <c r="G701" t="str">
        <f>IF(Table2[[#This Row],[DistanceFromHome]]&lt;=5, "short", IF(Table2[[#This Row],[DistanceFromHome]]&lt;=15, "medium", "long"))</f>
        <v>short</v>
      </c>
      <c r="H701">
        <v>2</v>
      </c>
      <c r="I701" t="s">
        <v>34</v>
      </c>
      <c r="J701">
        <v>976</v>
      </c>
      <c r="K701">
        <v>4</v>
      </c>
      <c r="L701" t="s">
        <v>41</v>
      </c>
      <c r="M701">
        <v>70</v>
      </c>
      <c r="N701">
        <v>3</v>
      </c>
      <c r="O701">
        <v>4</v>
      </c>
      <c r="P701" t="s">
        <v>51</v>
      </c>
      <c r="Q701">
        <v>4</v>
      </c>
      <c r="R701" t="s">
        <v>43</v>
      </c>
      <c r="S701">
        <v>17099</v>
      </c>
      <c r="T701">
        <v>13829</v>
      </c>
      <c r="U701">
        <v>2</v>
      </c>
      <c r="V701" t="s">
        <v>38</v>
      </c>
      <c r="W701">
        <v>15</v>
      </c>
      <c r="X701">
        <v>3</v>
      </c>
      <c r="Y701">
        <v>2</v>
      </c>
      <c r="Z701">
        <v>1</v>
      </c>
      <c r="AA701">
        <v>26</v>
      </c>
      <c r="AB701" t="str">
        <f>IF(Table2[[#This Row],[TotalWorkingYears]]&lt;=5,"Early (0-5)",IF(Table2[[#This Row],[TotalWorkingYears]]&lt;=15,"Mid (6-15)","Senior (16+)"))</f>
        <v>Senior (16+)</v>
      </c>
      <c r="AC701">
        <v>2</v>
      </c>
      <c r="AD701">
        <v>2</v>
      </c>
      <c r="AE701" t="s">
        <v>62</v>
      </c>
      <c r="AF701">
        <v>8</v>
      </c>
      <c r="AG701">
        <v>7</v>
      </c>
      <c r="AH701">
        <v>8</v>
      </c>
    </row>
    <row r="702" spans="1:34" x14ac:dyDescent="0.3">
      <c r="A702" t="s">
        <v>58</v>
      </c>
      <c r="B702">
        <v>1</v>
      </c>
      <c r="C702" t="s">
        <v>32</v>
      </c>
      <c r="D702">
        <v>289</v>
      </c>
      <c r="E702" t="s">
        <v>40</v>
      </c>
      <c r="F702">
        <v>2</v>
      </c>
      <c r="G702" t="str">
        <f>IF(Table2[[#This Row],[DistanceFromHome]]&lt;=5, "short", IF(Table2[[#This Row],[DistanceFromHome]]&lt;=15, "medium", "long"))</f>
        <v>short</v>
      </c>
      <c r="H702">
        <v>3</v>
      </c>
      <c r="I702" t="s">
        <v>55</v>
      </c>
      <c r="J702">
        <v>977</v>
      </c>
      <c r="K702">
        <v>4</v>
      </c>
      <c r="L702" t="s">
        <v>41</v>
      </c>
      <c r="M702">
        <v>51</v>
      </c>
      <c r="N702">
        <v>3</v>
      </c>
      <c r="O702">
        <v>1</v>
      </c>
      <c r="P702" t="s">
        <v>42</v>
      </c>
      <c r="Q702">
        <v>3</v>
      </c>
      <c r="R702" t="s">
        <v>37</v>
      </c>
      <c r="S702">
        <v>2479</v>
      </c>
      <c r="T702">
        <v>26227</v>
      </c>
      <c r="U702">
        <v>4</v>
      </c>
      <c r="V702" t="s">
        <v>38</v>
      </c>
      <c r="W702">
        <v>24</v>
      </c>
      <c r="X702">
        <v>4</v>
      </c>
      <c r="Y702">
        <v>1</v>
      </c>
      <c r="Z702">
        <v>0</v>
      </c>
      <c r="AA702">
        <v>7</v>
      </c>
      <c r="AB702" t="str">
        <f>IF(Table2[[#This Row],[TotalWorkingYears]]&lt;=5,"Early (0-5)",IF(Table2[[#This Row],[TotalWorkingYears]]&lt;=15,"Mid (6-15)","Senior (16+)"))</f>
        <v>Mid (6-15)</v>
      </c>
      <c r="AC702">
        <v>4</v>
      </c>
      <c r="AD702">
        <v>3</v>
      </c>
      <c r="AE702" t="s">
        <v>63</v>
      </c>
      <c r="AF702">
        <v>0</v>
      </c>
      <c r="AG702">
        <v>0</v>
      </c>
      <c r="AH702">
        <v>0</v>
      </c>
    </row>
    <row r="703" spans="1:34" x14ac:dyDescent="0.3">
      <c r="A703" t="s">
        <v>58</v>
      </c>
      <c r="B703">
        <v>0</v>
      </c>
      <c r="C703" t="s">
        <v>32</v>
      </c>
      <c r="D703">
        <v>1376</v>
      </c>
      <c r="E703" t="s">
        <v>33</v>
      </c>
      <c r="F703">
        <v>2</v>
      </c>
      <c r="G703" t="str">
        <f>IF(Table2[[#This Row],[DistanceFromHome]]&lt;=5, "short", IF(Table2[[#This Row],[DistanceFromHome]]&lt;=15, "medium", "long"))</f>
        <v>short</v>
      </c>
      <c r="H703">
        <v>2</v>
      </c>
      <c r="I703" t="s">
        <v>46</v>
      </c>
      <c r="J703">
        <v>981</v>
      </c>
      <c r="K703">
        <v>3</v>
      </c>
      <c r="L703" t="s">
        <v>41</v>
      </c>
      <c r="M703">
        <v>45</v>
      </c>
      <c r="N703">
        <v>3</v>
      </c>
      <c r="O703">
        <v>4</v>
      </c>
      <c r="P703" t="s">
        <v>51</v>
      </c>
      <c r="Q703">
        <v>3</v>
      </c>
      <c r="R703" t="s">
        <v>47</v>
      </c>
      <c r="S703">
        <v>14852</v>
      </c>
      <c r="T703">
        <v>13938</v>
      </c>
      <c r="U703">
        <v>6</v>
      </c>
      <c r="V703" t="s">
        <v>38</v>
      </c>
      <c r="W703">
        <v>13</v>
      </c>
      <c r="X703">
        <v>3</v>
      </c>
      <c r="Y703">
        <v>3</v>
      </c>
      <c r="Z703">
        <v>1</v>
      </c>
      <c r="AA703">
        <v>22</v>
      </c>
      <c r="AB703" t="str">
        <f>IF(Table2[[#This Row],[TotalWorkingYears]]&lt;=5,"Early (0-5)",IF(Table2[[#This Row],[TotalWorkingYears]]&lt;=15,"Mid (6-15)","Senior (16+)"))</f>
        <v>Senior (16+)</v>
      </c>
      <c r="AC703">
        <v>3</v>
      </c>
      <c r="AD703">
        <v>4</v>
      </c>
      <c r="AE703" t="s">
        <v>65</v>
      </c>
      <c r="AF703">
        <v>13</v>
      </c>
      <c r="AG703">
        <v>15</v>
      </c>
      <c r="AH703">
        <v>2</v>
      </c>
    </row>
    <row r="704" spans="1:34" x14ac:dyDescent="0.3">
      <c r="A704" t="s">
        <v>59</v>
      </c>
      <c r="B704">
        <v>0</v>
      </c>
      <c r="C704" t="s">
        <v>32</v>
      </c>
      <c r="D704">
        <v>231</v>
      </c>
      <c r="E704" t="s">
        <v>33</v>
      </c>
      <c r="F704">
        <v>8</v>
      </c>
      <c r="G704" t="str">
        <f>IF(Table2[[#This Row],[DistanceFromHome]]&lt;=5, "short", IF(Table2[[#This Row],[DistanceFromHome]]&lt;=15, "medium", "long"))</f>
        <v>medium</v>
      </c>
      <c r="H704">
        <v>2</v>
      </c>
      <c r="I704" t="s">
        <v>44</v>
      </c>
      <c r="J704">
        <v>982</v>
      </c>
      <c r="K704">
        <v>3</v>
      </c>
      <c r="L704" t="s">
        <v>41</v>
      </c>
      <c r="M704">
        <v>62</v>
      </c>
      <c r="N704">
        <v>3</v>
      </c>
      <c r="O704">
        <v>3</v>
      </c>
      <c r="P704" t="s">
        <v>36</v>
      </c>
      <c r="Q704">
        <v>3</v>
      </c>
      <c r="R704" t="s">
        <v>47</v>
      </c>
      <c r="S704">
        <v>7264</v>
      </c>
      <c r="T704">
        <v>9977</v>
      </c>
      <c r="U704">
        <v>5</v>
      </c>
      <c r="V704" t="s">
        <v>38</v>
      </c>
      <c r="W704">
        <v>11</v>
      </c>
      <c r="X704">
        <v>3</v>
      </c>
      <c r="Y704">
        <v>1</v>
      </c>
      <c r="Z704">
        <v>1</v>
      </c>
      <c r="AA704">
        <v>10</v>
      </c>
      <c r="AB704" t="str">
        <f>IF(Table2[[#This Row],[TotalWorkingYears]]&lt;=5,"Early (0-5)",IF(Table2[[#This Row],[TotalWorkingYears]]&lt;=15,"Mid (6-15)","Senior (16+)"))</f>
        <v>Mid (6-15)</v>
      </c>
      <c r="AC704">
        <v>2</v>
      </c>
      <c r="AD704">
        <v>4</v>
      </c>
      <c r="AE704" t="s">
        <v>62</v>
      </c>
      <c r="AF704">
        <v>4</v>
      </c>
      <c r="AG704">
        <v>7</v>
      </c>
      <c r="AH704">
        <v>7</v>
      </c>
    </row>
    <row r="705" spans="1:34" x14ac:dyDescent="0.3">
      <c r="A705" t="s">
        <v>57</v>
      </c>
      <c r="B705">
        <v>0</v>
      </c>
      <c r="C705" t="s">
        <v>50</v>
      </c>
      <c r="D705">
        <v>152</v>
      </c>
      <c r="E705" t="s">
        <v>33</v>
      </c>
      <c r="F705">
        <v>10</v>
      </c>
      <c r="G705" t="str">
        <f>IF(Table2[[#This Row],[DistanceFromHome]]&lt;=5, "short", IF(Table2[[#This Row],[DistanceFromHome]]&lt;=15, "medium", "long"))</f>
        <v>medium</v>
      </c>
      <c r="H705">
        <v>3</v>
      </c>
      <c r="I705" t="s">
        <v>55</v>
      </c>
      <c r="J705">
        <v>983</v>
      </c>
      <c r="K705">
        <v>3</v>
      </c>
      <c r="L705" t="s">
        <v>35</v>
      </c>
      <c r="M705">
        <v>85</v>
      </c>
      <c r="N705">
        <v>3</v>
      </c>
      <c r="O705">
        <v>2</v>
      </c>
      <c r="P705" t="s">
        <v>36</v>
      </c>
      <c r="Q705">
        <v>4</v>
      </c>
      <c r="R705" t="s">
        <v>37</v>
      </c>
      <c r="S705">
        <v>5666</v>
      </c>
      <c r="T705">
        <v>19899</v>
      </c>
      <c r="U705">
        <v>1</v>
      </c>
      <c r="V705" t="s">
        <v>31</v>
      </c>
      <c r="W705">
        <v>13</v>
      </c>
      <c r="X705">
        <v>3</v>
      </c>
      <c r="Y705">
        <v>2</v>
      </c>
      <c r="Z705">
        <v>0</v>
      </c>
      <c r="AA705">
        <v>6</v>
      </c>
      <c r="AB705" t="str">
        <f>IF(Table2[[#This Row],[TotalWorkingYears]]&lt;=5,"Early (0-5)",IF(Table2[[#This Row],[TotalWorkingYears]]&lt;=15,"Mid (6-15)","Senior (16+)"))</f>
        <v>Mid (6-15)</v>
      </c>
      <c r="AC705">
        <v>1</v>
      </c>
      <c r="AD705">
        <v>3</v>
      </c>
      <c r="AE705" t="s">
        <v>64</v>
      </c>
      <c r="AF705">
        <v>3</v>
      </c>
      <c r="AG705">
        <v>1</v>
      </c>
      <c r="AH705">
        <v>3</v>
      </c>
    </row>
    <row r="706" spans="1:34" x14ac:dyDescent="0.3">
      <c r="A706" t="s">
        <v>59</v>
      </c>
      <c r="B706">
        <v>0</v>
      </c>
      <c r="C706" t="s">
        <v>32</v>
      </c>
      <c r="D706">
        <v>882</v>
      </c>
      <c r="E706" t="s">
        <v>33</v>
      </c>
      <c r="F706">
        <v>3</v>
      </c>
      <c r="G706" t="str">
        <f>IF(Table2[[#This Row],[DistanceFromHome]]&lt;=5, "short", IF(Table2[[#This Row],[DistanceFromHome]]&lt;=15, "medium", "long"))</f>
        <v>short</v>
      </c>
      <c r="H706">
        <v>4</v>
      </c>
      <c r="I706" t="s">
        <v>34</v>
      </c>
      <c r="J706">
        <v>984</v>
      </c>
      <c r="K706">
        <v>4</v>
      </c>
      <c r="L706" t="s">
        <v>41</v>
      </c>
      <c r="M706">
        <v>92</v>
      </c>
      <c r="N706">
        <v>3</v>
      </c>
      <c r="O706">
        <v>3</v>
      </c>
      <c r="P706" t="s">
        <v>36</v>
      </c>
      <c r="Q706">
        <v>4</v>
      </c>
      <c r="R706" t="s">
        <v>47</v>
      </c>
      <c r="S706">
        <v>7823</v>
      </c>
      <c r="T706">
        <v>6812</v>
      </c>
      <c r="U706">
        <v>6</v>
      </c>
      <c r="V706" t="s">
        <v>38</v>
      </c>
      <c r="W706">
        <v>13</v>
      </c>
      <c r="X706">
        <v>3</v>
      </c>
      <c r="Y706">
        <v>2</v>
      </c>
      <c r="Z706">
        <v>1</v>
      </c>
      <c r="AA706">
        <v>12</v>
      </c>
      <c r="AB706" t="str">
        <f>IF(Table2[[#This Row],[TotalWorkingYears]]&lt;=5,"Early (0-5)",IF(Table2[[#This Row],[TotalWorkingYears]]&lt;=15,"Mid (6-15)","Senior (16+)"))</f>
        <v>Mid (6-15)</v>
      </c>
      <c r="AC706">
        <v>2</v>
      </c>
      <c r="AD706">
        <v>3</v>
      </c>
      <c r="AE706" t="s">
        <v>62</v>
      </c>
      <c r="AF706">
        <v>9</v>
      </c>
      <c r="AG706">
        <v>0</v>
      </c>
      <c r="AH706">
        <v>8</v>
      </c>
    </row>
    <row r="707" spans="1:34" x14ac:dyDescent="0.3">
      <c r="A707" t="s">
        <v>57</v>
      </c>
      <c r="B707">
        <v>0</v>
      </c>
      <c r="C707" t="s">
        <v>32</v>
      </c>
      <c r="D707">
        <v>903</v>
      </c>
      <c r="E707" t="s">
        <v>33</v>
      </c>
      <c r="F707">
        <v>2</v>
      </c>
      <c r="G707" t="str">
        <f>IF(Table2[[#This Row],[DistanceFromHome]]&lt;=5, "short", IF(Table2[[#This Row],[DistanceFromHome]]&lt;=15, "medium", "long"))</f>
        <v>short</v>
      </c>
      <c r="H707">
        <v>5</v>
      </c>
      <c r="I707" t="s">
        <v>34</v>
      </c>
      <c r="J707">
        <v>985</v>
      </c>
      <c r="K707">
        <v>1</v>
      </c>
      <c r="L707" t="s">
        <v>41</v>
      </c>
      <c r="M707">
        <v>41</v>
      </c>
      <c r="N707">
        <v>4</v>
      </c>
      <c r="O707">
        <v>3</v>
      </c>
      <c r="P707" t="s">
        <v>36</v>
      </c>
      <c r="Q707">
        <v>3</v>
      </c>
      <c r="R707" t="s">
        <v>37</v>
      </c>
      <c r="S707">
        <v>7880</v>
      </c>
      <c r="T707">
        <v>2560</v>
      </c>
      <c r="U707">
        <v>0</v>
      </c>
      <c r="V707" t="s">
        <v>38</v>
      </c>
      <c r="W707">
        <v>18</v>
      </c>
      <c r="X707">
        <v>3</v>
      </c>
      <c r="Y707">
        <v>4</v>
      </c>
      <c r="Z707">
        <v>0</v>
      </c>
      <c r="AA707">
        <v>9</v>
      </c>
      <c r="AB707" t="str">
        <f>IF(Table2[[#This Row],[TotalWorkingYears]]&lt;=5,"Early (0-5)",IF(Table2[[#This Row],[TotalWorkingYears]]&lt;=15,"Mid (6-15)","Senior (16+)"))</f>
        <v>Mid (6-15)</v>
      </c>
      <c r="AC707">
        <v>3</v>
      </c>
      <c r="AD707">
        <v>3</v>
      </c>
      <c r="AE707" t="s">
        <v>62</v>
      </c>
      <c r="AF707">
        <v>7</v>
      </c>
      <c r="AG707">
        <v>0</v>
      </c>
      <c r="AH707">
        <v>7</v>
      </c>
    </row>
    <row r="708" spans="1:34" x14ac:dyDescent="0.3">
      <c r="A708" t="s">
        <v>57</v>
      </c>
      <c r="B708">
        <v>1</v>
      </c>
      <c r="C708" t="s">
        <v>50</v>
      </c>
      <c r="D708">
        <v>1479</v>
      </c>
      <c r="E708" t="s">
        <v>33</v>
      </c>
      <c r="F708">
        <v>24</v>
      </c>
      <c r="G708" t="str">
        <f>IF(Table2[[#This Row],[DistanceFromHome]]&lt;=5, "short", IF(Table2[[#This Row],[DistanceFromHome]]&lt;=15, "medium", "long"))</f>
        <v>long</v>
      </c>
      <c r="H708">
        <v>3</v>
      </c>
      <c r="I708" t="s">
        <v>34</v>
      </c>
      <c r="J708">
        <v>986</v>
      </c>
      <c r="K708">
        <v>2</v>
      </c>
      <c r="L708" t="s">
        <v>35</v>
      </c>
      <c r="M708">
        <v>100</v>
      </c>
      <c r="N708">
        <v>4</v>
      </c>
      <c r="O708">
        <v>4</v>
      </c>
      <c r="P708" t="s">
        <v>36</v>
      </c>
      <c r="Q708">
        <v>2</v>
      </c>
      <c r="R708" t="s">
        <v>37</v>
      </c>
      <c r="S708">
        <v>13194</v>
      </c>
      <c r="T708">
        <v>17071</v>
      </c>
      <c r="U708">
        <v>4</v>
      </c>
      <c r="V708" t="s">
        <v>31</v>
      </c>
      <c r="W708">
        <v>16</v>
      </c>
      <c r="X708">
        <v>3</v>
      </c>
      <c r="Y708">
        <v>4</v>
      </c>
      <c r="Z708">
        <v>0</v>
      </c>
      <c r="AA708">
        <v>22</v>
      </c>
      <c r="AB708" t="str">
        <f>IF(Table2[[#This Row],[TotalWorkingYears]]&lt;=5,"Early (0-5)",IF(Table2[[#This Row],[TotalWorkingYears]]&lt;=15,"Mid (6-15)","Senior (16+)"))</f>
        <v>Senior (16+)</v>
      </c>
      <c r="AC708">
        <v>2</v>
      </c>
      <c r="AD708">
        <v>2</v>
      </c>
      <c r="AE708" t="s">
        <v>63</v>
      </c>
      <c r="AF708">
        <v>0</v>
      </c>
      <c r="AG708">
        <v>0</v>
      </c>
      <c r="AH708">
        <v>0</v>
      </c>
    </row>
    <row r="709" spans="1:34" x14ac:dyDescent="0.3">
      <c r="A709" t="s">
        <v>58</v>
      </c>
      <c r="B709">
        <v>0</v>
      </c>
      <c r="C709" t="s">
        <v>39</v>
      </c>
      <c r="D709">
        <v>1379</v>
      </c>
      <c r="E709" t="s">
        <v>40</v>
      </c>
      <c r="F709">
        <v>16</v>
      </c>
      <c r="G709" t="str">
        <f>IF(Table2[[#This Row],[DistanceFromHome]]&lt;=5, "short", IF(Table2[[#This Row],[DistanceFromHome]]&lt;=15, "medium", "long"))</f>
        <v>long</v>
      </c>
      <c r="H709">
        <v>4</v>
      </c>
      <c r="I709" t="s">
        <v>46</v>
      </c>
      <c r="J709">
        <v>987</v>
      </c>
      <c r="K709">
        <v>3</v>
      </c>
      <c r="L709" t="s">
        <v>41</v>
      </c>
      <c r="M709">
        <v>64</v>
      </c>
      <c r="N709">
        <v>4</v>
      </c>
      <c r="O709">
        <v>2</v>
      </c>
      <c r="P709" t="s">
        <v>48</v>
      </c>
      <c r="Q709">
        <v>3</v>
      </c>
      <c r="R709" t="s">
        <v>47</v>
      </c>
      <c r="S709">
        <v>5067</v>
      </c>
      <c r="T709">
        <v>6759</v>
      </c>
      <c r="U709">
        <v>1</v>
      </c>
      <c r="V709" t="s">
        <v>31</v>
      </c>
      <c r="W709">
        <v>19</v>
      </c>
      <c r="X709">
        <v>3</v>
      </c>
      <c r="Y709">
        <v>3</v>
      </c>
      <c r="Z709">
        <v>0</v>
      </c>
      <c r="AA709">
        <v>20</v>
      </c>
      <c r="AB709" t="str">
        <f>IF(Table2[[#This Row],[TotalWorkingYears]]&lt;=5,"Early (0-5)",IF(Table2[[#This Row],[TotalWorkingYears]]&lt;=15,"Mid (6-15)","Senior (16+)"))</f>
        <v>Senior (16+)</v>
      </c>
      <c r="AC709">
        <v>3</v>
      </c>
      <c r="AD709">
        <v>4</v>
      </c>
      <c r="AE709" t="s">
        <v>65</v>
      </c>
      <c r="AF709">
        <v>10</v>
      </c>
      <c r="AG709">
        <v>2</v>
      </c>
      <c r="AH709">
        <v>7</v>
      </c>
    </row>
    <row r="710" spans="1:34" x14ac:dyDescent="0.3">
      <c r="A710" t="s">
        <v>57</v>
      </c>
      <c r="B710">
        <v>0</v>
      </c>
      <c r="C710" t="s">
        <v>50</v>
      </c>
      <c r="D710">
        <v>1229</v>
      </c>
      <c r="E710" t="s">
        <v>33</v>
      </c>
      <c r="F710">
        <v>8</v>
      </c>
      <c r="G710" t="str">
        <f>IF(Table2[[#This Row],[DistanceFromHome]]&lt;=5, "short", IF(Table2[[#This Row],[DistanceFromHome]]&lt;=15, "medium", "long"))</f>
        <v>medium</v>
      </c>
      <c r="H710">
        <v>4</v>
      </c>
      <c r="I710" t="s">
        <v>55</v>
      </c>
      <c r="J710">
        <v>990</v>
      </c>
      <c r="K710">
        <v>1</v>
      </c>
      <c r="L710" t="s">
        <v>41</v>
      </c>
      <c r="M710">
        <v>84</v>
      </c>
      <c r="N710">
        <v>3</v>
      </c>
      <c r="O710">
        <v>2</v>
      </c>
      <c r="P710" t="s">
        <v>36</v>
      </c>
      <c r="Q710">
        <v>4</v>
      </c>
      <c r="R710" t="s">
        <v>47</v>
      </c>
      <c r="S710">
        <v>5079</v>
      </c>
      <c r="T710">
        <v>25952</v>
      </c>
      <c r="U710">
        <v>4</v>
      </c>
      <c r="V710" t="s">
        <v>38</v>
      </c>
      <c r="W710">
        <v>13</v>
      </c>
      <c r="X710">
        <v>3</v>
      </c>
      <c r="Y710">
        <v>4</v>
      </c>
      <c r="Z710">
        <v>2</v>
      </c>
      <c r="AA710">
        <v>12</v>
      </c>
      <c r="AB710" t="str">
        <f>IF(Table2[[#This Row],[TotalWorkingYears]]&lt;=5,"Early (0-5)",IF(Table2[[#This Row],[TotalWorkingYears]]&lt;=15,"Mid (6-15)","Senior (16+)"))</f>
        <v>Mid (6-15)</v>
      </c>
      <c r="AC710">
        <v>3</v>
      </c>
      <c r="AD710">
        <v>3</v>
      </c>
      <c r="AE710" t="s">
        <v>62</v>
      </c>
      <c r="AF710">
        <v>7</v>
      </c>
      <c r="AG710">
        <v>0</v>
      </c>
      <c r="AH710">
        <v>7</v>
      </c>
    </row>
    <row r="711" spans="1:34" x14ac:dyDescent="0.3">
      <c r="A711" t="s">
        <v>59</v>
      </c>
      <c r="B711">
        <v>1</v>
      </c>
      <c r="C711" t="s">
        <v>50</v>
      </c>
      <c r="D711">
        <v>335</v>
      </c>
      <c r="E711" t="s">
        <v>40</v>
      </c>
      <c r="F711">
        <v>9</v>
      </c>
      <c r="G711" t="str">
        <f>IF(Table2[[#This Row],[DistanceFromHome]]&lt;=5, "short", IF(Table2[[#This Row],[DistanceFromHome]]&lt;=15, "medium", "long"))</f>
        <v>medium</v>
      </c>
      <c r="H711">
        <v>2</v>
      </c>
      <c r="I711" t="s">
        <v>46</v>
      </c>
      <c r="J711">
        <v>991</v>
      </c>
      <c r="K711">
        <v>3</v>
      </c>
      <c r="L711" t="s">
        <v>41</v>
      </c>
      <c r="M711">
        <v>46</v>
      </c>
      <c r="N711">
        <v>2</v>
      </c>
      <c r="O711">
        <v>1</v>
      </c>
      <c r="P711" t="s">
        <v>42</v>
      </c>
      <c r="Q711">
        <v>1</v>
      </c>
      <c r="R711" t="s">
        <v>37</v>
      </c>
      <c r="S711">
        <v>2321</v>
      </c>
      <c r="T711">
        <v>10322</v>
      </c>
      <c r="U711">
        <v>0</v>
      </c>
      <c r="V711" t="s">
        <v>31</v>
      </c>
      <c r="W711">
        <v>22</v>
      </c>
      <c r="X711">
        <v>4</v>
      </c>
      <c r="Y711">
        <v>1</v>
      </c>
      <c r="Z711">
        <v>0</v>
      </c>
      <c r="AA711">
        <v>4</v>
      </c>
      <c r="AB711" t="str">
        <f>IF(Table2[[#This Row],[TotalWorkingYears]]&lt;=5,"Early (0-5)",IF(Table2[[#This Row],[TotalWorkingYears]]&lt;=15,"Mid (6-15)","Senior (16+)"))</f>
        <v>Early (0-5)</v>
      </c>
      <c r="AC711">
        <v>0</v>
      </c>
      <c r="AD711">
        <v>3</v>
      </c>
      <c r="AE711" t="s">
        <v>64</v>
      </c>
      <c r="AF711">
        <v>2</v>
      </c>
      <c r="AG711">
        <v>1</v>
      </c>
      <c r="AH711">
        <v>2</v>
      </c>
    </row>
    <row r="712" spans="1:34" x14ac:dyDescent="0.3">
      <c r="A712" t="s">
        <v>59</v>
      </c>
      <c r="B712">
        <v>0</v>
      </c>
      <c r="C712" t="s">
        <v>50</v>
      </c>
      <c r="D712">
        <v>722</v>
      </c>
      <c r="E712" t="s">
        <v>33</v>
      </c>
      <c r="F712">
        <v>17</v>
      </c>
      <c r="G712" t="str">
        <f>IF(Table2[[#This Row],[DistanceFromHome]]&lt;=5, "short", IF(Table2[[#This Row],[DistanceFromHome]]&lt;=15, "medium", "long"))</f>
        <v>long</v>
      </c>
      <c r="H712">
        <v>3</v>
      </c>
      <c r="I712" t="s">
        <v>34</v>
      </c>
      <c r="J712">
        <v>992</v>
      </c>
      <c r="K712">
        <v>4</v>
      </c>
      <c r="L712" t="s">
        <v>41</v>
      </c>
      <c r="M712">
        <v>38</v>
      </c>
      <c r="N712">
        <v>3</v>
      </c>
      <c r="O712">
        <v>4</v>
      </c>
      <c r="P712" t="s">
        <v>51</v>
      </c>
      <c r="Q712">
        <v>3</v>
      </c>
      <c r="R712" t="s">
        <v>37</v>
      </c>
      <c r="S712">
        <v>17444</v>
      </c>
      <c r="T712">
        <v>20489</v>
      </c>
      <c r="U712">
        <v>1</v>
      </c>
      <c r="V712" t="s">
        <v>38</v>
      </c>
      <c r="W712">
        <v>11</v>
      </c>
      <c r="X712">
        <v>3</v>
      </c>
      <c r="Y712">
        <v>4</v>
      </c>
      <c r="Z712">
        <v>0</v>
      </c>
      <c r="AA712">
        <v>10</v>
      </c>
      <c r="AB712" t="str">
        <f>IF(Table2[[#This Row],[TotalWorkingYears]]&lt;=5,"Early (0-5)",IF(Table2[[#This Row],[TotalWorkingYears]]&lt;=15,"Mid (6-15)","Senior (16+)"))</f>
        <v>Mid (6-15)</v>
      </c>
      <c r="AC712">
        <v>2</v>
      </c>
      <c r="AD712">
        <v>3</v>
      </c>
      <c r="AE712" t="s">
        <v>62</v>
      </c>
      <c r="AF712">
        <v>8</v>
      </c>
      <c r="AG712">
        <v>6</v>
      </c>
      <c r="AH712">
        <v>0</v>
      </c>
    </row>
    <row r="713" spans="1:34" x14ac:dyDescent="0.3">
      <c r="A713" t="s">
        <v>59</v>
      </c>
      <c r="B713">
        <v>1</v>
      </c>
      <c r="C713" t="s">
        <v>32</v>
      </c>
      <c r="D713">
        <v>906</v>
      </c>
      <c r="E713" t="s">
        <v>40</v>
      </c>
      <c r="F713">
        <v>10</v>
      </c>
      <c r="G713" t="str">
        <f>IF(Table2[[#This Row],[DistanceFromHome]]&lt;=5, "short", IF(Table2[[#This Row],[DistanceFromHome]]&lt;=15, "medium", "long"))</f>
        <v>medium</v>
      </c>
      <c r="H713">
        <v>3</v>
      </c>
      <c r="I713" t="s">
        <v>34</v>
      </c>
      <c r="J713">
        <v>994</v>
      </c>
      <c r="K713">
        <v>4</v>
      </c>
      <c r="L713" t="s">
        <v>35</v>
      </c>
      <c r="M713">
        <v>92</v>
      </c>
      <c r="N713">
        <v>2</v>
      </c>
      <c r="O713">
        <v>1</v>
      </c>
      <c r="P713" t="s">
        <v>42</v>
      </c>
      <c r="Q713">
        <v>1</v>
      </c>
      <c r="R713" t="s">
        <v>37</v>
      </c>
      <c r="S713">
        <v>2404</v>
      </c>
      <c r="T713">
        <v>11479</v>
      </c>
      <c r="U713">
        <v>6</v>
      </c>
      <c r="V713" t="s">
        <v>31</v>
      </c>
      <c r="W713">
        <v>20</v>
      </c>
      <c r="X713">
        <v>4</v>
      </c>
      <c r="Y713">
        <v>3</v>
      </c>
      <c r="Z713">
        <v>0</v>
      </c>
      <c r="AA713">
        <v>3</v>
      </c>
      <c r="AB713" t="str">
        <f>IF(Table2[[#This Row],[TotalWorkingYears]]&lt;=5,"Early (0-5)",IF(Table2[[#This Row],[TotalWorkingYears]]&lt;=15,"Mid (6-15)","Senior (16+)"))</f>
        <v>Early (0-5)</v>
      </c>
      <c r="AC713">
        <v>5</v>
      </c>
      <c r="AD713">
        <v>3</v>
      </c>
      <c r="AE713" t="s">
        <v>63</v>
      </c>
      <c r="AF713">
        <v>0</v>
      </c>
      <c r="AG713">
        <v>0</v>
      </c>
      <c r="AH713">
        <v>0</v>
      </c>
    </row>
    <row r="714" spans="1:34" x14ac:dyDescent="0.3">
      <c r="A714" t="s">
        <v>59</v>
      </c>
      <c r="B714">
        <v>0</v>
      </c>
      <c r="C714" t="s">
        <v>32</v>
      </c>
      <c r="D714">
        <v>461</v>
      </c>
      <c r="E714" t="s">
        <v>40</v>
      </c>
      <c r="F714">
        <v>13</v>
      </c>
      <c r="G714" t="str">
        <f>IF(Table2[[#This Row],[DistanceFromHome]]&lt;=5, "short", IF(Table2[[#This Row],[DistanceFromHome]]&lt;=15, "medium", "long"))</f>
        <v>medium</v>
      </c>
      <c r="H714">
        <v>1</v>
      </c>
      <c r="I714" t="s">
        <v>34</v>
      </c>
      <c r="J714">
        <v>995</v>
      </c>
      <c r="K714">
        <v>2</v>
      </c>
      <c r="L714" t="s">
        <v>35</v>
      </c>
      <c r="M714">
        <v>53</v>
      </c>
      <c r="N714">
        <v>3</v>
      </c>
      <c r="O714">
        <v>1</v>
      </c>
      <c r="P714" t="s">
        <v>42</v>
      </c>
      <c r="Q714">
        <v>4</v>
      </c>
      <c r="R714" t="s">
        <v>37</v>
      </c>
      <c r="S714">
        <v>3452</v>
      </c>
      <c r="T714">
        <v>17241</v>
      </c>
      <c r="U714">
        <v>3</v>
      </c>
      <c r="V714" t="s">
        <v>38</v>
      </c>
      <c r="W714">
        <v>18</v>
      </c>
      <c r="X714">
        <v>3</v>
      </c>
      <c r="Y714">
        <v>1</v>
      </c>
      <c r="Z714">
        <v>0</v>
      </c>
      <c r="AA714">
        <v>5</v>
      </c>
      <c r="AB714" t="str">
        <f>IF(Table2[[#This Row],[TotalWorkingYears]]&lt;=5,"Early (0-5)",IF(Table2[[#This Row],[TotalWorkingYears]]&lt;=15,"Mid (6-15)","Senior (16+)"))</f>
        <v>Early (0-5)</v>
      </c>
      <c r="AC714">
        <v>4</v>
      </c>
      <c r="AD714">
        <v>3</v>
      </c>
      <c r="AE714" t="s">
        <v>64</v>
      </c>
      <c r="AF714">
        <v>2</v>
      </c>
      <c r="AG714">
        <v>0</v>
      </c>
      <c r="AH714">
        <v>2</v>
      </c>
    </row>
    <row r="715" spans="1:34" x14ac:dyDescent="0.3">
      <c r="A715" t="s">
        <v>57</v>
      </c>
      <c r="B715">
        <v>0</v>
      </c>
      <c r="C715" t="s">
        <v>32</v>
      </c>
      <c r="D715">
        <v>974</v>
      </c>
      <c r="E715" t="s">
        <v>40</v>
      </c>
      <c r="F715">
        <v>1</v>
      </c>
      <c r="G715" t="str">
        <f>IF(Table2[[#This Row],[DistanceFromHome]]&lt;=5, "short", IF(Table2[[#This Row],[DistanceFromHome]]&lt;=15, "medium", "long"))</f>
        <v>short</v>
      </c>
      <c r="H715">
        <v>4</v>
      </c>
      <c r="I715" t="s">
        <v>46</v>
      </c>
      <c r="J715">
        <v>996</v>
      </c>
      <c r="K715">
        <v>4</v>
      </c>
      <c r="L715" t="s">
        <v>35</v>
      </c>
      <c r="M715">
        <v>91</v>
      </c>
      <c r="N715">
        <v>3</v>
      </c>
      <c r="O715">
        <v>1</v>
      </c>
      <c r="P715" t="s">
        <v>45</v>
      </c>
      <c r="Q715">
        <v>4</v>
      </c>
      <c r="R715" t="s">
        <v>47</v>
      </c>
      <c r="S715">
        <v>2270</v>
      </c>
      <c r="T715">
        <v>11005</v>
      </c>
      <c r="U715">
        <v>3</v>
      </c>
      <c r="V715" t="s">
        <v>38</v>
      </c>
      <c r="W715">
        <v>14</v>
      </c>
      <c r="X715">
        <v>3</v>
      </c>
      <c r="Y715">
        <v>4</v>
      </c>
      <c r="Z715">
        <v>2</v>
      </c>
      <c r="AA715">
        <v>8</v>
      </c>
      <c r="AB715" t="str">
        <f>IF(Table2[[#This Row],[TotalWorkingYears]]&lt;=5,"Early (0-5)",IF(Table2[[#This Row],[TotalWorkingYears]]&lt;=15,"Mid (6-15)","Senior (16+)"))</f>
        <v>Mid (6-15)</v>
      </c>
      <c r="AC715">
        <v>2</v>
      </c>
      <c r="AD715">
        <v>3</v>
      </c>
      <c r="AE715" t="s">
        <v>64</v>
      </c>
      <c r="AF715">
        <v>3</v>
      </c>
      <c r="AG715">
        <v>0</v>
      </c>
      <c r="AH715">
        <v>2</v>
      </c>
    </row>
    <row r="716" spans="1:34" x14ac:dyDescent="0.3">
      <c r="A716" t="s">
        <v>58</v>
      </c>
      <c r="B716">
        <v>0</v>
      </c>
      <c r="C716" t="s">
        <v>32</v>
      </c>
      <c r="D716">
        <v>1126</v>
      </c>
      <c r="E716" t="s">
        <v>40</v>
      </c>
      <c r="F716">
        <v>1</v>
      </c>
      <c r="G716" t="str">
        <f>IF(Table2[[#This Row],[DistanceFromHome]]&lt;=5, "short", IF(Table2[[#This Row],[DistanceFromHome]]&lt;=15, "medium", "long"))</f>
        <v>short</v>
      </c>
      <c r="H716">
        <v>2</v>
      </c>
      <c r="I716" t="s">
        <v>46</v>
      </c>
      <c r="J716">
        <v>997</v>
      </c>
      <c r="K716">
        <v>4</v>
      </c>
      <c r="L716" t="s">
        <v>41</v>
      </c>
      <c r="M716">
        <v>66</v>
      </c>
      <c r="N716">
        <v>3</v>
      </c>
      <c r="O716">
        <v>4</v>
      </c>
      <c r="P716" t="s">
        <v>53</v>
      </c>
      <c r="Q716">
        <v>4</v>
      </c>
      <c r="R716" t="s">
        <v>47</v>
      </c>
      <c r="S716">
        <v>17399</v>
      </c>
      <c r="T716">
        <v>6615</v>
      </c>
      <c r="U716">
        <v>9</v>
      </c>
      <c r="V716" t="s">
        <v>38</v>
      </c>
      <c r="W716">
        <v>22</v>
      </c>
      <c r="X716">
        <v>4</v>
      </c>
      <c r="Y716">
        <v>3</v>
      </c>
      <c r="Z716">
        <v>1</v>
      </c>
      <c r="AA716">
        <v>32</v>
      </c>
      <c r="AB716" t="str">
        <f>IF(Table2[[#This Row],[TotalWorkingYears]]&lt;=5,"Early (0-5)",IF(Table2[[#This Row],[TotalWorkingYears]]&lt;=15,"Mid (6-15)","Senior (16+)"))</f>
        <v>Senior (16+)</v>
      </c>
      <c r="AC716">
        <v>1</v>
      </c>
      <c r="AD716">
        <v>2</v>
      </c>
      <c r="AE716" t="s">
        <v>64</v>
      </c>
      <c r="AF716">
        <v>4</v>
      </c>
      <c r="AG716">
        <v>1</v>
      </c>
      <c r="AH716">
        <v>3</v>
      </c>
    </row>
    <row r="717" spans="1:34" x14ac:dyDescent="0.3">
      <c r="A717" t="s">
        <v>59</v>
      </c>
      <c r="B717">
        <v>0</v>
      </c>
      <c r="C717" t="s">
        <v>39</v>
      </c>
      <c r="D717">
        <v>827</v>
      </c>
      <c r="E717" t="s">
        <v>40</v>
      </c>
      <c r="F717">
        <v>1</v>
      </c>
      <c r="G717" t="str">
        <f>IF(Table2[[#This Row],[DistanceFromHome]]&lt;=5, "short", IF(Table2[[#This Row],[DistanceFromHome]]&lt;=15, "medium", "long"))</f>
        <v>short</v>
      </c>
      <c r="H717">
        <v>4</v>
      </c>
      <c r="I717" t="s">
        <v>44</v>
      </c>
      <c r="J717">
        <v>998</v>
      </c>
      <c r="K717">
        <v>3</v>
      </c>
      <c r="L717" t="s">
        <v>35</v>
      </c>
      <c r="M717">
        <v>84</v>
      </c>
      <c r="N717">
        <v>4</v>
      </c>
      <c r="O717">
        <v>2</v>
      </c>
      <c r="P717" t="s">
        <v>49</v>
      </c>
      <c r="Q717">
        <v>2</v>
      </c>
      <c r="R717" t="s">
        <v>43</v>
      </c>
      <c r="S717">
        <v>5488</v>
      </c>
      <c r="T717">
        <v>20161</v>
      </c>
      <c r="U717">
        <v>1</v>
      </c>
      <c r="V717" t="s">
        <v>31</v>
      </c>
      <c r="W717">
        <v>13</v>
      </c>
      <c r="X717">
        <v>3</v>
      </c>
      <c r="Y717">
        <v>1</v>
      </c>
      <c r="Z717">
        <v>1</v>
      </c>
      <c r="AA717">
        <v>6</v>
      </c>
      <c r="AB717" t="str">
        <f>IF(Table2[[#This Row],[TotalWorkingYears]]&lt;=5,"Early (0-5)",IF(Table2[[#This Row],[TotalWorkingYears]]&lt;=15,"Mid (6-15)","Senior (16+)"))</f>
        <v>Mid (6-15)</v>
      </c>
      <c r="AC717">
        <v>2</v>
      </c>
      <c r="AD717">
        <v>3</v>
      </c>
      <c r="AE717" t="s">
        <v>62</v>
      </c>
      <c r="AF717">
        <v>5</v>
      </c>
      <c r="AG717">
        <v>1</v>
      </c>
      <c r="AH717">
        <v>2</v>
      </c>
    </row>
    <row r="718" spans="1:34" x14ac:dyDescent="0.3">
      <c r="A718" t="s">
        <v>57</v>
      </c>
      <c r="B718">
        <v>0</v>
      </c>
      <c r="C718" t="s">
        <v>39</v>
      </c>
      <c r="D718">
        <v>840</v>
      </c>
      <c r="E718" t="s">
        <v>40</v>
      </c>
      <c r="F718">
        <v>9</v>
      </c>
      <c r="G718" t="str">
        <f>IF(Table2[[#This Row],[DistanceFromHome]]&lt;=5, "short", IF(Table2[[#This Row],[DistanceFromHome]]&lt;=15, "medium", "long"))</f>
        <v>medium</v>
      </c>
      <c r="H718">
        <v>3</v>
      </c>
      <c r="I718" t="s">
        <v>46</v>
      </c>
      <c r="J718">
        <v>999</v>
      </c>
      <c r="K718">
        <v>1</v>
      </c>
      <c r="L718" t="s">
        <v>41</v>
      </c>
      <c r="M718">
        <v>64</v>
      </c>
      <c r="N718">
        <v>3</v>
      </c>
      <c r="O718">
        <v>5</v>
      </c>
      <c r="P718" t="s">
        <v>53</v>
      </c>
      <c r="Q718">
        <v>3</v>
      </c>
      <c r="R718" t="s">
        <v>47</v>
      </c>
      <c r="S718">
        <v>19419</v>
      </c>
      <c r="T718">
        <v>3735</v>
      </c>
      <c r="U718">
        <v>2</v>
      </c>
      <c r="V718" t="s">
        <v>38</v>
      </c>
      <c r="W718">
        <v>17</v>
      </c>
      <c r="X718">
        <v>3</v>
      </c>
      <c r="Y718">
        <v>2</v>
      </c>
      <c r="Z718">
        <v>1</v>
      </c>
      <c r="AA718">
        <v>21</v>
      </c>
      <c r="AB718" t="str">
        <f>IF(Table2[[#This Row],[TotalWorkingYears]]&lt;=5,"Early (0-5)",IF(Table2[[#This Row],[TotalWorkingYears]]&lt;=15,"Mid (6-15)","Senior (16+)"))</f>
        <v>Senior (16+)</v>
      </c>
      <c r="AC718">
        <v>2</v>
      </c>
      <c r="AD718">
        <v>4</v>
      </c>
      <c r="AE718" t="s">
        <v>65</v>
      </c>
      <c r="AF718">
        <v>16</v>
      </c>
      <c r="AG718">
        <v>0</v>
      </c>
      <c r="AH718">
        <v>11</v>
      </c>
    </row>
    <row r="719" spans="1:34" x14ac:dyDescent="0.3">
      <c r="A719" t="s">
        <v>59</v>
      </c>
      <c r="B719">
        <v>0</v>
      </c>
      <c r="C719" t="s">
        <v>32</v>
      </c>
      <c r="D719">
        <v>1134</v>
      </c>
      <c r="E719" t="s">
        <v>40</v>
      </c>
      <c r="F719">
        <v>16</v>
      </c>
      <c r="G719" t="str">
        <f>IF(Table2[[#This Row],[DistanceFromHome]]&lt;=5, "short", IF(Table2[[#This Row],[DistanceFromHome]]&lt;=15, "medium", "long"))</f>
        <v>long</v>
      </c>
      <c r="H719">
        <v>4</v>
      </c>
      <c r="I719" t="s">
        <v>55</v>
      </c>
      <c r="J719">
        <v>1001</v>
      </c>
      <c r="K719">
        <v>3</v>
      </c>
      <c r="L719" t="s">
        <v>35</v>
      </c>
      <c r="M719">
        <v>37</v>
      </c>
      <c r="N719">
        <v>3</v>
      </c>
      <c r="O719">
        <v>1</v>
      </c>
      <c r="P719" t="s">
        <v>45</v>
      </c>
      <c r="Q719">
        <v>2</v>
      </c>
      <c r="R719" t="s">
        <v>43</v>
      </c>
      <c r="S719">
        <v>2811</v>
      </c>
      <c r="T719">
        <v>12086</v>
      </c>
      <c r="U719">
        <v>9</v>
      </c>
      <c r="V719" t="s">
        <v>38</v>
      </c>
      <c r="W719">
        <v>14</v>
      </c>
      <c r="X719">
        <v>3</v>
      </c>
      <c r="Y719">
        <v>2</v>
      </c>
      <c r="Z719">
        <v>1</v>
      </c>
      <c r="AA719">
        <v>4</v>
      </c>
      <c r="AB719" t="str">
        <f>IF(Table2[[#This Row],[TotalWorkingYears]]&lt;=5,"Early (0-5)",IF(Table2[[#This Row],[TotalWorkingYears]]&lt;=15,"Mid (6-15)","Senior (16+)"))</f>
        <v>Early (0-5)</v>
      </c>
      <c r="AC719">
        <v>2</v>
      </c>
      <c r="AD719">
        <v>3</v>
      </c>
      <c r="AE719" t="s">
        <v>63</v>
      </c>
      <c r="AF719">
        <v>2</v>
      </c>
      <c r="AG719">
        <v>2</v>
      </c>
      <c r="AH719">
        <v>2</v>
      </c>
    </row>
    <row r="720" spans="1:34" x14ac:dyDescent="0.3">
      <c r="A720" t="s">
        <v>57</v>
      </c>
      <c r="B720">
        <v>0</v>
      </c>
      <c r="C720" t="s">
        <v>50</v>
      </c>
      <c r="D720">
        <v>248</v>
      </c>
      <c r="E720" t="s">
        <v>40</v>
      </c>
      <c r="F720">
        <v>23</v>
      </c>
      <c r="G720" t="str">
        <f>IF(Table2[[#This Row],[DistanceFromHome]]&lt;=5, "short", IF(Table2[[#This Row],[DistanceFromHome]]&lt;=15, "medium", "long"))</f>
        <v>long</v>
      </c>
      <c r="H720">
        <v>2</v>
      </c>
      <c r="I720" t="s">
        <v>34</v>
      </c>
      <c r="J720">
        <v>1002</v>
      </c>
      <c r="K720">
        <v>4</v>
      </c>
      <c r="L720" t="s">
        <v>41</v>
      </c>
      <c r="M720">
        <v>42</v>
      </c>
      <c r="N720">
        <v>3</v>
      </c>
      <c r="O720">
        <v>2</v>
      </c>
      <c r="P720" t="s">
        <v>45</v>
      </c>
      <c r="Q720">
        <v>1</v>
      </c>
      <c r="R720" t="s">
        <v>43</v>
      </c>
      <c r="S720">
        <v>3633</v>
      </c>
      <c r="T720">
        <v>14039</v>
      </c>
      <c r="U720">
        <v>1</v>
      </c>
      <c r="V720" t="s">
        <v>31</v>
      </c>
      <c r="W720">
        <v>15</v>
      </c>
      <c r="X720">
        <v>3</v>
      </c>
      <c r="Y720">
        <v>3</v>
      </c>
      <c r="Z720">
        <v>1</v>
      </c>
      <c r="AA720">
        <v>9</v>
      </c>
      <c r="AB720" t="str">
        <f>IF(Table2[[#This Row],[TotalWorkingYears]]&lt;=5,"Early (0-5)",IF(Table2[[#This Row],[TotalWorkingYears]]&lt;=15,"Mid (6-15)","Senior (16+)"))</f>
        <v>Mid (6-15)</v>
      </c>
      <c r="AC720">
        <v>2</v>
      </c>
      <c r="AD720">
        <v>3</v>
      </c>
      <c r="AE720" t="s">
        <v>62</v>
      </c>
      <c r="AF720">
        <v>8</v>
      </c>
      <c r="AG720">
        <v>0</v>
      </c>
      <c r="AH720">
        <v>8</v>
      </c>
    </row>
    <row r="721" spans="1:34" x14ac:dyDescent="0.3">
      <c r="A721" t="s">
        <v>58</v>
      </c>
      <c r="B721">
        <v>0</v>
      </c>
      <c r="C721" t="s">
        <v>32</v>
      </c>
      <c r="D721">
        <v>955</v>
      </c>
      <c r="E721" t="s">
        <v>33</v>
      </c>
      <c r="F721">
        <v>4</v>
      </c>
      <c r="G721" t="str">
        <f>IF(Table2[[#This Row],[DistanceFromHome]]&lt;=5, "short", IF(Table2[[#This Row],[DistanceFromHome]]&lt;=15, "medium", "long"))</f>
        <v>short</v>
      </c>
      <c r="H721">
        <v>2</v>
      </c>
      <c r="I721" t="s">
        <v>34</v>
      </c>
      <c r="J721">
        <v>1003</v>
      </c>
      <c r="K721">
        <v>4</v>
      </c>
      <c r="L721" t="s">
        <v>35</v>
      </c>
      <c r="M721">
        <v>83</v>
      </c>
      <c r="N721">
        <v>3</v>
      </c>
      <c r="O721">
        <v>2</v>
      </c>
      <c r="P721" t="s">
        <v>36</v>
      </c>
      <c r="Q721">
        <v>4</v>
      </c>
      <c r="R721" t="s">
        <v>37</v>
      </c>
      <c r="S721">
        <v>4163</v>
      </c>
      <c r="T721">
        <v>8571</v>
      </c>
      <c r="U721">
        <v>1</v>
      </c>
      <c r="V721" t="s">
        <v>31</v>
      </c>
      <c r="W721">
        <v>17</v>
      </c>
      <c r="X721">
        <v>3</v>
      </c>
      <c r="Y721">
        <v>3</v>
      </c>
      <c r="Z721">
        <v>0</v>
      </c>
      <c r="AA721">
        <v>9</v>
      </c>
      <c r="AB721" t="str">
        <f>IF(Table2[[#This Row],[TotalWorkingYears]]&lt;=5,"Early (0-5)",IF(Table2[[#This Row],[TotalWorkingYears]]&lt;=15,"Mid (6-15)","Senior (16+)"))</f>
        <v>Mid (6-15)</v>
      </c>
      <c r="AC721">
        <v>0</v>
      </c>
      <c r="AD721">
        <v>3</v>
      </c>
      <c r="AE721" t="s">
        <v>62</v>
      </c>
      <c r="AF721">
        <v>0</v>
      </c>
      <c r="AG721">
        <v>0</v>
      </c>
      <c r="AH721">
        <v>7</v>
      </c>
    </row>
    <row r="722" spans="1:34" x14ac:dyDescent="0.3">
      <c r="A722" t="s">
        <v>59</v>
      </c>
      <c r="B722">
        <v>1</v>
      </c>
      <c r="C722" t="s">
        <v>32</v>
      </c>
      <c r="D722">
        <v>138</v>
      </c>
      <c r="E722" t="s">
        <v>40</v>
      </c>
      <c r="F722">
        <v>22</v>
      </c>
      <c r="G722" t="str">
        <f>IF(Table2[[#This Row],[DistanceFromHome]]&lt;=5, "short", IF(Table2[[#This Row],[DistanceFromHome]]&lt;=15, "medium", "long"))</f>
        <v>long</v>
      </c>
      <c r="H722">
        <v>3</v>
      </c>
      <c r="I722" t="s">
        <v>34</v>
      </c>
      <c r="J722">
        <v>1004</v>
      </c>
      <c r="K722">
        <v>1</v>
      </c>
      <c r="L722" t="s">
        <v>35</v>
      </c>
      <c r="M722">
        <v>48</v>
      </c>
      <c r="N722">
        <v>3</v>
      </c>
      <c r="O722">
        <v>1</v>
      </c>
      <c r="P722" t="s">
        <v>42</v>
      </c>
      <c r="Q722">
        <v>3</v>
      </c>
      <c r="R722" t="s">
        <v>43</v>
      </c>
      <c r="S722">
        <v>2132</v>
      </c>
      <c r="T722">
        <v>11539</v>
      </c>
      <c r="U722">
        <v>4</v>
      </c>
      <c r="V722" t="s">
        <v>31</v>
      </c>
      <c r="W722">
        <v>11</v>
      </c>
      <c r="X722">
        <v>3</v>
      </c>
      <c r="Y722">
        <v>2</v>
      </c>
      <c r="Z722">
        <v>0</v>
      </c>
      <c r="AA722">
        <v>7</v>
      </c>
      <c r="AB722" t="str">
        <f>IF(Table2[[#This Row],[TotalWorkingYears]]&lt;=5,"Early (0-5)",IF(Table2[[#This Row],[TotalWorkingYears]]&lt;=15,"Mid (6-15)","Senior (16+)"))</f>
        <v>Mid (6-15)</v>
      </c>
      <c r="AC722">
        <v>2</v>
      </c>
      <c r="AD722">
        <v>3</v>
      </c>
      <c r="AE722" t="s">
        <v>64</v>
      </c>
      <c r="AF722">
        <v>2</v>
      </c>
      <c r="AG722">
        <v>0</v>
      </c>
      <c r="AH722">
        <v>1</v>
      </c>
    </row>
    <row r="723" spans="1:34" x14ac:dyDescent="0.3">
      <c r="A723" t="s">
        <v>58</v>
      </c>
      <c r="B723">
        <v>0</v>
      </c>
      <c r="C723" t="s">
        <v>32</v>
      </c>
      <c r="D723">
        <v>939</v>
      </c>
      <c r="E723" t="s">
        <v>40</v>
      </c>
      <c r="F723">
        <v>24</v>
      </c>
      <c r="G723" t="str">
        <f>IF(Table2[[#This Row],[DistanceFromHome]]&lt;=5, "short", IF(Table2[[#This Row],[DistanceFromHome]]&lt;=15, "medium", "long"))</f>
        <v>long</v>
      </c>
      <c r="H723">
        <v>3</v>
      </c>
      <c r="I723" t="s">
        <v>34</v>
      </c>
      <c r="J723">
        <v>1005</v>
      </c>
      <c r="K723">
        <v>4</v>
      </c>
      <c r="L723" t="s">
        <v>41</v>
      </c>
      <c r="M723">
        <v>95</v>
      </c>
      <c r="N723">
        <v>3</v>
      </c>
      <c r="O723">
        <v>4</v>
      </c>
      <c r="P723" t="s">
        <v>48</v>
      </c>
      <c r="Q723">
        <v>3</v>
      </c>
      <c r="R723" t="s">
        <v>43</v>
      </c>
      <c r="S723">
        <v>13973</v>
      </c>
      <c r="T723">
        <v>4161</v>
      </c>
      <c r="U723">
        <v>3</v>
      </c>
      <c r="V723" t="s">
        <v>31</v>
      </c>
      <c r="W723">
        <v>18</v>
      </c>
      <c r="X723">
        <v>3</v>
      </c>
      <c r="Y723">
        <v>4</v>
      </c>
      <c r="Z723">
        <v>1</v>
      </c>
      <c r="AA723">
        <v>22</v>
      </c>
      <c r="AB723" t="str">
        <f>IF(Table2[[#This Row],[TotalWorkingYears]]&lt;=5,"Early (0-5)",IF(Table2[[#This Row],[TotalWorkingYears]]&lt;=15,"Mid (6-15)","Senior (16+)"))</f>
        <v>Senior (16+)</v>
      </c>
      <c r="AC723">
        <v>2</v>
      </c>
      <c r="AD723">
        <v>3</v>
      </c>
      <c r="AE723" t="s">
        <v>65</v>
      </c>
      <c r="AF723">
        <v>11</v>
      </c>
      <c r="AG723">
        <v>1</v>
      </c>
      <c r="AH723">
        <v>5</v>
      </c>
    </row>
    <row r="724" spans="1:34" x14ac:dyDescent="0.3">
      <c r="A724" t="s">
        <v>57</v>
      </c>
      <c r="B724">
        <v>0</v>
      </c>
      <c r="C724" t="s">
        <v>39</v>
      </c>
      <c r="D724">
        <v>1391</v>
      </c>
      <c r="E724" t="s">
        <v>40</v>
      </c>
      <c r="F724">
        <v>10</v>
      </c>
      <c r="G724" t="str">
        <f>IF(Table2[[#This Row],[DistanceFromHome]]&lt;=5, "short", IF(Table2[[#This Row],[DistanceFromHome]]&lt;=15, "medium", "long"))</f>
        <v>medium</v>
      </c>
      <c r="H724">
        <v>1</v>
      </c>
      <c r="I724" t="s">
        <v>46</v>
      </c>
      <c r="J724">
        <v>1006</v>
      </c>
      <c r="K724">
        <v>3</v>
      </c>
      <c r="L724" t="s">
        <v>41</v>
      </c>
      <c r="M724">
        <v>66</v>
      </c>
      <c r="N724">
        <v>3</v>
      </c>
      <c r="O724">
        <v>1</v>
      </c>
      <c r="P724" t="s">
        <v>42</v>
      </c>
      <c r="Q724">
        <v>3</v>
      </c>
      <c r="R724" t="s">
        <v>43</v>
      </c>
      <c r="S724">
        <v>2684</v>
      </c>
      <c r="T724">
        <v>12127</v>
      </c>
      <c r="U724">
        <v>0</v>
      </c>
      <c r="V724" t="s">
        <v>38</v>
      </c>
      <c r="W724">
        <v>17</v>
      </c>
      <c r="X724">
        <v>3</v>
      </c>
      <c r="Y724">
        <v>2</v>
      </c>
      <c r="Z724">
        <v>1</v>
      </c>
      <c r="AA724">
        <v>3</v>
      </c>
      <c r="AB724" t="str">
        <f>IF(Table2[[#This Row],[TotalWorkingYears]]&lt;=5,"Early (0-5)",IF(Table2[[#This Row],[TotalWorkingYears]]&lt;=15,"Mid (6-15)","Senior (16+)"))</f>
        <v>Early (0-5)</v>
      </c>
      <c r="AC724">
        <v>0</v>
      </c>
      <c r="AD724">
        <v>2</v>
      </c>
      <c r="AE724" t="s">
        <v>63</v>
      </c>
      <c r="AF724">
        <v>1</v>
      </c>
      <c r="AG724">
        <v>0</v>
      </c>
      <c r="AH724">
        <v>2</v>
      </c>
    </row>
    <row r="725" spans="1:34" x14ac:dyDescent="0.3">
      <c r="A725" t="s">
        <v>58</v>
      </c>
      <c r="B725">
        <v>0</v>
      </c>
      <c r="C725" t="s">
        <v>32</v>
      </c>
      <c r="D725">
        <v>566</v>
      </c>
      <c r="E725" t="s">
        <v>40</v>
      </c>
      <c r="F725">
        <v>7</v>
      </c>
      <c r="G725" t="str">
        <f>IF(Table2[[#This Row],[DistanceFromHome]]&lt;=5, "short", IF(Table2[[#This Row],[DistanceFromHome]]&lt;=15, "medium", "long"))</f>
        <v>medium</v>
      </c>
      <c r="H725">
        <v>2</v>
      </c>
      <c r="I725" t="s">
        <v>46</v>
      </c>
      <c r="J725">
        <v>1007</v>
      </c>
      <c r="K725">
        <v>4</v>
      </c>
      <c r="L725" t="s">
        <v>41</v>
      </c>
      <c r="M725">
        <v>75</v>
      </c>
      <c r="N725">
        <v>3</v>
      </c>
      <c r="O725">
        <v>3</v>
      </c>
      <c r="P725" t="s">
        <v>48</v>
      </c>
      <c r="Q725">
        <v>3</v>
      </c>
      <c r="R725" t="s">
        <v>47</v>
      </c>
      <c r="S725">
        <v>10845</v>
      </c>
      <c r="T725">
        <v>24208</v>
      </c>
      <c r="U725">
        <v>6</v>
      </c>
      <c r="V725" t="s">
        <v>38</v>
      </c>
      <c r="W725">
        <v>13</v>
      </c>
      <c r="X725">
        <v>3</v>
      </c>
      <c r="Y725">
        <v>2</v>
      </c>
      <c r="Z725">
        <v>1</v>
      </c>
      <c r="AA725">
        <v>13</v>
      </c>
      <c r="AB725" t="str">
        <f>IF(Table2[[#This Row],[TotalWorkingYears]]&lt;=5,"Early (0-5)",IF(Table2[[#This Row],[TotalWorkingYears]]&lt;=15,"Mid (6-15)","Senior (16+)"))</f>
        <v>Mid (6-15)</v>
      </c>
      <c r="AC725">
        <v>3</v>
      </c>
      <c r="AD725">
        <v>3</v>
      </c>
      <c r="AE725" t="s">
        <v>62</v>
      </c>
      <c r="AF725">
        <v>7</v>
      </c>
      <c r="AG725">
        <v>0</v>
      </c>
      <c r="AH725">
        <v>7</v>
      </c>
    </row>
    <row r="726" spans="1:34" x14ac:dyDescent="0.3">
      <c r="A726" t="s">
        <v>60</v>
      </c>
      <c r="B726">
        <v>0</v>
      </c>
      <c r="C726" t="s">
        <v>32</v>
      </c>
      <c r="D726">
        <v>1206</v>
      </c>
      <c r="E726" t="s">
        <v>40</v>
      </c>
      <c r="F726">
        <v>17</v>
      </c>
      <c r="G726" t="str">
        <f>IF(Table2[[#This Row],[DistanceFromHome]]&lt;=5, "short", IF(Table2[[#This Row],[DistanceFromHome]]&lt;=15, "medium", "long"))</f>
        <v>long</v>
      </c>
      <c r="H726">
        <v>1</v>
      </c>
      <c r="I726" t="s">
        <v>46</v>
      </c>
      <c r="J726">
        <v>1009</v>
      </c>
      <c r="K726">
        <v>4</v>
      </c>
      <c r="L726" t="s">
        <v>35</v>
      </c>
      <c r="M726">
        <v>41</v>
      </c>
      <c r="N726">
        <v>2</v>
      </c>
      <c r="O726">
        <v>2</v>
      </c>
      <c r="P726" t="s">
        <v>48</v>
      </c>
      <c r="Q726">
        <v>3</v>
      </c>
      <c r="R726" t="s">
        <v>47</v>
      </c>
      <c r="S726">
        <v>4377</v>
      </c>
      <c r="T726">
        <v>24117</v>
      </c>
      <c r="U726">
        <v>1</v>
      </c>
      <c r="V726" t="s">
        <v>38</v>
      </c>
      <c r="W726">
        <v>15</v>
      </c>
      <c r="X726">
        <v>3</v>
      </c>
      <c r="Y726">
        <v>2</v>
      </c>
      <c r="Z726">
        <v>2</v>
      </c>
      <c r="AA726">
        <v>5</v>
      </c>
      <c r="AB726" t="str">
        <f>IF(Table2[[#This Row],[TotalWorkingYears]]&lt;=5,"Early (0-5)",IF(Table2[[#This Row],[TotalWorkingYears]]&lt;=15,"Mid (6-15)","Senior (16+)"))</f>
        <v>Early (0-5)</v>
      </c>
      <c r="AC726">
        <v>6</v>
      </c>
      <c r="AD726">
        <v>3</v>
      </c>
      <c r="AE726" t="s">
        <v>64</v>
      </c>
      <c r="AF726">
        <v>2</v>
      </c>
      <c r="AG726">
        <v>3</v>
      </c>
      <c r="AH726">
        <v>2</v>
      </c>
    </row>
    <row r="727" spans="1:34" x14ac:dyDescent="0.3">
      <c r="A727" t="s">
        <v>59</v>
      </c>
      <c r="B727">
        <v>1</v>
      </c>
      <c r="C727" t="s">
        <v>32</v>
      </c>
      <c r="D727">
        <v>622</v>
      </c>
      <c r="E727" t="s">
        <v>40</v>
      </c>
      <c r="F727">
        <v>14</v>
      </c>
      <c r="G727" t="str">
        <f>IF(Table2[[#This Row],[DistanceFromHome]]&lt;=5, "short", IF(Table2[[#This Row],[DistanceFromHome]]&lt;=15, "medium", "long"))</f>
        <v>medium</v>
      </c>
      <c r="H727">
        <v>4</v>
      </c>
      <c r="I727" t="s">
        <v>44</v>
      </c>
      <c r="J727">
        <v>1010</v>
      </c>
      <c r="K727">
        <v>3</v>
      </c>
      <c r="L727" t="s">
        <v>41</v>
      </c>
      <c r="M727">
        <v>39</v>
      </c>
      <c r="N727">
        <v>2</v>
      </c>
      <c r="O727">
        <v>1</v>
      </c>
      <c r="P727" t="s">
        <v>45</v>
      </c>
      <c r="Q727">
        <v>2</v>
      </c>
      <c r="R727" t="s">
        <v>47</v>
      </c>
      <c r="S727">
        <v>3743</v>
      </c>
      <c r="T727">
        <v>10074</v>
      </c>
      <c r="U727">
        <v>1</v>
      </c>
      <c r="V727" t="s">
        <v>31</v>
      </c>
      <c r="W727">
        <v>24</v>
      </c>
      <c r="X727">
        <v>4</v>
      </c>
      <c r="Y727">
        <v>4</v>
      </c>
      <c r="Z727">
        <v>1</v>
      </c>
      <c r="AA727">
        <v>5</v>
      </c>
      <c r="AB727" t="str">
        <f>IF(Table2[[#This Row],[TotalWorkingYears]]&lt;=5,"Early (0-5)",IF(Table2[[#This Row],[TotalWorkingYears]]&lt;=15,"Mid (6-15)","Senior (16+)"))</f>
        <v>Early (0-5)</v>
      </c>
      <c r="AC727">
        <v>2</v>
      </c>
      <c r="AD727">
        <v>1</v>
      </c>
      <c r="AE727" t="s">
        <v>64</v>
      </c>
      <c r="AF727">
        <v>2</v>
      </c>
      <c r="AG727">
        <v>0</v>
      </c>
      <c r="AH727">
        <v>2</v>
      </c>
    </row>
    <row r="728" spans="1:34" x14ac:dyDescent="0.3">
      <c r="A728" t="s">
        <v>59</v>
      </c>
      <c r="B728">
        <v>0</v>
      </c>
      <c r="C728" t="s">
        <v>39</v>
      </c>
      <c r="D728">
        <v>853</v>
      </c>
      <c r="E728" t="s">
        <v>40</v>
      </c>
      <c r="F728">
        <v>1</v>
      </c>
      <c r="G728" t="str">
        <f>IF(Table2[[#This Row],[DistanceFromHome]]&lt;=5, "short", IF(Table2[[#This Row],[DistanceFromHome]]&lt;=15, "medium", "long"))</f>
        <v>short</v>
      </c>
      <c r="H728">
        <v>1</v>
      </c>
      <c r="I728" t="s">
        <v>34</v>
      </c>
      <c r="J728">
        <v>1011</v>
      </c>
      <c r="K728">
        <v>3</v>
      </c>
      <c r="L728" t="s">
        <v>35</v>
      </c>
      <c r="M728">
        <v>96</v>
      </c>
      <c r="N728">
        <v>3</v>
      </c>
      <c r="O728">
        <v>2</v>
      </c>
      <c r="P728" t="s">
        <v>48</v>
      </c>
      <c r="Q728">
        <v>1</v>
      </c>
      <c r="R728" t="s">
        <v>43</v>
      </c>
      <c r="S728">
        <v>4148</v>
      </c>
      <c r="T728">
        <v>11275</v>
      </c>
      <c r="U728">
        <v>1</v>
      </c>
      <c r="V728" t="s">
        <v>38</v>
      </c>
      <c r="W728">
        <v>12</v>
      </c>
      <c r="X728">
        <v>3</v>
      </c>
      <c r="Y728">
        <v>3</v>
      </c>
      <c r="Z728">
        <v>1</v>
      </c>
      <c r="AA728">
        <v>4</v>
      </c>
      <c r="AB728" t="str">
        <f>IF(Table2[[#This Row],[TotalWorkingYears]]&lt;=5,"Early (0-5)",IF(Table2[[#This Row],[TotalWorkingYears]]&lt;=15,"Mid (6-15)","Senior (16+)"))</f>
        <v>Early (0-5)</v>
      </c>
      <c r="AC728">
        <v>1</v>
      </c>
      <c r="AD728">
        <v>3</v>
      </c>
      <c r="AE728" t="s">
        <v>64</v>
      </c>
      <c r="AF728">
        <v>3</v>
      </c>
      <c r="AG728">
        <v>0</v>
      </c>
      <c r="AH728">
        <v>3</v>
      </c>
    </row>
    <row r="729" spans="1:34" x14ac:dyDescent="0.3">
      <c r="A729" t="s">
        <v>60</v>
      </c>
      <c r="B729">
        <v>0</v>
      </c>
      <c r="C729" t="s">
        <v>50</v>
      </c>
      <c r="D729">
        <v>287</v>
      </c>
      <c r="E729" t="s">
        <v>40</v>
      </c>
      <c r="F729">
        <v>5</v>
      </c>
      <c r="G729" t="str">
        <f>IF(Table2[[#This Row],[DistanceFromHome]]&lt;=5, "short", IF(Table2[[#This Row],[DistanceFromHome]]&lt;=15, "medium", "long"))</f>
        <v>short</v>
      </c>
      <c r="H729">
        <v>2</v>
      </c>
      <c r="I729" t="s">
        <v>34</v>
      </c>
      <c r="J729">
        <v>1012</v>
      </c>
      <c r="K729">
        <v>2</v>
      </c>
      <c r="L729" t="s">
        <v>41</v>
      </c>
      <c r="M729">
        <v>73</v>
      </c>
      <c r="N729">
        <v>3</v>
      </c>
      <c r="O729">
        <v>1</v>
      </c>
      <c r="P729" t="s">
        <v>42</v>
      </c>
      <c r="Q729">
        <v>4</v>
      </c>
      <c r="R729" t="s">
        <v>37</v>
      </c>
      <c r="S729">
        <v>1051</v>
      </c>
      <c r="T729">
        <v>13493</v>
      </c>
      <c r="U729">
        <v>1</v>
      </c>
      <c r="V729" t="s">
        <v>38</v>
      </c>
      <c r="W729">
        <v>15</v>
      </c>
      <c r="X729">
        <v>3</v>
      </c>
      <c r="Y729">
        <v>4</v>
      </c>
      <c r="Z729">
        <v>0</v>
      </c>
      <c r="AA729">
        <v>0</v>
      </c>
      <c r="AB729" t="str">
        <f>IF(Table2[[#This Row],[TotalWorkingYears]]&lt;=5,"Early (0-5)",IF(Table2[[#This Row],[TotalWorkingYears]]&lt;=15,"Mid (6-15)","Senior (16+)"))</f>
        <v>Early (0-5)</v>
      </c>
      <c r="AC729">
        <v>2</v>
      </c>
      <c r="AD729">
        <v>3</v>
      </c>
      <c r="AE729" t="s">
        <v>63</v>
      </c>
      <c r="AF729">
        <v>0</v>
      </c>
      <c r="AG729">
        <v>0</v>
      </c>
      <c r="AH729">
        <v>0</v>
      </c>
    </row>
    <row r="730" spans="1:34" x14ac:dyDescent="0.3">
      <c r="A730" t="s">
        <v>58</v>
      </c>
      <c r="B730">
        <v>0</v>
      </c>
      <c r="C730" t="s">
        <v>32</v>
      </c>
      <c r="D730">
        <v>1441</v>
      </c>
      <c r="E730" t="s">
        <v>40</v>
      </c>
      <c r="F730">
        <v>17</v>
      </c>
      <c r="G730" t="str">
        <f>IF(Table2[[#This Row],[DistanceFromHome]]&lt;=5, "short", IF(Table2[[#This Row],[DistanceFromHome]]&lt;=15, "medium", "long"))</f>
        <v>long</v>
      </c>
      <c r="H730">
        <v>3</v>
      </c>
      <c r="I730" t="s">
        <v>55</v>
      </c>
      <c r="J730">
        <v>1013</v>
      </c>
      <c r="K730">
        <v>3</v>
      </c>
      <c r="L730" t="s">
        <v>35</v>
      </c>
      <c r="M730">
        <v>56</v>
      </c>
      <c r="N730">
        <v>3</v>
      </c>
      <c r="O730">
        <v>3</v>
      </c>
      <c r="P730" t="s">
        <v>48</v>
      </c>
      <c r="Q730">
        <v>3</v>
      </c>
      <c r="R730" t="s">
        <v>43</v>
      </c>
      <c r="S730">
        <v>10739</v>
      </c>
      <c r="T730">
        <v>13943</v>
      </c>
      <c r="U730">
        <v>8</v>
      </c>
      <c r="V730" t="s">
        <v>38</v>
      </c>
      <c r="W730">
        <v>11</v>
      </c>
      <c r="X730">
        <v>3</v>
      </c>
      <c r="Y730">
        <v>3</v>
      </c>
      <c r="Z730">
        <v>1</v>
      </c>
      <c r="AA730">
        <v>22</v>
      </c>
      <c r="AB730" t="str">
        <f>IF(Table2[[#This Row],[TotalWorkingYears]]&lt;=5,"Early (0-5)",IF(Table2[[#This Row],[TotalWorkingYears]]&lt;=15,"Mid (6-15)","Senior (16+)"))</f>
        <v>Senior (16+)</v>
      </c>
      <c r="AC730">
        <v>2</v>
      </c>
      <c r="AD730">
        <v>3</v>
      </c>
      <c r="AE730" t="s">
        <v>62</v>
      </c>
      <c r="AF730">
        <v>7</v>
      </c>
      <c r="AG730">
        <v>0</v>
      </c>
      <c r="AH730">
        <v>8</v>
      </c>
    </row>
    <row r="731" spans="1:34" x14ac:dyDescent="0.3">
      <c r="A731" t="s">
        <v>59</v>
      </c>
      <c r="B731">
        <v>0</v>
      </c>
      <c r="C731" t="s">
        <v>32</v>
      </c>
      <c r="D731">
        <v>583</v>
      </c>
      <c r="E731" t="s">
        <v>40</v>
      </c>
      <c r="F731">
        <v>25</v>
      </c>
      <c r="G731" t="str">
        <f>IF(Table2[[#This Row],[DistanceFromHome]]&lt;=5, "short", IF(Table2[[#This Row],[DistanceFromHome]]&lt;=15, "medium", "long"))</f>
        <v>long</v>
      </c>
      <c r="H731">
        <v>4</v>
      </c>
      <c r="I731" t="s">
        <v>46</v>
      </c>
      <c r="J731">
        <v>1014</v>
      </c>
      <c r="K731">
        <v>3</v>
      </c>
      <c r="L731" t="s">
        <v>35</v>
      </c>
      <c r="M731">
        <v>57</v>
      </c>
      <c r="N731">
        <v>3</v>
      </c>
      <c r="O731">
        <v>3</v>
      </c>
      <c r="P731" t="s">
        <v>49</v>
      </c>
      <c r="Q731">
        <v>3</v>
      </c>
      <c r="R731" t="s">
        <v>47</v>
      </c>
      <c r="S731">
        <v>10388</v>
      </c>
      <c r="T731">
        <v>6975</v>
      </c>
      <c r="U731">
        <v>1</v>
      </c>
      <c r="V731" t="s">
        <v>31</v>
      </c>
      <c r="W731">
        <v>11</v>
      </c>
      <c r="X731">
        <v>3</v>
      </c>
      <c r="Y731">
        <v>3</v>
      </c>
      <c r="Z731">
        <v>1</v>
      </c>
      <c r="AA731">
        <v>16</v>
      </c>
      <c r="AB731" t="str">
        <f>IF(Table2[[#This Row],[TotalWorkingYears]]&lt;=5,"Early (0-5)",IF(Table2[[#This Row],[TotalWorkingYears]]&lt;=15,"Mid (6-15)","Senior (16+)"))</f>
        <v>Senior (16+)</v>
      </c>
      <c r="AC731">
        <v>3</v>
      </c>
      <c r="AD731">
        <v>2</v>
      </c>
      <c r="AE731" t="s">
        <v>65</v>
      </c>
      <c r="AF731">
        <v>10</v>
      </c>
      <c r="AG731">
        <v>10</v>
      </c>
      <c r="AH731">
        <v>1</v>
      </c>
    </row>
    <row r="732" spans="1:34" x14ac:dyDescent="0.3">
      <c r="A732" t="s">
        <v>59</v>
      </c>
      <c r="B732">
        <v>0</v>
      </c>
      <c r="C732" t="s">
        <v>32</v>
      </c>
      <c r="D732">
        <v>153</v>
      </c>
      <c r="E732" t="s">
        <v>40</v>
      </c>
      <c r="F732">
        <v>8</v>
      </c>
      <c r="G732" t="str">
        <f>IF(Table2[[#This Row],[DistanceFromHome]]&lt;=5, "short", IF(Table2[[#This Row],[DistanceFromHome]]&lt;=15, "medium", "long"))</f>
        <v>medium</v>
      </c>
      <c r="H732">
        <v>2</v>
      </c>
      <c r="I732" t="s">
        <v>34</v>
      </c>
      <c r="J732">
        <v>1015</v>
      </c>
      <c r="K732">
        <v>2</v>
      </c>
      <c r="L732" t="s">
        <v>35</v>
      </c>
      <c r="M732">
        <v>73</v>
      </c>
      <c r="N732">
        <v>4</v>
      </c>
      <c r="O732">
        <v>3</v>
      </c>
      <c r="P732" t="s">
        <v>53</v>
      </c>
      <c r="Q732">
        <v>1</v>
      </c>
      <c r="R732" t="s">
        <v>43</v>
      </c>
      <c r="S732">
        <v>11416</v>
      </c>
      <c r="T732">
        <v>17802</v>
      </c>
      <c r="U732">
        <v>0</v>
      </c>
      <c r="V732" t="s">
        <v>31</v>
      </c>
      <c r="W732">
        <v>12</v>
      </c>
      <c r="X732">
        <v>3</v>
      </c>
      <c r="Y732">
        <v>3</v>
      </c>
      <c r="Z732">
        <v>3</v>
      </c>
      <c r="AA732">
        <v>9</v>
      </c>
      <c r="AB732" t="str">
        <f>IF(Table2[[#This Row],[TotalWorkingYears]]&lt;=5,"Early (0-5)",IF(Table2[[#This Row],[TotalWorkingYears]]&lt;=15,"Mid (6-15)","Senior (16+)"))</f>
        <v>Mid (6-15)</v>
      </c>
      <c r="AC732">
        <v>4</v>
      </c>
      <c r="AD732">
        <v>2</v>
      </c>
      <c r="AE732" t="s">
        <v>62</v>
      </c>
      <c r="AF732">
        <v>7</v>
      </c>
      <c r="AG732">
        <v>1</v>
      </c>
      <c r="AH732">
        <v>7</v>
      </c>
    </row>
    <row r="733" spans="1:34" x14ac:dyDescent="0.3">
      <c r="A733" t="s">
        <v>60</v>
      </c>
      <c r="B733">
        <v>1</v>
      </c>
      <c r="C733" t="s">
        <v>32</v>
      </c>
      <c r="D733">
        <v>1097</v>
      </c>
      <c r="E733" t="s">
        <v>40</v>
      </c>
      <c r="F733">
        <v>11</v>
      </c>
      <c r="G733" t="str">
        <f>IF(Table2[[#This Row],[DistanceFromHome]]&lt;=5, "short", IF(Table2[[#This Row],[DistanceFromHome]]&lt;=15, "medium", "long"))</f>
        <v>medium</v>
      </c>
      <c r="H733">
        <v>3</v>
      </c>
      <c r="I733" t="s">
        <v>46</v>
      </c>
      <c r="J733">
        <v>1016</v>
      </c>
      <c r="K733">
        <v>4</v>
      </c>
      <c r="L733" t="s">
        <v>35</v>
      </c>
      <c r="M733">
        <v>98</v>
      </c>
      <c r="N733">
        <v>2</v>
      </c>
      <c r="O733">
        <v>1</v>
      </c>
      <c r="P733" t="s">
        <v>42</v>
      </c>
      <c r="Q733">
        <v>1</v>
      </c>
      <c r="R733" t="s">
        <v>37</v>
      </c>
      <c r="S733">
        <v>2600</v>
      </c>
      <c r="T733">
        <v>18275</v>
      </c>
      <c r="U733">
        <v>1</v>
      </c>
      <c r="V733" t="s">
        <v>31</v>
      </c>
      <c r="W733">
        <v>15</v>
      </c>
      <c r="X733">
        <v>3</v>
      </c>
      <c r="Y733">
        <v>1</v>
      </c>
      <c r="Z733">
        <v>0</v>
      </c>
      <c r="AA733">
        <v>1</v>
      </c>
      <c r="AB733" t="str">
        <f>IF(Table2[[#This Row],[TotalWorkingYears]]&lt;=5,"Early (0-5)",IF(Table2[[#This Row],[TotalWorkingYears]]&lt;=15,"Mid (6-15)","Senior (16+)"))</f>
        <v>Early (0-5)</v>
      </c>
      <c r="AC733">
        <v>2</v>
      </c>
      <c r="AD733">
        <v>3</v>
      </c>
      <c r="AE733" t="s">
        <v>63</v>
      </c>
      <c r="AF733">
        <v>0</v>
      </c>
      <c r="AG733">
        <v>0</v>
      </c>
      <c r="AH733">
        <v>0</v>
      </c>
    </row>
    <row r="734" spans="1:34" x14ac:dyDescent="0.3">
      <c r="A734" t="s">
        <v>59</v>
      </c>
      <c r="B734">
        <v>1</v>
      </c>
      <c r="C734" t="s">
        <v>39</v>
      </c>
      <c r="D734">
        <v>109</v>
      </c>
      <c r="E734" t="s">
        <v>40</v>
      </c>
      <c r="F734">
        <v>5</v>
      </c>
      <c r="G734" t="str">
        <f>IF(Table2[[#This Row],[DistanceFromHome]]&lt;=5, "short", IF(Table2[[#This Row],[DistanceFromHome]]&lt;=15, "medium", "long"))</f>
        <v>short</v>
      </c>
      <c r="H734">
        <v>3</v>
      </c>
      <c r="I734" t="s">
        <v>46</v>
      </c>
      <c r="J734">
        <v>1017</v>
      </c>
      <c r="K734">
        <v>2</v>
      </c>
      <c r="L734" t="s">
        <v>35</v>
      </c>
      <c r="M734">
        <v>60</v>
      </c>
      <c r="N734">
        <v>3</v>
      </c>
      <c r="O734">
        <v>1</v>
      </c>
      <c r="P734" t="s">
        <v>45</v>
      </c>
      <c r="Q734">
        <v>2</v>
      </c>
      <c r="R734" t="s">
        <v>37</v>
      </c>
      <c r="S734">
        <v>2422</v>
      </c>
      <c r="T734">
        <v>25725</v>
      </c>
      <c r="U734">
        <v>0</v>
      </c>
      <c r="V734" t="s">
        <v>38</v>
      </c>
      <c r="W734">
        <v>17</v>
      </c>
      <c r="X734">
        <v>3</v>
      </c>
      <c r="Y734">
        <v>1</v>
      </c>
      <c r="Z734">
        <v>0</v>
      </c>
      <c r="AA734">
        <v>4</v>
      </c>
      <c r="AB734" t="str">
        <f>IF(Table2[[#This Row],[TotalWorkingYears]]&lt;=5,"Early (0-5)",IF(Table2[[#This Row],[TotalWorkingYears]]&lt;=15,"Mid (6-15)","Senior (16+)"))</f>
        <v>Early (0-5)</v>
      </c>
      <c r="AC734">
        <v>3</v>
      </c>
      <c r="AD734">
        <v>3</v>
      </c>
      <c r="AE734" t="s">
        <v>64</v>
      </c>
      <c r="AF734">
        <v>2</v>
      </c>
      <c r="AG734">
        <v>1</v>
      </c>
      <c r="AH734">
        <v>2</v>
      </c>
    </row>
    <row r="735" spans="1:34" x14ac:dyDescent="0.3">
      <c r="A735" t="s">
        <v>59</v>
      </c>
      <c r="B735">
        <v>0</v>
      </c>
      <c r="C735" t="s">
        <v>32</v>
      </c>
      <c r="D735">
        <v>1066</v>
      </c>
      <c r="E735" t="s">
        <v>40</v>
      </c>
      <c r="F735">
        <v>2</v>
      </c>
      <c r="G735" t="str">
        <f>IF(Table2[[#This Row],[DistanceFromHome]]&lt;=5, "short", IF(Table2[[#This Row],[DistanceFromHome]]&lt;=15, "medium", "long"))</f>
        <v>short</v>
      </c>
      <c r="H735">
        <v>2</v>
      </c>
      <c r="I735" t="s">
        <v>46</v>
      </c>
      <c r="J735">
        <v>1018</v>
      </c>
      <c r="K735">
        <v>4</v>
      </c>
      <c r="L735" t="s">
        <v>41</v>
      </c>
      <c r="M735">
        <v>32</v>
      </c>
      <c r="N735">
        <v>4</v>
      </c>
      <c r="O735">
        <v>2</v>
      </c>
      <c r="P735" t="s">
        <v>48</v>
      </c>
      <c r="Q735">
        <v>4</v>
      </c>
      <c r="R735" t="s">
        <v>43</v>
      </c>
      <c r="S735">
        <v>5472</v>
      </c>
      <c r="T735">
        <v>3334</v>
      </c>
      <c r="U735">
        <v>1</v>
      </c>
      <c r="V735" t="s">
        <v>38</v>
      </c>
      <c r="W735">
        <v>12</v>
      </c>
      <c r="X735">
        <v>3</v>
      </c>
      <c r="Y735">
        <v>2</v>
      </c>
      <c r="Z735">
        <v>0</v>
      </c>
      <c r="AA735">
        <v>8</v>
      </c>
      <c r="AB735" t="str">
        <f>IF(Table2[[#This Row],[TotalWorkingYears]]&lt;=5,"Early (0-5)",IF(Table2[[#This Row],[TotalWorkingYears]]&lt;=15,"Mid (6-15)","Senior (16+)"))</f>
        <v>Mid (6-15)</v>
      </c>
      <c r="AC735">
        <v>2</v>
      </c>
      <c r="AD735">
        <v>3</v>
      </c>
      <c r="AE735" t="s">
        <v>62</v>
      </c>
      <c r="AF735">
        <v>7</v>
      </c>
      <c r="AG735">
        <v>1</v>
      </c>
      <c r="AH735">
        <v>3</v>
      </c>
    </row>
    <row r="736" spans="1:34" x14ac:dyDescent="0.3">
      <c r="A736" t="s">
        <v>60</v>
      </c>
      <c r="B736">
        <v>0</v>
      </c>
      <c r="C736" t="s">
        <v>32</v>
      </c>
      <c r="D736">
        <v>217</v>
      </c>
      <c r="E736" t="s">
        <v>40</v>
      </c>
      <c r="F736">
        <v>8</v>
      </c>
      <c r="G736" t="str">
        <f>IF(Table2[[#This Row],[DistanceFromHome]]&lt;=5, "short", IF(Table2[[#This Row],[DistanceFromHome]]&lt;=15, "medium", "long"))</f>
        <v>medium</v>
      </c>
      <c r="H736">
        <v>1</v>
      </c>
      <c r="I736" t="s">
        <v>34</v>
      </c>
      <c r="J736">
        <v>1019</v>
      </c>
      <c r="K736">
        <v>2</v>
      </c>
      <c r="L736" t="s">
        <v>41</v>
      </c>
      <c r="M736">
        <v>94</v>
      </c>
      <c r="N736">
        <v>1</v>
      </c>
      <c r="O736">
        <v>1</v>
      </c>
      <c r="P736" t="s">
        <v>45</v>
      </c>
      <c r="Q736">
        <v>1</v>
      </c>
      <c r="R736" t="s">
        <v>43</v>
      </c>
      <c r="S736">
        <v>2451</v>
      </c>
      <c r="T736">
        <v>6881</v>
      </c>
      <c r="U736">
        <v>1</v>
      </c>
      <c r="V736" t="s">
        <v>38</v>
      </c>
      <c r="W736">
        <v>15</v>
      </c>
      <c r="X736">
        <v>3</v>
      </c>
      <c r="Y736">
        <v>1</v>
      </c>
      <c r="Z736">
        <v>1</v>
      </c>
      <c r="AA736">
        <v>4</v>
      </c>
      <c r="AB736" t="str">
        <f>IF(Table2[[#This Row],[TotalWorkingYears]]&lt;=5,"Early (0-5)",IF(Table2[[#This Row],[TotalWorkingYears]]&lt;=15,"Mid (6-15)","Senior (16+)"))</f>
        <v>Early (0-5)</v>
      </c>
      <c r="AC736">
        <v>3</v>
      </c>
      <c r="AD736">
        <v>2</v>
      </c>
      <c r="AE736" t="s">
        <v>64</v>
      </c>
      <c r="AF736">
        <v>3</v>
      </c>
      <c r="AG736">
        <v>1</v>
      </c>
      <c r="AH736">
        <v>1</v>
      </c>
    </row>
    <row r="737" spans="1:34" x14ac:dyDescent="0.3">
      <c r="A737" t="s">
        <v>58</v>
      </c>
      <c r="B737">
        <v>0</v>
      </c>
      <c r="C737" t="s">
        <v>32</v>
      </c>
      <c r="D737">
        <v>277</v>
      </c>
      <c r="E737" t="s">
        <v>40</v>
      </c>
      <c r="F737">
        <v>6</v>
      </c>
      <c r="G737" t="str">
        <f>IF(Table2[[#This Row],[DistanceFromHome]]&lt;=5, "short", IF(Table2[[#This Row],[DistanceFromHome]]&lt;=15, "medium", "long"))</f>
        <v>medium</v>
      </c>
      <c r="H737">
        <v>3</v>
      </c>
      <c r="I737" t="s">
        <v>34</v>
      </c>
      <c r="J737">
        <v>1022</v>
      </c>
      <c r="K737">
        <v>1</v>
      </c>
      <c r="L737" t="s">
        <v>41</v>
      </c>
      <c r="M737">
        <v>97</v>
      </c>
      <c r="N737">
        <v>2</v>
      </c>
      <c r="O737">
        <v>2</v>
      </c>
      <c r="P737" t="s">
        <v>49</v>
      </c>
      <c r="Q737">
        <v>3</v>
      </c>
      <c r="R737" t="s">
        <v>37</v>
      </c>
      <c r="S737">
        <v>4240</v>
      </c>
      <c r="T737">
        <v>13119</v>
      </c>
      <c r="U737">
        <v>2</v>
      </c>
      <c r="V737" t="s">
        <v>38</v>
      </c>
      <c r="W737">
        <v>13</v>
      </c>
      <c r="X737">
        <v>3</v>
      </c>
      <c r="Y737">
        <v>4</v>
      </c>
      <c r="Z737">
        <v>0</v>
      </c>
      <c r="AA737">
        <v>19</v>
      </c>
      <c r="AB737" t="str">
        <f>IF(Table2[[#This Row],[TotalWorkingYears]]&lt;=5,"Early (0-5)",IF(Table2[[#This Row],[TotalWorkingYears]]&lt;=15,"Mid (6-15)","Senior (16+)"))</f>
        <v>Senior (16+)</v>
      </c>
      <c r="AC737">
        <v>0</v>
      </c>
      <c r="AD737">
        <v>3</v>
      </c>
      <c r="AE737" t="s">
        <v>63</v>
      </c>
      <c r="AF737">
        <v>2</v>
      </c>
      <c r="AG737">
        <v>2</v>
      </c>
      <c r="AH737">
        <v>2</v>
      </c>
    </row>
    <row r="738" spans="1:34" x14ac:dyDescent="0.3">
      <c r="A738" t="s">
        <v>58</v>
      </c>
      <c r="B738">
        <v>0</v>
      </c>
      <c r="C738" t="s">
        <v>32</v>
      </c>
      <c r="D738">
        <v>1355</v>
      </c>
      <c r="E738" t="s">
        <v>40</v>
      </c>
      <c r="F738">
        <v>4</v>
      </c>
      <c r="G738" t="str">
        <f>IF(Table2[[#This Row],[DistanceFromHome]]&lt;=5, "short", IF(Table2[[#This Row],[DistanceFromHome]]&lt;=15, "medium", "long"))</f>
        <v>short</v>
      </c>
      <c r="H738">
        <v>4</v>
      </c>
      <c r="I738" t="s">
        <v>34</v>
      </c>
      <c r="J738">
        <v>1024</v>
      </c>
      <c r="K738">
        <v>3</v>
      </c>
      <c r="L738" t="s">
        <v>41</v>
      </c>
      <c r="M738">
        <v>78</v>
      </c>
      <c r="N738">
        <v>2</v>
      </c>
      <c r="O738">
        <v>3</v>
      </c>
      <c r="P738" t="s">
        <v>49</v>
      </c>
      <c r="Q738">
        <v>3</v>
      </c>
      <c r="R738" t="s">
        <v>37</v>
      </c>
      <c r="S738">
        <v>10999</v>
      </c>
      <c r="T738">
        <v>22245</v>
      </c>
      <c r="U738">
        <v>7</v>
      </c>
      <c r="V738" t="s">
        <v>38</v>
      </c>
      <c r="W738">
        <v>14</v>
      </c>
      <c r="X738">
        <v>3</v>
      </c>
      <c r="Y738">
        <v>2</v>
      </c>
      <c r="Z738">
        <v>0</v>
      </c>
      <c r="AA738">
        <v>27</v>
      </c>
      <c r="AB738" t="str">
        <f>IF(Table2[[#This Row],[TotalWorkingYears]]&lt;=5,"Early (0-5)",IF(Table2[[#This Row],[TotalWorkingYears]]&lt;=15,"Mid (6-15)","Senior (16+)"))</f>
        <v>Senior (16+)</v>
      </c>
      <c r="AC738">
        <v>3</v>
      </c>
      <c r="AD738">
        <v>3</v>
      </c>
      <c r="AE738" t="s">
        <v>65</v>
      </c>
      <c r="AF738">
        <v>11</v>
      </c>
      <c r="AG738">
        <v>4</v>
      </c>
      <c r="AH738">
        <v>8</v>
      </c>
    </row>
    <row r="739" spans="1:34" x14ac:dyDescent="0.3">
      <c r="A739" t="s">
        <v>57</v>
      </c>
      <c r="B739">
        <v>0</v>
      </c>
      <c r="C739" t="s">
        <v>32</v>
      </c>
      <c r="D739">
        <v>549</v>
      </c>
      <c r="E739" t="s">
        <v>40</v>
      </c>
      <c r="F739">
        <v>7</v>
      </c>
      <c r="G739" t="str">
        <f>IF(Table2[[#This Row],[DistanceFromHome]]&lt;=5, "short", IF(Table2[[#This Row],[DistanceFromHome]]&lt;=15, "medium", "long"))</f>
        <v>medium</v>
      </c>
      <c r="H739">
        <v>2</v>
      </c>
      <c r="I739" t="s">
        <v>46</v>
      </c>
      <c r="J739">
        <v>1025</v>
      </c>
      <c r="K739">
        <v>4</v>
      </c>
      <c r="L739" t="s">
        <v>35</v>
      </c>
      <c r="M739">
        <v>42</v>
      </c>
      <c r="N739">
        <v>3</v>
      </c>
      <c r="O739">
        <v>2</v>
      </c>
      <c r="P739" t="s">
        <v>48</v>
      </c>
      <c r="Q739">
        <v>3</v>
      </c>
      <c r="R739" t="s">
        <v>37</v>
      </c>
      <c r="S739">
        <v>5003</v>
      </c>
      <c r="T739">
        <v>23371</v>
      </c>
      <c r="U739">
        <v>6</v>
      </c>
      <c r="V739" t="s">
        <v>38</v>
      </c>
      <c r="W739">
        <v>14</v>
      </c>
      <c r="X739">
        <v>3</v>
      </c>
      <c r="Y739">
        <v>2</v>
      </c>
      <c r="Z739">
        <v>0</v>
      </c>
      <c r="AA739">
        <v>8</v>
      </c>
      <c r="AB739" t="str">
        <f>IF(Table2[[#This Row],[TotalWorkingYears]]&lt;=5,"Early (0-5)",IF(Table2[[#This Row],[TotalWorkingYears]]&lt;=15,"Mid (6-15)","Senior (16+)"))</f>
        <v>Mid (6-15)</v>
      </c>
      <c r="AC739">
        <v>6</v>
      </c>
      <c r="AD739">
        <v>3</v>
      </c>
      <c r="AE739" t="s">
        <v>63</v>
      </c>
      <c r="AF739">
        <v>2</v>
      </c>
      <c r="AG739">
        <v>2</v>
      </c>
      <c r="AH739">
        <v>1</v>
      </c>
    </row>
    <row r="740" spans="1:34" x14ac:dyDescent="0.3">
      <c r="A740" t="s">
        <v>57</v>
      </c>
      <c r="B740">
        <v>0</v>
      </c>
      <c r="C740" t="s">
        <v>32</v>
      </c>
      <c r="D740">
        <v>466</v>
      </c>
      <c r="E740" t="s">
        <v>40</v>
      </c>
      <c r="F740">
        <v>1</v>
      </c>
      <c r="G740" t="str">
        <f>IF(Table2[[#This Row],[DistanceFromHome]]&lt;=5, "short", IF(Table2[[#This Row],[DistanceFromHome]]&lt;=15, "medium", "long"))</f>
        <v>short</v>
      </c>
      <c r="H740">
        <v>1</v>
      </c>
      <c r="I740" t="s">
        <v>34</v>
      </c>
      <c r="J740">
        <v>1026</v>
      </c>
      <c r="K740">
        <v>4</v>
      </c>
      <c r="L740" t="s">
        <v>35</v>
      </c>
      <c r="M740">
        <v>65</v>
      </c>
      <c r="N740">
        <v>2</v>
      </c>
      <c r="O740">
        <v>4</v>
      </c>
      <c r="P740" t="s">
        <v>48</v>
      </c>
      <c r="Q740">
        <v>4</v>
      </c>
      <c r="R740" t="s">
        <v>43</v>
      </c>
      <c r="S740">
        <v>12742</v>
      </c>
      <c r="T740">
        <v>7060</v>
      </c>
      <c r="U740">
        <v>1</v>
      </c>
      <c r="V740" t="s">
        <v>38</v>
      </c>
      <c r="W740">
        <v>16</v>
      </c>
      <c r="X740">
        <v>3</v>
      </c>
      <c r="Y740">
        <v>3</v>
      </c>
      <c r="Z740">
        <v>1</v>
      </c>
      <c r="AA740">
        <v>21</v>
      </c>
      <c r="AB740" t="str">
        <f>IF(Table2[[#This Row],[TotalWorkingYears]]&lt;=5,"Early (0-5)",IF(Table2[[#This Row],[TotalWorkingYears]]&lt;=15,"Mid (6-15)","Senior (16+)"))</f>
        <v>Senior (16+)</v>
      </c>
      <c r="AC740">
        <v>3</v>
      </c>
      <c r="AD740">
        <v>3</v>
      </c>
      <c r="AE740" t="s">
        <v>65</v>
      </c>
      <c r="AF740">
        <v>6</v>
      </c>
      <c r="AG740">
        <v>11</v>
      </c>
      <c r="AH740">
        <v>8</v>
      </c>
    </row>
    <row r="741" spans="1:34" x14ac:dyDescent="0.3">
      <c r="A741" t="s">
        <v>59</v>
      </c>
      <c r="B741">
        <v>0</v>
      </c>
      <c r="C741" t="s">
        <v>32</v>
      </c>
      <c r="D741">
        <v>1055</v>
      </c>
      <c r="E741" t="s">
        <v>40</v>
      </c>
      <c r="F741">
        <v>2</v>
      </c>
      <c r="G741" t="str">
        <f>IF(Table2[[#This Row],[DistanceFromHome]]&lt;=5, "short", IF(Table2[[#This Row],[DistanceFromHome]]&lt;=15, "medium", "long"))</f>
        <v>short</v>
      </c>
      <c r="H741">
        <v>4</v>
      </c>
      <c r="I741" t="s">
        <v>34</v>
      </c>
      <c r="J741">
        <v>1027</v>
      </c>
      <c r="K741">
        <v>1</v>
      </c>
      <c r="L741" t="s">
        <v>35</v>
      </c>
      <c r="M741">
        <v>47</v>
      </c>
      <c r="N741">
        <v>3</v>
      </c>
      <c r="O741">
        <v>2</v>
      </c>
      <c r="P741" t="s">
        <v>48</v>
      </c>
      <c r="Q741">
        <v>4</v>
      </c>
      <c r="R741" t="s">
        <v>43</v>
      </c>
      <c r="S741">
        <v>4227</v>
      </c>
      <c r="T741">
        <v>4658</v>
      </c>
      <c r="U741">
        <v>0</v>
      </c>
      <c r="V741" t="s">
        <v>38</v>
      </c>
      <c r="W741">
        <v>18</v>
      </c>
      <c r="X741">
        <v>3</v>
      </c>
      <c r="Y741">
        <v>2</v>
      </c>
      <c r="Z741">
        <v>1</v>
      </c>
      <c r="AA741">
        <v>4</v>
      </c>
      <c r="AB741" t="str">
        <f>IF(Table2[[#This Row],[TotalWorkingYears]]&lt;=5,"Early (0-5)",IF(Table2[[#This Row],[TotalWorkingYears]]&lt;=15,"Mid (6-15)","Senior (16+)"))</f>
        <v>Early (0-5)</v>
      </c>
      <c r="AC741">
        <v>2</v>
      </c>
      <c r="AD741">
        <v>3</v>
      </c>
      <c r="AE741" t="s">
        <v>64</v>
      </c>
      <c r="AF741">
        <v>2</v>
      </c>
      <c r="AG741">
        <v>2</v>
      </c>
      <c r="AH741">
        <v>2</v>
      </c>
    </row>
    <row r="742" spans="1:34" x14ac:dyDescent="0.3">
      <c r="A742" t="s">
        <v>59</v>
      </c>
      <c r="B742">
        <v>0</v>
      </c>
      <c r="C742" t="s">
        <v>32</v>
      </c>
      <c r="D742">
        <v>802</v>
      </c>
      <c r="E742" t="s">
        <v>40</v>
      </c>
      <c r="F742">
        <v>10</v>
      </c>
      <c r="G742" t="str">
        <f>IF(Table2[[#This Row],[DistanceFromHome]]&lt;=5, "short", IF(Table2[[#This Row],[DistanceFromHome]]&lt;=15, "medium", "long"))</f>
        <v>medium</v>
      </c>
      <c r="H742">
        <v>3</v>
      </c>
      <c r="I742" t="s">
        <v>44</v>
      </c>
      <c r="J742">
        <v>1028</v>
      </c>
      <c r="K742">
        <v>2</v>
      </c>
      <c r="L742" t="s">
        <v>41</v>
      </c>
      <c r="M742">
        <v>45</v>
      </c>
      <c r="N742">
        <v>3</v>
      </c>
      <c r="O742">
        <v>1</v>
      </c>
      <c r="P742" t="s">
        <v>45</v>
      </c>
      <c r="Q742">
        <v>4</v>
      </c>
      <c r="R742" t="s">
        <v>47</v>
      </c>
      <c r="S742">
        <v>3917</v>
      </c>
      <c r="T742">
        <v>9541</v>
      </c>
      <c r="U742">
        <v>1</v>
      </c>
      <c r="V742" t="s">
        <v>38</v>
      </c>
      <c r="W742">
        <v>20</v>
      </c>
      <c r="X742">
        <v>4</v>
      </c>
      <c r="Y742">
        <v>1</v>
      </c>
      <c r="Z742">
        <v>1</v>
      </c>
      <c r="AA742">
        <v>3</v>
      </c>
      <c r="AB742" t="str">
        <f>IF(Table2[[#This Row],[TotalWorkingYears]]&lt;=5,"Early (0-5)",IF(Table2[[#This Row],[TotalWorkingYears]]&lt;=15,"Mid (6-15)","Senior (16+)"))</f>
        <v>Early (0-5)</v>
      </c>
      <c r="AC742">
        <v>4</v>
      </c>
      <c r="AD742">
        <v>2</v>
      </c>
      <c r="AE742" t="s">
        <v>64</v>
      </c>
      <c r="AF742">
        <v>2</v>
      </c>
      <c r="AG742">
        <v>1</v>
      </c>
      <c r="AH742">
        <v>2</v>
      </c>
    </row>
    <row r="743" spans="1:34" x14ac:dyDescent="0.3">
      <c r="A743" t="s">
        <v>57</v>
      </c>
      <c r="B743">
        <v>0</v>
      </c>
      <c r="C743" t="s">
        <v>32</v>
      </c>
      <c r="D743">
        <v>265</v>
      </c>
      <c r="E743" t="s">
        <v>33</v>
      </c>
      <c r="F743">
        <v>5</v>
      </c>
      <c r="G743" t="str">
        <f>IF(Table2[[#This Row],[DistanceFromHome]]&lt;=5, "short", IF(Table2[[#This Row],[DistanceFromHome]]&lt;=15, "medium", "long"))</f>
        <v>short</v>
      </c>
      <c r="H743">
        <v>2</v>
      </c>
      <c r="I743" t="s">
        <v>54</v>
      </c>
      <c r="J743">
        <v>1029</v>
      </c>
      <c r="K743">
        <v>4</v>
      </c>
      <c r="L743" t="s">
        <v>41</v>
      </c>
      <c r="M743">
        <v>90</v>
      </c>
      <c r="N743">
        <v>3</v>
      </c>
      <c r="O743">
        <v>5</v>
      </c>
      <c r="P743" t="s">
        <v>51</v>
      </c>
      <c r="Q743">
        <v>3</v>
      </c>
      <c r="R743" t="s">
        <v>43</v>
      </c>
      <c r="S743">
        <v>18303</v>
      </c>
      <c r="T743">
        <v>7770</v>
      </c>
      <c r="U743">
        <v>6</v>
      </c>
      <c r="V743" t="s">
        <v>38</v>
      </c>
      <c r="W743">
        <v>13</v>
      </c>
      <c r="X743">
        <v>3</v>
      </c>
      <c r="Y743">
        <v>2</v>
      </c>
      <c r="Z743">
        <v>0</v>
      </c>
      <c r="AA743">
        <v>21</v>
      </c>
      <c r="AB743" t="str">
        <f>IF(Table2[[#This Row],[TotalWorkingYears]]&lt;=5,"Early (0-5)",IF(Table2[[#This Row],[TotalWorkingYears]]&lt;=15,"Mid (6-15)","Senior (16+)"))</f>
        <v>Senior (16+)</v>
      </c>
      <c r="AC743">
        <v>3</v>
      </c>
      <c r="AD743">
        <v>4</v>
      </c>
      <c r="AE743" t="s">
        <v>63</v>
      </c>
      <c r="AF743">
        <v>0</v>
      </c>
      <c r="AG743">
        <v>0</v>
      </c>
      <c r="AH743">
        <v>0</v>
      </c>
    </row>
    <row r="744" spans="1:34" x14ac:dyDescent="0.3">
      <c r="A744" t="s">
        <v>58</v>
      </c>
      <c r="B744">
        <v>0</v>
      </c>
      <c r="C744" t="s">
        <v>32</v>
      </c>
      <c r="D744">
        <v>804</v>
      </c>
      <c r="E744" t="s">
        <v>40</v>
      </c>
      <c r="F744">
        <v>9</v>
      </c>
      <c r="G744" t="str">
        <f>IF(Table2[[#This Row],[DistanceFromHome]]&lt;=5, "short", IF(Table2[[#This Row],[DistanceFromHome]]&lt;=15, "medium", "long"))</f>
        <v>medium</v>
      </c>
      <c r="H744">
        <v>3</v>
      </c>
      <c r="I744" t="s">
        <v>34</v>
      </c>
      <c r="J744">
        <v>1030</v>
      </c>
      <c r="K744">
        <v>1</v>
      </c>
      <c r="L744" t="s">
        <v>41</v>
      </c>
      <c r="M744">
        <v>64</v>
      </c>
      <c r="N744">
        <v>3</v>
      </c>
      <c r="O744">
        <v>1</v>
      </c>
      <c r="P744" t="s">
        <v>45</v>
      </c>
      <c r="Q744">
        <v>4</v>
      </c>
      <c r="R744" t="s">
        <v>43</v>
      </c>
      <c r="S744">
        <v>2380</v>
      </c>
      <c r="T744">
        <v>20165</v>
      </c>
      <c r="U744">
        <v>4</v>
      </c>
      <c r="V744" t="s">
        <v>38</v>
      </c>
      <c r="W744">
        <v>18</v>
      </c>
      <c r="X744">
        <v>3</v>
      </c>
      <c r="Y744">
        <v>2</v>
      </c>
      <c r="Z744">
        <v>0</v>
      </c>
      <c r="AA744">
        <v>8</v>
      </c>
      <c r="AB744" t="str">
        <f>IF(Table2[[#This Row],[TotalWorkingYears]]&lt;=5,"Early (0-5)",IF(Table2[[#This Row],[TotalWorkingYears]]&lt;=15,"Mid (6-15)","Senior (16+)"))</f>
        <v>Mid (6-15)</v>
      </c>
      <c r="AC744">
        <v>5</v>
      </c>
      <c r="AD744">
        <v>3</v>
      </c>
      <c r="AE744" t="s">
        <v>63</v>
      </c>
      <c r="AF744">
        <v>0</v>
      </c>
      <c r="AG744">
        <v>0</v>
      </c>
      <c r="AH744">
        <v>0</v>
      </c>
    </row>
    <row r="745" spans="1:34" x14ac:dyDescent="0.3">
      <c r="A745" t="s">
        <v>58</v>
      </c>
      <c r="B745">
        <v>0</v>
      </c>
      <c r="C745" t="s">
        <v>32</v>
      </c>
      <c r="D745">
        <v>715</v>
      </c>
      <c r="E745" t="s">
        <v>40</v>
      </c>
      <c r="F745">
        <v>2</v>
      </c>
      <c r="G745" t="str">
        <f>IF(Table2[[#This Row],[DistanceFromHome]]&lt;=5, "short", IF(Table2[[#This Row],[DistanceFromHome]]&lt;=15, "medium", "long"))</f>
        <v>short</v>
      </c>
      <c r="H745">
        <v>3</v>
      </c>
      <c r="I745" t="s">
        <v>34</v>
      </c>
      <c r="J745">
        <v>1032</v>
      </c>
      <c r="K745">
        <v>3</v>
      </c>
      <c r="L745" t="s">
        <v>35</v>
      </c>
      <c r="M745">
        <v>69</v>
      </c>
      <c r="N745">
        <v>2</v>
      </c>
      <c r="O745">
        <v>4</v>
      </c>
      <c r="P745" t="s">
        <v>48</v>
      </c>
      <c r="Q745">
        <v>4</v>
      </c>
      <c r="R745" t="s">
        <v>37</v>
      </c>
      <c r="S745">
        <v>13726</v>
      </c>
      <c r="T745">
        <v>21829</v>
      </c>
      <c r="U745">
        <v>3</v>
      </c>
      <c r="V745" t="s">
        <v>31</v>
      </c>
      <c r="W745">
        <v>13</v>
      </c>
      <c r="X745">
        <v>3</v>
      </c>
      <c r="Y745">
        <v>1</v>
      </c>
      <c r="Z745">
        <v>0</v>
      </c>
      <c r="AA745">
        <v>30</v>
      </c>
      <c r="AB745" t="str">
        <f>IF(Table2[[#This Row],[TotalWorkingYears]]&lt;=5,"Early (0-5)",IF(Table2[[#This Row],[TotalWorkingYears]]&lt;=15,"Mid (6-15)","Senior (16+)"))</f>
        <v>Senior (16+)</v>
      </c>
      <c r="AC745">
        <v>4</v>
      </c>
      <c r="AD745">
        <v>3</v>
      </c>
      <c r="AE745" t="s">
        <v>64</v>
      </c>
      <c r="AF745">
        <v>3</v>
      </c>
      <c r="AG745">
        <v>4</v>
      </c>
      <c r="AH745">
        <v>3</v>
      </c>
    </row>
    <row r="746" spans="1:34" x14ac:dyDescent="0.3">
      <c r="A746" t="s">
        <v>57</v>
      </c>
      <c r="B746">
        <v>1</v>
      </c>
      <c r="C746" t="s">
        <v>32</v>
      </c>
      <c r="D746">
        <v>1141</v>
      </c>
      <c r="E746" t="s">
        <v>40</v>
      </c>
      <c r="F746">
        <v>11</v>
      </c>
      <c r="G746" t="str">
        <f>IF(Table2[[#This Row],[DistanceFromHome]]&lt;=5, "short", IF(Table2[[#This Row],[DistanceFromHome]]&lt;=15, "medium", "long"))</f>
        <v>medium</v>
      </c>
      <c r="H746">
        <v>2</v>
      </c>
      <c r="I746" t="s">
        <v>46</v>
      </c>
      <c r="J746">
        <v>1033</v>
      </c>
      <c r="K746">
        <v>1</v>
      </c>
      <c r="L746" t="s">
        <v>35</v>
      </c>
      <c r="M746">
        <v>61</v>
      </c>
      <c r="N746">
        <v>1</v>
      </c>
      <c r="O746">
        <v>2</v>
      </c>
      <c r="P746" t="s">
        <v>49</v>
      </c>
      <c r="Q746">
        <v>2</v>
      </c>
      <c r="R746" t="s">
        <v>43</v>
      </c>
      <c r="S746">
        <v>4777</v>
      </c>
      <c r="T746">
        <v>14382</v>
      </c>
      <c r="U746">
        <v>5</v>
      </c>
      <c r="V746" t="s">
        <v>38</v>
      </c>
      <c r="W746">
        <v>15</v>
      </c>
      <c r="X746">
        <v>3</v>
      </c>
      <c r="Y746">
        <v>1</v>
      </c>
      <c r="Z746">
        <v>0</v>
      </c>
      <c r="AA746">
        <v>15</v>
      </c>
      <c r="AB746" t="str">
        <f>IF(Table2[[#This Row],[TotalWorkingYears]]&lt;=5,"Early (0-5)",IF(Table2[[#This Row],[TotalWorkingYears]]&lt;=15,"Mid (6-15)","Senior (16+)"))</f>
        <v>Mid (6-15)</v>
      </c>
      <c r="AC746">
        <v>2</v>
      </c>
      <c r="AD746">
        <v>1</v>
      </c>
      <c r="AE746" t="s">
        <v>63</v>
      </c>
      <c r="AF746">
        <v>0</v>
      </c>
      <c r="AG746">
        <v>0</v>
      </c>
      <c r="AH746">
        <v>0</v>
      </c>
    </row>
    <row r="747" spans="1:34" x14ac:dyDescent="0.3">
      <c r="A747" t="s">
        <v>58</v>
      </c>
      <c r="B747">
        <v>0</v>
      </c>
      <c r="C747" t="s">
        <v>39</v>
      </c>
      <c r="D747">
        <v>135</v>
      </c>
      <c r="E747" t="s">
        <v>40</v>
      </c>
      <c r="F747">
        <v>18</v>
      </c>
      <c r="G747" t="str">
        <f>IF(Table2[[#This Row],[DistanceFromHome]]&lt;=5, "short", IF(Table2[[#This Row],[DistanceFromHome]]&lt;=15, "medium", "long"))</f>
        <v>long</v>
      </c>
      <c r="H747">
        <v>4</v>
      </c>
      <c r="I747" t="s">
        <v>46</v>
      </c>
      <c r="J747">
        <v>1034</v>
      </c>
      <c r="K747">
        <v>3</v>
      </c>
      <c r="L747" t="s">
        <v>41</v>
      </c>
      <c r="M747">
        <v>62</v>
      </c>
      <c r="N747">
        <v>3</v>
      </c>
      <c r="O747">
        <v>2</v>
      </c>
      <c r="P747" t="s">
        <v>49</v>
      </c>
      <c r="Q747">
        <v>2</v>
      </c>
      <c r="R747" t="s">
        <v>43</v>
      </c>
      <c r="S747">
        <v>6385</v>
      </c>
      <c r="T747">
        <v>12992</v>
      </c>
      <c r="U747">
        <v>3</v>
      </c>
      <c r="V747" t="s">
        <v>31</v>
      </c>
      <c r="W747">
        <v>14</v>
      </c>
      <c r="X747">
        <v>3</v>
      </c>
      <c r="Y747">
        <v>4</v>
      </c>
      <c r="Z747">
        <v>2</v>
      </c>
      <c r="AA747">
        <v>17</v>
      </c>
      <c r="AB747" t="str">
        <f>IF(Table2[[#This Row],[TotalWorkingYears]]&lt;=5,"Early (0-5)",IF(Table2[[#This Row],[TotalWorkingYears]]&lt;=15,"Mid (6-15)","Senior (16+)"))</f>
        <v>Senior (16+)</v>
      </c>
      <c r="AC747">
        <v>3</v>
      </c>
      <c r="AD747">
        <v>3</v>
      </c>
      <c r="AE747" t="s">
        <v>62</v>
      </c>
      <c r="AF747">
        <v>7</v>
      </c>
      <c r="AG747">
        <v>6</v>
      </c>
      <c r="AH747">
        <v>7</v>
      </c>
    </row>
    <row r="748" spans="1:34" x14ac:dyDescent="0.3">
      <c r="A748" t="s">
        <v>57</v>
      </c>
      <c r="B748">
        <v>0</v>
      </c>
      <c r="C748" t="s">
        <v>50</v>
      </c>
      <c r="D748">
        <v>247</v>
      </c>
      <c r="E748" t="s">
        <v>40</v>
      </c>
      <c r="F748">
        <v>7</v>
      </c>
      <c r="G748" t="str">
        <f>IF(Table2[[#This Row],[DistanceFromHome]]&lt;=5, "short", IF(Table2[[#This Row],[DistanceFromHome]]&lt;=15, "medium", "long"))</f>
        <v>medium</v>
      </c>
      <c r="H748">
        <v>1</v>
      </c>
      <c r="I748" t="s">
        <v>34</v>
      </c>
      <c r="J748">
        <v>1035</v>
      </c>
      <c r="K748">
        <v>2</v>
      </c>
      <c r="L748" t="s">
        <v>35</v>
      </c>
      <c r="M748">
        <v>55</v>
      </c>
      <c r="N748">
        <v>1</v>
      </c>
      <c r="O748">
        <v>5</v>
      </c>
      <c r="P748" t="s">
        <v>53</v>
      </c>
      <c r="Q748">
        <v>3</v>
      </c>
      <c r="R748" t="s">
        <v>47</v>
      </c>
      <c r="S748">
        <v>19973</v>
      </c>
      <c r="T748">
        <v>20284</v>
      </c>
      <c r="U748">
        <v>1</v>
      </c>
      <c r="V748" t="s">
        <v>38</v>
      </c>
      <c r="W748">
        <v>22</v>
      </c>
      <c r="X748">
        <v>4</v>
      </c>
      <c r="Y748">
        <v>2</v>
      </c>
      <c r="Z748">
        <v>2</v>
      </c>
      <c r="AA748">
        <v>21</v>
      </c>
      <c r="AB748" t="str">
        <f>IF(Table2[[#This Row],[TotalWorkingYears]]&lt;=5,"Early (0-5)",IF(Table2[[#This Row],[TotalWorkingYears]]&lt;=15,"Mid (6-15)","Senior (16+)"))</f>
        <v>Senior (16+)</v>
      </c>
      <c r="AC748">
        <v>3</v>
      </c>
      <c r="AD748">
        <v>3</v>
      </c>
      <c r="AE748" t="s">
        <v>65</v>
      </c>
      <c r="AF748">
        <v>16</v>
      </c>
      <c r="AG748">
        <v>5</v>
      </c>
      <c r="AH748">
        <v>10</v>
      </c>
    </row>
    <row r="749" spans="1:34" x14ac:dyDescent="0.3">
      <c r="A749" t="s">
        <v>57</v>
      </c>
      <c r="B749">
        <v>0</v>
      </c>
      <c r="C749" t="s">
        <v>32</v>
      </c>
      <c r="D749">
        <v>1035</v>
      </c>
      <c r="E749" t="s">
        <v>33</v>
      </c>
      <c r="F749">
        <v>3</v>
      </c>
      <c r="G749" t="str">
        <f>IF(Table2[[#This Row],[DistanceFromHome]]&lt;=5, "short", IF(Table2[[#This Row],[DistanceFromHome]]&lt;=15, "medium", "long"))</f>
        <v>short</v>
      </c>
      <c r="H749">
        <v>4</v>
      </c>
      <c r="I749" t="s">
        <v>34</v>
      </c>
      <c r="J749">
        <v>1036</v>
      </c>
      <c r="K749">
        <v>2</v>
      </c>
      <c r="L749" t="s">
        <v>41</v>
      </c>
      <c r="M749">
        <v>42</v>
      </c>
      <c r="N749">
        <v>3</v>
      </c>
      <c r="O749">
        <v>2</v>
      </c>
      <c r="P749" t="s">
        <v>36</v>
      </c>
      <c r="Q749">
        <v>4</v>
      </c>
      <c r="R749" t="s">
        <v>37</v>
      </c>
      <c r="S749">
        <v>6861</v>
      </c>
      <c r="T749">
        <v>4981</v>
      </c>
      <c r="U749">
        <v>8</v>
      </c>
      <c r="V749" t="s">
        <v>31</v>
      </c>
      <c r="W749">
        <v>12</v>
      </c>
      <c r="X749">
        <v>3</v>
      </c>
      <c r="Y749">
        <v>3</v>
      </c>
      <c r="Z749">
        <v>0</v>
      </c>
      <c r="AA749">
        <v>19</v>
      </c>
      <c r="AB749" t="str">
        <f>IF(Table2[[#This Row],[TotalWorkingYears]]&lt;=5,"Early (0-5)",IF(Table2[[#This Row],[TotalWorkingYears]]&lt;=15,"Mid (6-15)","Senior (16+)"))</f>
        <v>Senior (16+)</v>
      </c>
      <c r="AC749">
        <v>1</v>
      </c>
      <c r="AD749">
        <v>3</v>
      </c>
      <c r="AE749" t="s">
        <v>63</v>
      </c>
      <c r="AF749">
        <v>0</v>
      </c>
      <c r="AG749">
        <v>0</v>
      </c>
      <c r="AH749">
        <v>0</v>
      </c>
    </row>
    <row r="750" spans="1:34" x14ac:dyDescent="0.3">
      <c r="A750" t="s">
        <v>59</v>
      </c>
      <c r="B750">
        <v>1</v>
      </c>
      <c r="C750" t="s">
        <v>50</v>
      </c>
      <c r="D750">
        <v>265</v>
      </c>
      <c r="E750" t="s">
        <v>33</v>
      </c>
      <c r="F750">
        <v>29</v>
      </c>
      <c r="G750" t="str">
        <f>IF(Table2[[#This Row],[DistanceFromHome]]&lt;=5, "short", IF(Table2[[#This Row],[DistanceFromHome]]&lt;=15, "medium", "long"))</f>
        <v>long</v>
      </c>
      <c r="H750">
        <v>2</v>
      </c>
      <c r="I750" t="s">
        <v>46</v>
      </c>
      <c r="J750">
        <v>1037</v>
      </c>
      <c r="K750">
        <v>2</v>
      </c>
      <c r="L750" t="s">
        <v>41</v>
      </c>
      <c r="M750">
        <v>79</v>
      </c>
      <c r="N750">
        <v>1</v>
      </c>
      <c r="O750">
        <v>2</v>
      </c>
      <c r="P750" t="s">
        <v>36</v>
      </c>
      <c r="Q750">
        <v>1</v>
      </c>
      <c r="R750" t="s">
        <v>37</v>
      </c>
      <c r="S750">
        <v>4969</v>
      </c>
      <c r="T750">
        <v>21813</v>
      </c>
      <c r="U750">
        <v>8</v>
      </c>
      <c r="V750" t="s">
        <v>38</v>
      </c>
      <c r="W750">
        <v>18</v>
      </c>
      <c r="X750">
        <v>3</v>
      </c>
      <c r="Y750">
        <v>4</v>
      </c>
      <c r="Z750">
        <v>0</v>
      </c>
      <c r="AA750">
        <v>7</v>
      </c>
      <c r="AB750" t="str">
        <f>IF(Table2[[#This Row],[TotalWorkingYears]]&lt;=5,"Early (0-5)",IF(Table2[[#This Row],[TotalWorkingYears]]&lt;=15,"Mid (6-15)","Senior (16+)"))</f>
        <v>Mid (6-15)</v>
      </c>
      <c r="AC750">
        <v>6</v>
      </c>
      <c r="AD750">
        <v>3</v>
      </c>
      <c r="AE750" t="s">
        <v>63</v>
      </c>
      <c r="AF750">
        <v>2</v>
      </c>
      <c r="AG750">
        <v>2</v>
      </c>
      <c r="AH750">
        <v>2</v>
      </c>
    </row>
    <row r="751" spans="1:34" x14ac:dyDescent="0.3">
      <c r="A751" t="s">
        <v>58</v>
      </c>
      <c r="B751">
        <v>1</v>
      </c>
      <c r="C751" t="s">
        <v>32</v>
      </c>
      <c r="D751">
        <v>266</v>
      </c>
      <c r="E751" t="s">
        <v>33</v>
      </c>
      <c r="F751">
        <v>2</v>
      </c>
      <c r="G751" t="str">
        <f>IF(Table2[[#This Row],[DistanceFromHome]]&lt;=5, "short", IF(Table2[[#This Row],[DistanceFromHome]]&lt;=15, "medium", "long"))</f>
        <v>short</v>
      </c>
      <c r="H751">
        <v>1</v>
      </c>
      <c r="I751" t="s">
        <v>54</v>
      </c>
      <c r="J751">
        <v>1038</v>
      </c>
      <c r="K751">
        <v>1</v>
      </c>
      <c r="L751" t="s">
        <v>35</v>
      </c>
      <c r="M751">
        <v>57</v>
      </c>
      <c r="N751">
        <v>1</v>
      </c>
      <c r="O751">
        <v>5</v>
      </c>
      <c r="P751" t="s">
        <v>51</v>
      </c>
      <c r="Q751">
        <v>4</v>
      </c>
      <c r="R751" t="s">
        <v>43</v>
      </c>
      <c r="S751">
        <v>19845</v>
      </c>
      <c r="T751">
        <v>25846</v>
      </c>
      <c r="U751">
        <v>1</v>
      </c>
      <c r="V751" t="s">
        <v>38</v>
      </c>
      <c r="W751">
        <v>15</v>
      </c>
      <c r="X751">
        <v>3</v>
      </c>
      <c r="Y751">
        <v>4</v>
      </c>
      <c r="Z751">
        <v>1</v>
      </c>
      <c r="AA751">
        <v>33</v>
      </c>
      <c r="AB751" t="str">
        <f>IF(Table2[[#This Row],[TotalWorkingYears]]&lt;=5,"Early (0-5)",IF(Table2[[#This Row],[TotalWorkingYears]]&lt;=15,"Mid (6-15)","Senior (16+)"))</f>
        <v>Senior (16+)</v>
      </c>
      <c r="AC751">
        <v>3</v>
      </c>
      <c r="AD751">
        <v>3</v>
      </c>
      <c r="AE751" t="s">
        <v>65</v>
      </c>
      <c r="AF751">
        <v>14</v>
      </c>
      <c r="AG751">
        <v>6</v>
      </c>
      <c r="AH751">
        <v>9</v>
      </c>
    </row>
    <row r="752" spans="1:34" x14ac:dyDescent="0.3">
      <c r="A752" t="s">
        <v>57</v>
      </c>
      <c r="B752">
        <v>0</v>
      </c>
      <c r="C752" t="s">
        <v>32</v>
      </c>
      <c r="D752">
        <v>1448</v>
      </c>
      <c r="E752" t="s">
        <v>33</v>
      </c>
      <c r="F752">
        <v>28</v>
      </c>
      <c r="G752" t="str">
        <f>IF(Table2[[#This Row],[DistanceFromHome]]&lt;=5, "short", IF(Table2[[#This Row],[DistanceFromHome]]&lt;=15, "medium", "long"))</f>
        <v>long</v>
      </c>
      <c r="H752">
        <v>3</v>
      </c>
      <c r="I752" t="s">
        <v>46</v>
      </c>
      <c r="J752">
        <v>1039</v>
      </c>
      <c r="K752">
        <v>4</v>
      </c>
      <c r="L752" t="s">
        <v>35</v>
      </c>
      <c r="M752">
        <v>53</v>
      </c>
      <c r="N752">
        <v>4</v>
      </c>
      <c r="O752">
        <v>4</v>
      </c>
      <c r="P752" t="s">
        <v>36</v>
      </c>
      <c r="Q752">
        <v>4</v>
      </c>
      <c r="R752" t="s">
        <v>43</v>
      </c>
      <c r="S752">
        <v>13320</v>
      </c>
      <c r="T752">
        <v>11737</v>
      </c>
      <c r="U752">
        <v>3</v>
      </c>
      <c r="V752" t="s">
        <v>31</v>
      </c>
      <c r="W752">
        <v>18</v>
      </c>
      <c r="X752">
        <v>3</v>
      </c>
      <c r="Y752">
        <v>3</v>
      </c>
      <c r="Z752">
        <v>1</v>
      </c>
      <c r="AA752">
        <v>23</v>
      </c>
      <c r="AB752" t="str">
        <f>IF(Table2[[#This Row],[TotalWorkingYears]]&lt;=5,"Early (0-5)",IF(Table2[[#This Row],[TotalWorkingYears]]&lt;=15,"Mid (6-15)","Senior (16+)"))</f>
        <v>Senior (16+)</v>
      </c>
      <c r="AC752">
        <v>2</v>
      </c>
      <c r="AD752">
        <v>3</v>
      </c>
      <c r="AE752" t="s">
        <v>65</v>
      </c>
      <c r="AF752">
        <v>11</v>
      </c>
      <c r="AG752">
        <v>11</v>
      </c>
      <c r="AH752">
        <v>11</v>
      </c>
    </row>
    <row r="753" spans="1:34" x14ac:dyDescent="0.3">
      <c r="A753" t="s">
        <v>58</v>
      </c>
      <c r="B753">
        <v>0</v>
      </c>
      <c r="C753" t="s">
        <v>50</v>
      </c>
      <c r="D753">
        <v>145</v>
      </c>
      <c r="E753" t="s">
        <v>33</v>
      </c>
      <c r="F753">
        <v>1</v>
      </c>
      <c r="G753" t="str">
        <f>IF(Table2[[#This Row],[DistanceFromHome]]&lt;=5, "short", IF(Table2[[#This Row],[DistanceFromHome]]&lt;=15, "medium", "long"))</f>
        <v>short</v>
      </c>
      <c r="H753">
        <v>3</v>
      </c>
      <c r="I753" t="s">
        <v>34</v>
      </c>
      <c r="J753">
        <v>1040</v>
      </c>
      <c r="K753">
        <v>4</v>
      </c>
      <c r="L753" t="s">
        <v>35</v>
      </c>
      <c r="M753">
        <v>95</v>
      </c>
      <c r="N753">
        <v>3</v>
      </c>
      <c r="O753">
        <v>2</v>
      </c>
      <c r="P753" t="s">
        <v>36</v>
      </c>
      <c r="Q753">
        <v>3</v>
      </c>
      <c r="R753" t="s">
        <v>43</v>
      </c>
      <c r="S753">
        <v>6347</v>
      </c>
      <c r="T753">
        <v>24920</v>
      </c>
      <c r="U753">
        <v>0</v>
      </c>
      <c r="V753" t="s">
        <v>38</v>
      </c>
      <c r="W753">
        <v>12</v>
      </c>
      <c r="X753">
        <v>3</v>
      </c>
      <c r="Y753">
        <v>1</v>
      </c>
      <c r="Z753">
        <v>1</v>
      </c>
      <c r="AA753">
        <v>19</v>
      </c>
      <c r="AB753" t="str">
        <f>IF(Table2[[#This Row],[TotalWorkingYears]]&lt;=5,"Early (0-5)",IF(Table2[[#This Row],[TotalWorkingYears]]&lt;=15,"Mid (6-15)","Senior (16+)"))</f>
        <v>Senior (16+)</v>
      </c>
      <c r="AC753">
        <v>3</v>
      </c>
      <c r="AD753">
        <v>3</v>
      </c>
      <c r="AE753" t="s">
        <v>65</v>
      </c>
      <c r="AF753">
        <v>7</v>
      </c>
      <c r="AG753">
        <v>0</v>
      </c>
      <c r="AH753">
        <v>13</v>
      </c>
    </row>
    <row r="754" spans="1:34" x14ac:dyDescent="0.3">
      <c r="A754" t="s">
        <v>57</v>
      </c>
      <c r="B754">
        <v>1</v>
      </c>
      <c r="C754" t="s">
        <v>32</v>
      </c>
      <c r="D754">
        <v>885</v>
      </c>
      <c r="E754" t="s">
        <v>40</v>
      </c>
      <c r="F754">
        <v>16</v>
      </c>
      <c r="G754" t="str">
        <f>IF(Table2[[#This Row],[DistanceFromHome]]&lt;=5, "short", IF(Table2[[#This Row],[DistanceFromHome]]&lt;=15, "medium", "long"))</f>
        <v>long</v>
      </c>
      <c r="H754">
        <v>4</v>
      </c>
      <c r="I754" t="s">
        <v>34</v>
      </c>
      <c r="J754">
        <v>1042</v>
      </c>
      <c r="K754">
        <v>3</v>
      </c>
      <c r="L754" t="s">
        <v>35</v>
      </c>
      <c r="M754">
        <v>43</v>
      </c>
      <c r="N754">
        <v>4</v>
      </c>
      <c r="O754">
        <v>1</v>
      </c>
      <c r="P754" t="s">
        <v>45</v>
      </c>
      <c r="Q754">
        <v>1</v>
      </c>
      <c r="R754" t="s">
        <v>37</v>
      </c>
      <c r="S754">
        <v>2743</v>
      </c>
      <c r="T754">
        <v>8269</v>
      </c>
      <c r="U754">
        <v>1</v>
      </c>
      <c r="V754" t="s">
        <v>38</v>
      </c>
      <c r="W754">
        <v>16</v>
      </c>
      <c r="X754">
        <v>3</v>
      </c>
      <c r="Y754">
        <v>3</v>
      </c>
      <c r="Z754">
        <v>0</v>
      </c>
      <c r="AA754">
        <v>18</v>
      </c>
      <c r="AB754" t="str">
        <f>IF(Table2[[#This Row],[TotalWorkingYears]]&lt;=5,"Early (0-5)",IF(Table2[[#This Row],[TotalWorkingYears]]&lt;=15,"Mid (6-15)","Senior (16+)"))</f>
        <v>Senior (16+)</v>
      </c>
      <c r="AC754">
        <v>1</v>
      </c>
      <c r="AD754">
        <v>3</v>
      </c>
      <c r="AE754" t="s">
        <v>65</v>
      </c>
      <c r="AF754">
        <v>13</v>
      </c>
      <c r="AG754">
        <v>15</v>
      </c>
      <c r="AH754">
        <v>14</v>
      </c>
    </row>
    <row r="755" spans="1:34" x14ac:dyDescent="0.3">
      <c r="A755" t="s">
        <v>57</v>
      </c>
      <c r="B755">
        <v>0</v>
      </c>
      <c r="C755" t="s">
        <v>39</v>
      </c>
      <c r="D755">
        <v>945</v>
      </c>
      <c r="E755" t="s">
        <v>40</v>
      </c>
      <c r="F755">
        <v>22</v>
      </c>
      <c r="G755" t="str">
        <f>IF(Table2[[#This Row],[DistanceFromHome]]&lt;=5, "short", IF(Table2[[#This Row],[DistanceFromHome]]&lt;=15, "medium", "long"))</f>
        <v>long</v>
      </c>
      <c r="H755">
        <v>3</v>
      </c>
      <c r="I755" t="s">
        <v>46</v>
      </c>
      <c r="J755">
        <v>1043</v>
      </c>
      <c r="K755">
        <v>4</v>
      </c>
      <c r="L755" t="s">
        <v>35</v>
      </c>
      <c r="M755">
        <v>82</v>
      </c>
      <c r="N755">
        <v>3</v>
      </c>
      <c r="O755">
        <v>3</v>
      </c>
      <c r="P755" t="s">
        <v>48</v>
      </c>
      <c r="Q755">
        <v>1</v>
      </c>
      <c r="R755" t="s">
        <v>37</v>
      </c>
      <c r="S755">
        <v>10880</v>
      </c>
      <c r="T755">
        <v>5083</v>
      </c>
      <c r="U755">
        <v>1</v>
      </c>
      <c r="V755" t="s">
        <v>31</v>
      </c>
      <c r="W755">
        <v>13</v>
      </c>
      <c r="X755">
        <v>3</v>
      </c>
      <c r="Y755">
        <v>3</v>
      </c>
      <c r="Z755">
        <v>0</v>
      </c>
      <c r="AA755">
        <v>21</v>
      </c>
      <c r="AB755" t="str">
        <f>IF(Table2[[#This Row],[TotalWorkingYears]]&lt;=5,"Early (0-5)",IF(Table2[[#This Row],[TotalWorkingYears]]&lt;=15,"Mid (6-15)","Senior (16+)"))</f>
        <v>Senior (16+)</v>
      </c>
      <c r="AC755">
        <v>2</v>
      </c>
      <c r="AD755">
        <v>3</v>
      </c>
      <c r="AE755" t="s">
        <v>65</v>
      </c>
      <c r="AF755">
        <v>6</v>
      </c>
      <c r="AG755">
        <v>2</v>
      </c>
      <c r="AH755">
        <v>8</v>
      </c>
    </row>
    <row r="756" spans="1:34" x14ac:dyDescent="0.3">
      <c r="A756" t="s">
        <v>59</v>
      </c>
      <c r="B756">
        <v>0</v>
      </c>
      <c r="C756" t="s">
        <v>50</v>
      </c>
      <c r="D756">
        <v>1038</v>
      </c>
      <c r="E756" t="s">
        <v>33</v>
      </c>
      <c r="F756">
        <v>8</v>
      </c>
      <c r="G756" t="str">
        <f>IF(Table2[[#This Row],[DistanceFromHome]]&lt;=5, "short", IF(Table2[[#This Row],[DistanceFromHome]]&lt;=15, "medium", "long"))</f>
        <v>medium</v>
      </c>
      <c r="H756">
        <v>1</v>
      </c>
      <c r="I756" t="s">
        <v>34</v>
      </c>
      <c r="J756">
        <v>1044</v>
      </c>
      <c r="K756">
        <v>2</v>
      </c>
      <c r="L756" t="s">
        <v>35</v>
      </c>
      <c r="M756">
        <v>88</v>
      </c>
      <c r="N756">
        <v>2</v>
      </c>
      <c r="O756">
        <v>1</v>
      </c>
      <c r="P756" t="s">
        <v>52</v>
      </c>
      <c r="Q756">
        <v>4</v>
      </c>
      <c r="R756" t="s">
        <v>37</v>
      </c>
      <c r="S756">
        <v>2342</v>
      </c>
      <c r="T756">
        <v>21437</v>
      </c>
      <c r="U756">
        <v>0</v>
      </c>
      <c r="V756" t="s">
        <v>38</v>
      </c>
      <c r="W756">
        <v>19</v>
      </c>
      <c r="X756">
        <v>3</v>
      </c>
      <c r="Y756">
        <v>4</v>
      </c>
      <c r="Z756">
        <v>0</v>
      </c>
      <c r="AA756">
        <v>3</v>
      </c>
      <c r="AB756" t="str">
        <f>IF(Table2[[#This Row],[TotalWorkingYears]]&lt;=5,"Early (0-5)",IF(Table2[[#This Row],[TotalWorkingYears]]&lt;=15,"Mid (6-15)","Senior (16+)"))</f>
        <v>Early (0-5)</v>
      </c>
      <c r="AC756">
        <v>2</v>
      </c>
      <c r="AD756">
        <v>2</v>
      </c>
      <c r="AE756" t="s">
        <v>63</v>
      </c>
      <c r="AF756">
        <v>2</v>
      </c>
      <c r="AG756">
        <v>2</v>
      </c>
      <c r="AH756">
        <v>2</v>
      </c>
    </row>
    <row r="757" spans="1:34" x14ac:dyDescent="0.3">
      <c r="A757" t="s">
        <v>57</v>
      </c>
      <c r="B757">
        <v>0</v>
      </c>
      <c r="C757" t="s">
        <v>32</v>
      </c>
      <c r="D757">
        <v>1234</v>
      </c>
      <c r="E757" t="s">
        <v>33</v>
      </c>
      <c r="F757">
        <v>11</v>
      </c>
      <c r="G757" t="str">
        <f>IF(Table2[[#This Row],[DistanceFromHome]]&lt;=5, "short", IF(Table2[[#This Row],[DistanceFromHome]]&lt;=15, "medium", "long"))</f>
        <v>medium</v>
      </c>
      <c r="H757">
        <v>2</v>
      </c>
      <c r="I757" t="s">
        <v>34</v>
      </c>
      <c r="J757">
        <v>1045</v>
      </c>
      <c r="K757">
        <v>4</v>
      </c>
      <c r="L757" t="s">
        <v>35</v>
      </c>
      <c r="M757">
        <v>90</v>
      </c>
      <c r="N757">
        <v>3</v>
      </c>
      <c r="O757">
        <v>4</v>
      </c>
      <c r="P757" t="s">
        <v>51</v>
      </c>
      <c r="Q757">
        <v>4</v>
      </c>
      <c r="R757" t="s">
        <v>43</v>
      </c>
      <c r="S757">
        <v>17650</v>
      </c>
      <c r="T757">
        <v>5404</v>
      </c>
      <c r="U757">
        <v>3</v>
      </c>
      <c r="V757" t="s">
        <v>38</v>
      </c>
      <c r="W757">
        <v>13</v>
      </c>
      <c r="X757">
        <v>3</v>
      </c>
      <c r="Y757">
        <v>2</v>
      </c>
      <c r="Z757">
        <v>1</v>
      </c>
      <c r="AA757">
        <v>26</v>
      </c>
      <c r="AB757" t="str">
        <f>IF(Table2[[#This Row],[TotalWorkingYears]]&lt;=5,"Early (0-5)",IF(Table2[[#This Row],[TotalWorkingYears]]&lt;=15,"Mid (6-15)","Senior (16+)"))</f>
        <v>Senior (16+)</v>
      </c>
      <c r="AC757">
        <v>4</v>
      </c>
      <c r="AD757">
        <v>4</v>
      </c>
      <c r="AE757" t="s">
        <v>62</v>
      </c>
      <c r="AF757">
        <v>3</v>
      </c>
      <c r="AG757">
        <v>1</v>
      </c>
      <c r="AH757">
        <v>1</v>
      </c>
    </row>
    <row r="758" spans="1:34" x14ac:dyDescent="0.3">
      <c r="A758" t="s">
        <v>59</v>
      </c>
      <c r="B758">
        <v>0</v>
      </c>
      <c r="C758" t="s">
        <v>50</v>
      </c>
      <c r="D758">
        <v>1109</v>
      </c>
      <c r="E758" t="s">
        <v>40</v>
      </c>
      <c r="F758">
        <v>29</v>
      </c>
      <c r="G758" t="str">
        <f>IF(Table2[[#This Row],[DistanceFromHome]]&lt;=5, "short", IF(Table2[[#This Row],[DistanceFromHome]]&lt;=15, "medium", "long"))</f>
        <v>long</v>
      </c>
      <c r="H758">
        <v>4</v>
      </c>
      <c r="I758" t="s">
        <v>46</v>
      </c>
      <c r="J758">
        <v>1046</v>
      </c>
      <c r="K758">
        <v>4</v>
      </c>
      <c r="L758" t="s">
        <v>35</v>
      </c>
      <c r="M758">
        <v>69</v>
      </c>
      <c r="N758">
        <v>3</v>
      </c>
      <c r="O758">
        <v>1</v>
      </c>
      <c r="P758" t="s">
        <v>45</v>
      </c>
      <c r="Q758">
        <v>3</v>
      </c>
      <c r="R758" t="s">
        <v>37</v>
      </c>
      <c r="S758">
        <v>4025</v>
      </c>
      <c r="T758">
        <v>11135</v>
      </c>
      <c r="U758">
        <v>9</v>
      </c>
      <c r="V758" t="s">
        <v>38</v>
      </c>
      <c r="W758">
        <v>12</v>
      </c>
      <c r="X758">
        <v>3</v>
      </c>
      <c r="Y758">
        <v>2</v>
      </c>
      <c r="Z758">
        <v>0</v>
      </c>
      <c r="AA758">
        <v>10</v>
      </c>
      <c r="AB758" t="str">
        <f>IF(Table2[[#This Row],[TotalWorkingYears]]&lt;=5,"Early (0-5)",IF(Table2[[#This Row],[TotalWorkingYears]]&lt;=15,"Mid (6-15)","Senior (16+)"))</f>
        <v>Mid (6-15)</v>
      </c>
      <c r="AC758">
        <v>2</v>
      </c>
      <c r="AD758">
        <v>3</v>
      </c>
      <c r="AE758" t="s">
        <v>62</v>
      </c>
      <c r="AF758">
        <v>7</v>
      </c>
      <c r="AG758">
        <v>7</v>
      </c>
      <c r="AH758">
        <v>7</v>
      </c>
    </row>
    <row r="759" spans="1:34" x14ac:dyDescent="0.3">
      <c r="A759" t="s">
        <v>59</v>
      </c>
      <c r="B759">
        <v>0</v>
      </c>
      <c r="C759" t="s">
        <v>32</v>
      </c>
      <c r="D759">
        <v>216</v>
      </c>
      <c r="E759" t="s">
        <v>33</v>
      </c>
      <c r="F759">
        <v>1</v>
      </c>
      <c r="G759" t="str">
        <f>IF(Table2[[#This Row],[DistanceFromHome]]&lt;=5, "short", IF(Table2[[#This Row],[DistanceFromHome]]&lt;=15, "medium", "long"))</f>
        <v>short</v>
      </c>
      <c r="H759">
        <v>4</v>
      </c>
      <c r="I759" t="s">
        <v>54</v>
      </c>
      <c r="J759">
        <v>1047</v>
      </c>
      <c r="K759">
        <v>2</v>
      </c>
      <c r="L759" t="s">
        <v>41</v>
      </c>
      <c r="M759">
        <v>75</v>
      </c>
      <c r="N759">
        <v>4</v>
      </c>
      <c r="O759">
        <v>2</v>
      </c>
      <c r="P759" t="s">
        <v>36</v>
      </c>
      <c r="Q759">
        <v>4</v>
      </c>
      <c r="R759" t="s">
        <v>47</v>
      </c>
      <c r="S759">
        <v>9725</v>
      </c>
      <c r="T759">
        <v>12278</v>
      </c>
      <c r="U759">
        <v>0</v>
      </c>
      <c r="V759" t="s">
        <v>38</v>
      </c>
      <c r="W759">
        <v>11</v>
      </c>
      <c r="X759">
        <v>3</v>
      </c>
      <c r="Y759">
        <v>4</v>
      </c>
      <c r="Z759">
        <v>1</v>
      </c>
      <c r="AA759">
        <v>16</v>
      </c>
      <c r="AB759" t="str">
        <f>IF(Table2[[#This Row],[TotalWorkingYears]]&lt;=5,"Early (0-5)",IF(Table2[[#This Row],[TotalWorkingYears]]&lt;=15,"Mid (6-15)","Senior (16+)"))</f>
        <v>Senior (16+)</v>
      </c>
      <c r="AC759">
        <v>2</v>
      </c>
      <c r="AD759">
        <v>2</v>
      </c>
      <c r="AE759" t="s">
        <v>65</v>
      </c>
      <c r="AF759">
        <v>1</v>
      </c>
      <c r="AG759">
        <v>0</v>
      </c>
      <c r="AH759">
        <v>9</v>
      </c>
    </row>
    <row r="760" spans="1:34" x14ac:dyDescent="0.3">
      <c r="A760" t="s">
        <v>58</v>
      </c>
      <c r="B760">
        <v>0</v>
      </c>
      <c r="C760" t="s">
        <v>32</v>
      </c>
      <c r="D760">
        <v>1089</v>
      </c>
      <c r="E760" t="s">
        <v>33</v>
      </c>
      <c r="F760">
        <v>1</v>
      </c>
      <c r="G760" t="str">
        <f>IF(Table2[[#This Row],[DistanceFromHome]]&lt;=5, "short", IF(Table2[[#This Row],[DistanceFromHome]]&lt;=15, "medium", "long"))</f>
        <v>short</v>
      </c>
      <c r="H760">
        <v>2</v>
      </c>
      <c r="I760" t="s">
        <v>55</v>
      </c>
      <c r="J760">
        <v>1048</v>
      </c>
      <c r="K760">
        <v>2</v>
      </c>
      <c r="L760" t="s">
        <v>41</v>
      </c>
      <c r="M760">
        <v>66</v>
      </c>
      <c r="N760">
        <v>3</v>
      </c>
      <c r="O760">
        <v>3</v>
      </c>
      <c r="P760" t="s">
        <v>51</v>
      </c>
      <c r="Q760">
        <v>4</v>
      </c>
      <c r="R760" t="s">
        <v>43</v>
      </c>
      <c r="S760">
        <v>11904</v>
      </c>
      <c r="T760">
        <v>11038</v>
      </c>
      <c r="U760">
        <v>3</v>
      </c>
      <c r="V760" t="s">
        <v>31</v>
      </c>
      <c r="W760">
        <v>14</v>
      </c>
      <c r="X760">
        <v>3</v>
      </c>
      <c r="Y760">
        <v>3</v>
      </c>
      <c r="Z760">
        <v>1</v>
      </c>
      <c r="AA760">
        <v>14</v>
      </c>
      <c r="AB760" t="str">
        <f>IF(Table2[[#This Row],[TotalWorkingYears]]&lt;=5,"Early (0-5)",IF(Table2[[#This Row],[TotalWorkingYears]]&lt;=15,"Mid (6-15)","Senior (16+)"))</f>
        <v>Mid (6-15)</v>
      </c>
      <c r="AC760">
        <v>1</v>
      </c>
      <c r="AD760">
        <v>1</v>
      </c>
      <c r="AE760" t="s">
        <v>62</v>
      </c>
      <c r="AF760">
        <v>4</v>
      </c>
      <c r="AG760">
        <v>0</v>
      </c>
      <c r="AH760">
        <v>4</v>
      </c>
    </row>
    <row r="761" spans="1:34" x14ac:dyDescent="0.3">
      <c r="A761" t="s">
        <v>57</v>
      </c>
      <c r="B761">
        <v>0</v>
      </c>
      <c r="C761" t="s">
        <v>32</v>
      </c>
      <c r="D761">
        <v>788</v>
      </c>
      <c r="E761" t="s">
        <v>56</v>
      </c>
      <c r="F761">
        <v>24</v>
      </c>
      <c r="G761" t="str">
        <f>IF(Table2[[#This Row],[DistanceFromHome]]&lt;=5, "short", IF(Table2[[#This Row],[DistanceFromHome]]&lt;=15, "medium", "long"))</f>
        <v>long</v>
      </c>
      <c r="H761">
        <v>4</v>
      </c>
      <c r="I761" t="s">
        <v>46</v>
      </c>
      <c r="J761">
        <v>1049</v>
      </c>
      <c r="K761">
        <v>2</v>
      </c>
      <c r="L761" t="s">
        <v>41</v>
      </c>
      <c r="M761">
        <v>36</v>
      </c>
      <c r="N761">
        <v>3</v>
      </c>
      <c r="O761">
        <v>1</v>
      </c>
      <c r="P761" t="s">
        <v>56</v>
      </c>
      <c r="Q761">
        <v>2</v>
      </c>
      <c r="R761" t="s">
        <v>37</v>
      </c>
      <c r="S761">
        <v>2177</v>
      </c>
      <c r="T761">
        <v>8318</v>
      </c>
      <c r="U761">
        <v>1</v>
      </c>
      <c r="V761" t="s">
        <v>38</v>
      </c>
      <c r="W761">
        <v>16</v>
      </c>
      <c r="X761">
        <v>3</v>
      </c>
      <c r="Y761">
        <v>1</v>
      </c>
      <c r="Z761">
        <v>0</v>
      </c>
      <c r="AA761">
        <v>6</v>
      </c>
      <c r="AB761" t="str">
        <f>IF(Table2[[#This Row],[TotalWorkingYears]]&lt;=5,"Early (0-5)",IF(Table2[[#This Row],[TotalWorkingYears]]&lt;=15,"Mid (6-15)","Senior (16+)"))</f>
        <v>Mid (6-15)</v>
      </c>
      <c r="AC761">
        <v>3</v>
      </c>
      <c r="AD761">
        <v>3</v>
      </c>
      <c r="AE761" t="s">
        <v>62</v>
      </c>
      <c r="AF761">
        <v>3</v>
      </c>
      <c r="AG761">
        <v>0</v>
      </c>
      <c r="AH761">
        <v>4</v>
      </c>
    </row>
    <row r="762" spans="1:34" x14ac:dyDescent="0.3">
      <c r="A762" t="s">
        <v>58</v>
      </c>
      <c r="B762">
        <v>0</v>
      </c>
      <c r="C762" t="s">
        <v>39</v>
      </c>
      <c r="D762">
        <v>124</v>
      </c>
      <c r="E762" t="s">
        <v>33</v>
      </c>
      <c r="F762">
        <v>2</v>
      </c>
      <c r="G762" t="str">
        <f>IF(Table2[[#This Row],[DistanceFromHome]]&lt;=5, "short", IF(Table2[[#This Row],[DistanceFromHome]]&lt;=15, "medium", "long"))</f>
        <v>short</v>
      </c>
      <c r="H762">
        <v>3</v>
      </c>
      <c r="I762" t="s">
        <v>54</v>
      </c>
      <c r="J762">
        <v>1050</v>
      </c>
      <c r="K762">
        <v>3</v>
      </c>
      <c r="L762" t="s">
        <v>35</v>
      </c>
      <c r="M762">
        <v>38</v>
      </c>
      <c r="N762">
        <v>2</v>
      </c>
      <c r="O762">
        <v>3</v>
      </c>
      <c r="P762" t="s">
        <v>36</v>
      </c>
      <c r="Q762">
        <v>2</v>
      </c>
      <c r="R762" t="s">
        <v>43</v>
      </c>
      <c r="S762">
        <v>7525</v>
      </c>
      <c r="T762">
        <v>23537</v>
      </c>
      <c r="U762">
        <v>2</v>
      </c>
      <c r="V762" t="s">
        <v>38</v>
      </c>
      <c r="W762">
        <v>12</v>
      </c>
      <c r="X762">
        <v>3</v>
      </c>
      <c r="Y762">
        <v>1</v>
      </c>
      <c r="Z762">
        <v>1</v>
      </c>
      <c r="AA762">
        <v>30</v>
      </c>
      <c r="AB762" t="str">
        <f>IF(Table2[[#This Row],[TotalWorkingYears]]&lt;=5,"Early (0-5)",IF(Table2[[#This Row],[TotalWorkingYears]]&lt;=15,"Mid (6-15)","Senior (16+)"))</f>
        <v>Senior (16+)</v>
      </c>
      <c r="AC762">
        <v>2</v>
      </c>
      <c r="AD762">
        <v>3</v>
      </c>
      <c r="AE762" t="s">
        <v>65</v>
      </c>
      <c r="AF762">
        <v>7</v>
      </c>
      <c r="AG762">
        <v>6</v>
      </c>
      <c r="AH762">
        <v>12</v>
      </c>
    </row>
    <row r="763" spans="1:34" x14ac:dyDescent="0.3">
      <c r="A763" t="s">
        <v>57</v>
      </c>
      <c r="B763">
        <v>1</v>
      </c>
      <c r="C763" t="s">
        <v>32</v>
      </c>
      <c r="D763">
        <v>660</v>
      </c>
      <c r="E763" t="s">
        <v>40</v>
      </c>
      <c r="F763">
        <v>15</v>
      </c>
      <c r="G763" t="str">
        <f>IF(Table2[[#This Row],[DistanceFromHome]]&lt;=5, "short", IF(Table2[[#This Row],[DistanceFromHome]]&lt;=15, "medium", "long"))</f>
        <v>medium</v>
      </c>
      <c r="H763">
        <v>3</v>
      </c>
      <c r="I763" t="s">
        <v>44</v>
      </c>
      <c r="J763">
        <v>1052</v>
      </c>
      <c r="K763">
        <v>1</v>
      </c>
      <c r="L763" t="s">
        <v>41</v>
      </c>
      <c r="M763">
        <v>81</v>
      </c>
      <c r="N763">
        <v>3</v>
      </c>
      <c r="O763">
        <v>2</v>
      </c>
      <c r="P763" t="s">
        <v>45</v>
      </c>
      <c r="Q763">
        <v>3</v>
      </c>
      <c r="R763" t="s">
        <v>47</v>
      </c>
      <c r="S763">
        <v>4834</v>
      </c>
      <c r="T763">
        <v>7858</v>
      </c>
      <c r="U763">
        <v>7</v>
      </c>
      <c r="V763" t="s">
        <v>38</v>
      </c>
      <c r="W763">
        <v>14</v>
      </c>
      <c r="X763">
        <v>3</v>
      </c>
      <c r="Y763">
        <v>2</v>
      </c>
      <c r="Z763">
        <v>1</v>
      </c>
      <c r="AA763">
        <v>9</v>
      </c>
      <c r="AB763" t="str">
        <f>IF(Table2[[#This Row],[TotalWorkingYears]]&lt;=5,"Early (0-5)",IF(Table2[[#This Row],[TotalWorkingYears]]&lt;=15,"Mid (6-15)","Senior (16+)"))</f>
        <v>Mid (6-15)</v>
      </c>
      <c r="AC763">
        <v>3</v>
      </c>
      <c r="AD763">
        <v>2</v>
      </c>
      <c r="AE763" t="s">
        <v>63</v>
      </c>
      <c r="AF763">
        <v>0</v>
      </c>
      <c r="AG763">
        <v>0</v>
      </c>
      <c r="AH763">
        <v>0</v>
      </c>
    </row>
    <row r="764" spans="1:34" x14ac:dyDescent="0.3">
      <c r="A764" t="s">
        <v>59</v>
      </c>
      <c r="B764">
        <v>1</v>
      </c>
      <c r="C764" t="s">
        <v>39</v>
      </c>
      <c r="D764">
        <v>342</v>
      </c>
      <c r="E764" t="s">
        <v>40</v>
      </c>
      <c r="F764">
        <v>2</v>
      </c>
      <c r="G764" t="str">
        <f>IF(Table2[[#This Row],[DistanceFromHome]]&lt;=5, "short", IF(Table2[[#This Row],[DistanceFromHome]]&lt;=15, "medium", "long"))</f>
        <v>short</v>
      </c>
      <c r="H764">
        <v>3</v>
      </c>
      <c r="I764" t="s">
        <v>34</v>
      </c>
      <c r="J764">
        <v>1053</v>
      </c>
      <c r="K764">
        <v>1</v>
      </c>
      <c r="L764" t="s">
        <v>41</v>
      </c>
      <c r="M764">
        <v>57</v>
      </c>
      <c r="N764">
        <v>3</v>
      </c>
      <c r="O764">
        <v>1</v>
      </c>
      <c r="P764" t="s">
        <v>42</v>
      </c>
      <c r="Q764">
        <v>1</v>
      </c>
      <c r="R764" t="s">
        <v>43</v>
      </c>
      <c r="S764">
        <v>2042</v>
      </c>
      <c r="T764">
        <v>15346</v>
      </c>
      <c r="U764">
        <v>6</v>
      </c>
      <c r="V764" t="s">
        <v>31</v>
      </c>
      <c r="W764">
        <v>14</v>
      </c>
      <c r="X764">
        <v>3</v>
      </c>
      <c r="Y764">
        <v>2</v>
      </c>
      <c r="Z764">
        <v>1</v>
      </c>
      <c r="AA764">
        <v>6</v>
      </c>
      <c r="AB764" t="str">
        <f>IF(Table2[[#This Row],[TotalWorkingYears]]&lt;=5,"Early (0-5)",IF(Table2[[#This Row],[TotalWorkingYears]]&lt;=15,"Mid (6-15)","Senior (16+)"))</f>
        <v>Mid (6-15)</v>
      </c>
      <c r="AC764">
        <v>2</v>
      </c>
      <c r="AD764">
        <v>3</v>
      </c>
      <c r="AE764" t="s">
        <v>64</v>
      </c>
      <c r="AF764">
        <v>2</v>
      </c>
      <c r="AG764">
        <v>1</v>
      </c>
      <c r="AH764">
        <v>2</v>
      </c>
    </row>
    <row r="765" spans="1:34" x14ac:dyDescent="0.3">
      <c r="A765" t="s">
        <v>59</v>
      </c>
      <c r="B765">
        <v>0</v>
      </c>
      <c r="C765" t="s">
        <v>32</v>
      </c>
      <c r="D765">
        <v>1333</v>
      </c>
      <c r="E765" t="s">
        <v>33</v>
      </c>
      <c r="F765">
        <v>10</v>
      </c>
      <c r="G765" t="str">
        <f>IF(Table2[[#This Row],[DistanceFromHome]]&lt;=5, "short", IF(Table2[[#This Row],[DistanceFromHome]]&lt;=15, "medium", "long"))</f>
        <v>medium</v>
      </c>
      <c r="H765">
        <v>4</v>
      </c>
      <c r="I765" t="s">
        <v>34</v>
      </c>
      <c r="J765">
        <v>1055</v>
      </c>
      <c r="K765">
        <v>3</v>
      </c>
      <c r="L765" t="s">
        <v>35</v>
      </c>
      <c r="M765">
        <v>87</v>
      </c>
      <c r="N765">
        <v>3</v>
      </c>
      <c r="O765">
        <v>1</v>
      </c>
      <c r="P765" t="s">
        <v>52</v>
      </c>
      <c r="Q765">
        <v>3</v>
      </c>
      <c r="R765" t="s">
        <v>43</v>
      </c>
      <c r="S765">
        <v>2220</v>
      </c>
      <c r="T765">
        <v>18410</v>
      </c>
      <c r="U765">
        <v>1</v>
      </c>
      <c r="V765" t="s">
        <v>31</v>
      </c>
      <c r="W765">
        <v>19</v>
      </c>
      <c r="X765">
        <v>3</v>
      </c>
      <c r="Y765">
        <v>4</v>
      </c>
      <c r="Z765">
        <v>1</v>
      </c>
      <c r="AA765">
        <v>1</v>
      </c>
      <c r="AB765" t="str">
        <f>IF(Table2[[#This Row],[TotalWorkingYears]]&lt;=5,"Early (0-5)",IF(Table2[[#This Row],[TotalWorkingYears]]&lt;=15,"Mid (6-15)","Senior (16+)"))</f>
        <v>Early (0-5)</v>
      </c>
      <c r="AC765">
        <v>2</v>
      </c>
      <c r="AD765">
        <v>3</v>
      </c>
      <c r="AE765" t="s">
        <v>63</v>
      </c>
      <c r="AF765">
        <v>1</v>
      </c>
      <c r="AG765">
        <v>0</v>
      </c>
      <c r="AH765">
        <v>0</v>
      </c>
    </row>
    <row r="766" spans="1:34" x14ac:dyDescent="0.3">
      <c r="A766" t="s">
        <v>59</v>
      </c>
      <c r="B766">
        <v>0</v>
      </c>
      <c r="C766" t="s">
        <v>32</v>
      </c>
      <c r="D766">
        <v>1144</v>
      </c>
      <c r="E766" t="s">
        <v>33</v>
      </c>
      <c r="F766">
        <v>10</v>
      </c>
      <c r="G766" t="str">
        <f>IF(Table2[[#This Row],[DistanceFromHome]]&lt;=5, "short", IF(Table2[[#This Row],[DistanceFromHome]]&lt;=15, "medium", "long"))</f>
        <v>medium</v>
      </c>
      <c r="H766">
        <v>1</v>
      </c>
      <c r="I766" t="s">
        <v>46</v>
      </c>
      <c r="J766">
        <v>1056</v>
      </c>
      <c r="K766">
        <v>4</v>
      </c>
      <c r="L766" t="s">
        <v>41</v>
      </c>
      <c r="M766">
        <v>74</v>
      </c>
      <c r="N766">
        <v>3</v>
      </c>
      <c r="O766">
        <v>1</v>
      </c>
      <c r="P766" t="s">
        <v>52</v>
      </c>
      <c r="Q766">
        <v>2</v>
      </c>
      <c r="R766" t="s">
        <v>43</v>
      </c>
      <c r="S766">
        <v>1052</v>
      </c>
      <c r="T766">
        <v>23384</v>
      </c>
      <c r="U766">
        <v>1</v>
      </c>
      <c r="V766" t="s">
        <v>38</v>
      </c>
      <c r="W766">
        <v>22</v>
      </c>
      <c r="X766">
        <v>4</v>
      </c>
      <c r="Y766">
        <v>2</v>
      </c>
      <c r="Z766">
        <v>0</v>
      </c>
      <c r="AA766">
        <v>1</v>
      </c>
      <c r="AB766" t="str">
        <f>IF(Table2[[#This Row],[TotalWorkingYears]]&lt;=5,"Early (0-5)",IF(Table2[[#This Row],[TotalWorkingYears]]&lt;=15,"Mid (6-15)","Senior (16+)"))</f>
        <v>Early (0-5)</v>
      </c>
      <c r="AC766">
        <v>5</v>
      </c>
      <c r="AD766">
        <v>3</v>
      </c>
      <c r="AE766" t="s">
        <v>63</v>
      </c>
      <c r="AF766">
        <v>0</v>
      </c>
      <c r="AG766">
        <v>0</v>
      </c>
      <c r="AH766">
        <v>0</v>
      </c>
    </row>
    <row r="767" spans="1:34" x14ac:dyDescent="0.3">
      <c r="A767" t="s">
        <v>57</v>
      </c>
      <c r="B767">
        <v>0</v>
      </c>
      <c r="C767" t="s">
        <v>39</v>
      </c>
      <c r="D767">
        <v>1186</v>
      </c>
      <c r="E767" t="s">
        <v>40</v>
      </c>
      <c r="F767">
        <v>3</v>
      </c>
      <c r="G767" t="str">
        <f>IF(Table2[[#This Row],[DistanceFromHome]]&lt;=5, "short", IF(Table2[[#This Row],[DistanceFromHome]]&lt;=15, "medium", "long"))</f>
        <v>short</v>
      </c>
      <c r="H767">
        <v>4</v>
      </c>
      <c r="I767" t="s">
        <v>44</v>
      </c>
      <c r="J767">
        <v>1060</v>
      </c>
      <c r="K767">
        <v>3</v>
      </c>
      <c r="L767" t="s">
        <v>41</v>
      </c>
      <c r="M767">
        <v>44</v>
      </c>
      <c r="N767">
        <v>3</v>
      </c>
      <c r="O767">
        <v>1</v>
      </c>
      <c r="P767" t="s">
        <v>42</v>
      </c>
      <c r="Q767">
        <v>3</v>
      </c>
      <c r="R767" t="s">
        <v>43</v>
      </c>
      <c r="S767">
        <v>2821</v>
      </c>
      <c r="T767">
        <v>2997</v>
      </c>
      <c r="U767">
        <v>3</v>
      </c>
      <c r="V767" t="s">
        <v>38</v>
      </c>
      <c r="W767">
        <v>16</v>
      </c>
      <c r="X767">
        <v>3</v>
      </c>
      <c r="Y767">
        <v>1</v>
      </c>
      <c r="Z767">
        <v>1</v>
      </c>
      <c r="AA767">
        <v>8</v>
      </c>
      <c r="AB767" t="str">
        <f>IF(Table2[[#This Row],[TotalWorkingYears]]&lt;=5,"Early (0-5)",IF(Table2[[#This Row],[TotalWorkingYears]]&lt;=15,"Mid (6-15)","Senior (16+)"))</f>
        <v>Mid (6-15)</v>
      </c>
      <c r="AC767">
        <v>2</v>
      </c>
      <c r="AD767">
        <v>3</v>
      </c>
      <c r="AE767" t="s">
        <v>63</v>
      </c>
      <c r="AF767">
        <v>2</v>
      </c>
      <c r="AG767">
        <v>2</v>
      </c>
      <c r="AH767">
        <v>2</v>
      </c>
    </row>
    <row r="768" spans="1:34" x14ac:dyDescent="0.3">
      <c r="A768" t="s">
        <v>58</v>
      </c>
      <c r="B768">
        <v>0</v>
      </c>
      <c r="C768" t="s">
        <v>32</v>
      </c>
      <c r="D768">
        <v>1464</v>
      </c>
      <c r="E768" t="s">
        <v>40</v>
      </c>
      <c r="F768">
        <v>2</v>
      </c>
      <c r="G768" t="str">
        <f>IF(Table2[[#This Row],[DistanceFromHome]]&lt;=5, "short", IF(Table2[[#This Row],[DistanceFromHome]]&lt;=15, "medium", "long"))</f>
        <v>short</v>
      </c>
      <c r="H768">
        <v>4</v>
      </c>
      <c r="I768" t="s">
        <v>46</v>
      </c>
      <c r="J768">
        <v>1061</v>
      </c>
      <c r="K768">
        <v>2</v>
      </c>
      <c r="L768" t="s">
        <v>41</v>
      </c>
      <c r="M768">
        <v>62</v>
      </c>
      <c r="N768">
        <v>3</v>
      </c>
      <c r="O768">
        <v>5</v>
      </c>
      <c r="P768" t="s">
        <v>53</v>
      </c>
      <c r="Q768">
        <v>3</v>
      </c>
      <c r="R768" t="s">
        <v>43</v>
      </c>
      <c r="S768">
        <v>19237</v>
      </c>
      <c r="T768">
        <v>12853</v>
      </c>
      <c r="U768">
        <v>2</v>
      </c>
      <c r="V768" t="s">
        <v>31</v>
      </c>
      <c r="W768">
        <v>11</v>
      </c>
      <c r="X768">
        <v>3</v>
      </c>
      <c r="Y768">
        <v>4</v>
      </c>
      <c r="Z768">
        <v>1</v>
      </c>
      <c r="AA768">
        <v>29</v>
      </c>
      <c r="AB768" t="str">
        <f>IF(Table2[[#This Row],[TotalWorkingYears]]&lt;=5,"Early (0-5)",IF(Table2[[#This Row],[TotalWorkingYears]]&lt;=15,"Mid (6-15)","Senior (16+)"))</f>
        <v>Senior (16+)</v>
      </c>
      <c r="AC768">
        <v>2</v>
      </c>
      <c r="AD768">
        <v>2</v>
      </c>
      <c r="AE768" t="s">
        <v>62</v>
      </c>
      <c r="AF768">
        <v>1</v>
      </c>
      <c r="AG768">
        <v>7</v>
      </c>
      <c r="AH768">
        <v>7</v>
      </c>
    </row>
    <row r="769" spans="1:34" x14ac:dyDescent="0.3">
      <c r="A769" t="s">
        <v>57</v>
      </c>
      <c r="B769">
        <v>0</v>
      </c>
      <c r="C769" t="s">
        <v>32</v>
      </c>
      <c r="D769">
        <v>124</v>
      </c>
      <c r="E769" t="s">
        <v>40</v>
      </c>
      <c r="F769">
        <v>3</v>
      </c>
      <c r="G769" t="str">
        <f>IF(Table2[[#This Row],[DistanceFromHome]]&lt;=5, "short", IF(Table2[[#This Row],[DistanceFromHome]]&lt;=15, "medium", "long"))</f>
        <v>short</v>
      </c>
      <c r="H769">
        <v>3</v>
      </c>
      <c r="I769" t="s">
        <v>44</v>
      </c>
      <c r="J769">
        <v>1062</v>
      </c>
      <c r="K769">
        <v>4</v>
      </c>
      <c r="L769" t="s">
        <v>35</v>
      </c>
      <c r="M769">
        <v>35</v>
      </c>
      <c r="N769">
        <v>3</v>
      </c>
      <c r="O769">
        <v>2</v>
      </c>
      <c r="P769" t="s">
        <v>49</v>
      </c>
      <c r="Q769">
        <v>2</v>
      </c>
      <c r="R769" t="s">
        <v>37</v>
      </c>
      <c r="S769">
        <v>4107</v>
      </c>
      <c r="T769">
        <v>13848</v>
      </c>
      <c r="U769">
        <v>3</v>
      </c>
      <c r="V769" t="s">
        <v>38</v>
      </c>
      <c r="W769">
        <v>15</v>
      </c>
      <c r="X769">
        <v>3</v>
      </c>
      <c r="Y769">
        <v>1</v>
      </c>
      <c r="Z769">
        <v>0</v>
      </c>
      <c r="AA769">
        <v>8</v>
      </c>
      <c r="AB769" t="str">
        <f>IF(Table2[[#This Row],[TotalWorkingYears]]&lt;=5,"Early (0-5)",IF(Table2[[#This Row],[TotalWorkingYears]]&lt;=15,"Mid (6-15)","Senior (16+)"))</f>
        <v>Mid (6-15)</v>
      </c>
      <c r="AC769">
        <v>3</v>
      </c>
      <c r="AD769">
        <v>2</v>
      </c>
      <c r="AE769" t="s">
        <v>64</v>
      </c>
      <c r="AF769">
        <v>3</v>
      </c>
      <c r="AG769">
        <v>0</v>
      </c>
      <c r="AH769">
        <v>1</v>
      </c>
    </row>
    <row r="770" spans="1:34" x14ac:dyDescent="0.3">
      <c r="A770" t="s">
        <v>57</v>
      </c>
      <c r="B770">
        <v>0</v>
      </c>
      <c r="C770" t="s">
        <v>32</v>
      </c>
      <c r="D770">
        <v>300</v>
      </c>
      <c r="E770" t="s">
        <v>33</v>
      </c>
      <c r="F770">
        <v>26</v>
      </c>
      <c r="G770" t="str">
        <f>IF(Table2[[#This Row],[DistanceFromHome]]&lt;=5, "short", IF(Table2[[#This Row],[DistanceFromHome]]&lt;=15, "medium", "long"))</f>
        <v>long</v>
      </c>
      <c r="H770">
        <v>3</v>
      </c>
      <c r="I770" t="s">
        <v>54</v>
      </c>
      <c r="J770">
        <v>1066</v>
      </c>
      <c r="K770">
        <v>3</v>
      </c>
      <c r="L770" t="s">
        <v>41</v>
      </c>
      <c r="M770">
        <v>74</v>
      </c>
      <c r="N770">
        <v>3</v>
      </c>
      <c r="O770">
        <v>2</v>
      </c>
      <c r="P770" t="s">
        <v>36</v>
      </c>
      <c r="Q770">
        <v>1</v>
      </c>
      <c r="R770" t="s">
        <v>43</v>
      </c>
      <c r="S770">
        <v>8396</v>
      </c>
      <c r="T770">
        <v>22217</v>
      </c>
      <c r="U770">
        <v>1</v>
      </c>
      <c r="V770" t="s">
        <v>38</v>
      </c>
      <c r="W770">
        <v>14</v>
      </c>
      <c r="X770">
        <v>3</v>
      </c>
      <c r="Y770">
        <v>2</v>
      </c>
      <c r="Z770">
        <v>1</v>
      </c>
      <c r="AA770">
        <v>8</v>
      </c>
      <c r="AB770" t="str">
        <f>IF(Table2[[#This Row],[TotalWorkingYears]]&lt;=5,"Early (0-5)",IF(Table2[[#This Row],[TotalWorkingYears]]&lt;=15,"Mid (6-15)","Senior (16+)"))</f>
        <v>Mid (6-15)</v>
      </c>
      <c r="AC770">
        <v>3</v>
      </c>
      <c r="AD770">
        <v>2</v>
      </c>
      <c r="AE770" t="s">
        <v>62</v>
      </c>
      <c r="AF770">
        <v>7</v>
      </c>
      <c r="AG770">
        <v>7</v>
      </c>
      <c r="AH770">
        <v>5</v>
      </c>
    </row>
    <row r="771" spans="1:34" x14ac:dyDescent="0.3">
      <c r="A771" t="s">
        <v>59</v>
      </c>
      <c r="B771">
        <v>0</v>
      </c>
      <c r="C771" t="s">
        <v>39</v>
      </c>
      <c r="D771">
        <v>921</v>
      </c>
      <c r="E771" t="s">
        <v>40</v>
      </c>
      <c r="F771">
        <v>1</v>
      </c>
      <c r="G771" t="str">
        <f>IF(Table2[[#This Row],[DistanceFromHome]]&lt;=5, "short", IF(Table2[[#This Row],[DistanceFromHome]]&lt;=15, "medium", "long"))</f>
        <v>short</v>
      </c>
      <c r="H771">
        <v>1</v>
      </c>
      <c r="I771" t="s">
        <v>46</v>
      </c>
      <c r="J771">
        <v>1068</v>
      </c>
      <c r="K771">
        <v>1</v>
      </c>
      <c r="L771" t="s">
        <v>35</v>
      </c>
      <c r="M771">
        <v>66</v>
      </c>
      <c r="N771">
        <v>2</v>
      </c>
      <c r="O771">
        <v>1</v>
      </c>
      <c r="P771" t="s">
        <v>42</v>
      </c>
      <c r="Q771">
        <v>3</v>
      </c>
      <c r="R771" t="s">
        <v>47</v>
      </c>
      <c r="S771">
        <v>2007</v>
      </c>
      <c r="T771">
        <v>25265</v>
      </c>
      <c r="U771">
        <v>1</v>
      </c>
      <c r="V771" t="s">
        <v>38</v>
      </c>
      <c r="W771">
        <v>13</v>
      </c>
      <c r="X771">
        <v>3</v>
      </c>
      <c r="Y771">
        <v>3</v>
      </c>
      <c r="Z771">
        <v>2</v>
      </c>
      <c r="AA771">
        <v>5</v>
      </c>
      <c r="AB771" t="str">
        <f>IF(Table2[[#This Row],[TotalWorkingYears]]&lt;=5,"Early (0-5)",IF(Table2[[#This Row],[TotalWorkingYears]]&lt;=15,"Mid (6-15)","Senior (16+)"))</f>
        <v>Early (0-5)</v>
      </c>
      <c r="AC771">
        <v>5</v>
      </c>
      <c r="AD771">
        <v>3</v>
      </c>
      <c r="AE771" t="s">
        <v>64</v>
      </c>
      <c r="AF771">
        <v>3</v>
      </c>
      <c r="AG771">
        <v>1</v>
      </c>
      <c r="AH771">
        <v>3</v>
      </c>
    </row>
    <row r="772" spans="1:34" x14ac:dyDescent="0.3">
      <c r="A772" t="s">
        <v>58</v>
      </c>
      <c r="B772">
        <v>0</v>
      </c>
      <c r="C772" t="s">
        <v>32</v>
      </c>
      <c r="D772">
        <v>430</v>
      </c>
      <c r="E772" t="s">
        <v>40</v>
      </c>
      <c r="F772">
        <v>1</v>
      </c>
      <c r="G772" t="str">
        <f>IF(Table2[[#This Row],[DistanceFromHome]]&lt;=5, "short", IF(Table2[[#This Row],[DistanceFromHome]]&lt;=15, "medium", "long"))</f>
        <v>short</v>
      </c>
      <c r="H772">
        <v>4</v>
      </c>
      <c r="I772" t="s">
        <v>46</v>
      </c>
      <c r="J772">
        <v>1069</v>
      </c>
      <c r="K772">
        <v>4</v>
      </c>
      <c r="L772" t="s">
        <v>41</v>
      </c>
      <c r="M772">
        <v>40</v>
      </c>
      <c r="N772">
        <v>3</v>
      </c>
      <c r="O772">
        <v>5</v>
      </c>
      <c r="P772" t="s">
        <v>53</v>
      </c>
      <c r="Q772">
        <v>4</v>
      </c>
      <c r="R772" t="s">
        <v>47</v>
      </c>
      <c r="S772">
        <v>19627</v>
      </c>
      <c r="T772">
        <v>21445</v>
      </c>
      <c r="U772">
        <v>9</v>
      </c>
      <c r="V772" t="s">
        <v>38</v>
      </c>
      <c r="W772">
        <v>17</v>
      </c>
      <c r="X772">
        <v>3</v>
      </c>
      <c r="Y772">
        <v>4</v>
      </c>
      <c r="Z772">
        <v>2</v>
      </c>
      <c r="AA772">
        <v>23</v>
      </c>
      <c r="AB772" t="str">
        <f>IF(Table2[[#This Row],[TotalWorkingYears]]&lt;=5,"Early (0-5)",IF(Table2[[#This Row],[TotalWorkingYears]]&lt;=15,"Mid (6-15)","Senior (16+)"))</f>
        <v>Senior (16+)</v>
      </c>
      <c r="AC772">
        <v>0</v>
      </c>
      <c r="AD772">
        <v>3</v>
      </c>
      <c r="AE772" t="s">
        <v>63</v>
      </c>
      <c r="AF772">
        <v>2</v>
      </c>
      <c r="AG772">
        <v>2</v>
      </c>
      <c r="AH772">
        <v>2</v>
      </c>
    </row>
    <row r="773" spans="1:34" x14ac:dyDescent="0.3">
      <c r="A773" t="s">
        <v>58</v>
      </c>
      <c r="B773">
        <v>0</v>
      </c>
      <c r="C773" t="s">
        <v>32</v>
      </c>
      <c r="D773">
        <v>1082</v>
      </c>
      <c r="E773" t="s">
        <v>33</v>
      </c>
      <c r="F773">
        <v>2</v>
      </c>
      <c r="G773" t="str">
        <f>IF(Table2[[#This Row],[DistanceFromHome]]&lt;=5, "short", IF(Table2[[#This Row],[DistanceFromHome]]&lt;=15, "medium", "long"))</f>
        <v>short</v>
      </c>
      <c r="H773">
        <v>4</v>
      </c>
      <c r="I773" t="s">
        <v>34</v>
      </c>
      <c r="J773">
        <v>1070</v>
      </c>
      <c r="K773">
        <v>3</v>
      </c>
      <c r="L773" t="s">
        <v>35</v>
      </c>
      <c r="M773">
        <v>41</v>
      </c>
      <c r="N773">
        <v>2</v>
      </c>
      <c r="O773">
        <v>3</v>
      </c>
      <c r="P773" t="s">
        <v>36</v>
      </c>
      <c r="Q773">
        <v>3</v>
      </c>
      <c r="R773" t="s">
        <v>43</v>
      </c>
      <c r="S773">
        <v>10686</v>
      </c>
      <c r="T773">
        <v>8392</v>
      </c>
      <c r="U773">
        <v>6</v>
      </c>
      <c r="V773" t="s">
        <v>38</v>
      </c>
      <c r="W773">
        <v>11</v>
      </c>
      <c r="X773">
        <v>3</v>
      </c>
      <c r="Y773">
        <v>2</v>
      </c>
      <c r="Z773">
        <v>1</v>
      </c>
      <c r="AA773">
        <v>13</v>
      </c>
      <c r="AB773" t="str">
        <f>IF(Table2[[#This Row],[TotalWorkingYears]]&lt;=5,"Early (0-5)",IF(Table2[[#This Row],[TotalWorkingYears]]&lt;=15,"Mid (6-15)","Senior (16+)"))</f>
        <v>Mid (6-15)</v>
      </c>
      <c r="AC773">
        <v>4</v>
      </c>
      <c r="AD773">
        <v>3</v>
      </c>
      <c r="AE773" t="s">
        <v>62</v>
      </c>
      <c r="AF773">
        <v>4</v>
      </c>
      <c r="AG773">
        <v>7</v>
      </c>
      <c r="AH773">
        <v>0</v>
      </c>
    </row>
    <row r="774" spans="1:34" x14ac:dyDescent="0.3">
      <c r="A774" t="s">
        <v>58</v>
      </c>
      <c r="B774">
        <v>0</v>
      </c>
      <c r="C774" t="s">
        <v>39</v>
      </c>
      <c r="D774">
        <v>1240</v>
      </c>
      <c r="E774" t="s">
        <v>40</v>
      </c>
      <c r="F774">
        <v>9</v>
      </c>
      <c r="G774" t="str">
        <f>IF(Table2[[#This Row],[DistanceFromHome]]&lt;=5, "short", IF(Table2[[#This Row],[DistanceFromHome]]&lt;=15, "medium", "long"))</f>
        <v>medium</v>
      </c>
      <c r="H774">
        <v>3</v>
      </c>
      <c r="I774" t="s">
        <v>46</v>
      </c>
      <c r="J774">
        <v>1071</v>
      </c>
      <c r="K774">
        <v>1</v>
      </c>
      <c r="L774" t="s">
        <v>35</v>
      </c>
      <c r="M774">
        <v>63</v>
      </c>
      <c r="N774">
        <v>3</v>
      </c>
      <c r="O774">
        <v>1</v>
      </c>
      <c r="P774" t="s">
        <v>42</v>
      </c>
      <c r="Q774">
        <v>3</v>
      </c>
      <c r="R774" t="s">
        <v>43</v>
      </c>
      <c r="S774">
        <v>2942</v>
      </c>
      <c r="T774">
        <v>12154</v>
      </c>
      <c r="U774">
        <v>2</v>
      </c>
      <c r="V774" t="s">
        <v>38</v>
      </c>
      <c r="W774">
        <v>19</v>
      </c>
      <c r="X774">
        <v>3</v>
      </c>
      <c r="Y774">
        <v>2</v>
      </c>
      <c r="Z774">
        <v>1</v>
      </c>
      <c r="AA774">
        <v>18</v>
      </c>
      <c r="AB774" t="str">
        <f>IF(Table2[[#This Row],[TotalWorkingYears]]&lt;=5,"Early (0-5)",IF(Table2[[#This Row],[TotalWorkingYears]]&lt;=15,"Mid (6-15)","Senior (16+)"))</f>
        <v>Senior (16+)</v>
      </c>
      <c r="AC774">
        <v>4</v>
      </c>
      <c r="AD774">
        <v>3</v>
      </c>
      <c r="AE774" t="s">
        <v>64</v>
      </c>
      <c r="AF774">
        <v>4</v>
      </c>
      <c r="AG774">
        <v>0</v>
      </c>
      <c r="AH774">
        <v>3</v>
      </c>
    </row>
    <row r="775" spans="1:34" x14ac:dyDescent="0.3">
      <c r="A775" t="s">
        <v>57</v>
      </c>
      <c r="B775">
        <v>0</v>
      </c>
      <c r="C775" t="s">
        <v>32</v>
      </c>
      <c r="D775">
        <v>796</v>
      </c>
      <c r="E775" t="s">
        <v>40</v>
      </c>
      <c r="F775">
        <v>12</v>
      </c>
      <c r="G775" t="str">
        <f>IF(Table2[[#This Row],[DistanceFromHome]]&lt;=5, "short", IF(Table2[[#This Row],[DistanceFromHome]]&lt;=15, "medium", "long"))</f>
        <v>medium</v>
      </c>
      <c r="H775">
        <v>5</v>
      </c>
      <c r="I775" t="s">
        <v>46</v>
      </c>
      <c r="J775">
        <v>1073</v>
      </c>
      <c r="K775">
        <v>4</v>
      </c>
      <c r="L775" t="s">
        <v>35</v>
      </c>
      <c r="M775">
        <v>51</v>
      </c>
      <c r="N775">
        <v>2</v>
      </c>
      <c r="O775">
        <v>3</v>
      </c>
      <c r="P775" t="s">
        <v>48</v>
      </c>
      <c r="Q775">
        <v>4</v>
      </c>
      <c r="R775" t="s">
        <v>37</v>
      </c>
      <c r="S775">
        <v>8858</v>
      </c>
      <c r="T775">
        <v>15669</v>
      </c>
      <c r="U775">
        <v>0</v>
      </c>
      <c r="V775" t="s">
        <v>38</v>
      </c>
      <c r="W775">
        <v>11</v>
      </c>
      <c r="X775">
        <v>3</v>
      </c>
      <c r="Y775">
        <v>2</v>
      </c>
      <c r="Z775">
        <v>0</v>
      </c>
      <c r="AA775">
        <v>15</v>
      </c>
      <c r="AB775" t="str">
        <f>IF(Table2[[#This Row],[TotalWorkingYears]]&lt;=5,"Early (0-5)",IF(Table2[[#This Row],[TotalWorkingYears]]&lt;=15,"Mid (6-15)","Senior (16+)"))</f>
        <v>Mid (6-15)</v>
      </c>
      <c r="AC775">
        <v>2</v>
      </c>
      <c r="AD775">
        <v>2</v>
      </c>
      <c r="AE775" t="s">
        <v>65</v>
      </c>
      <c r="AF775">
        <v>8</v>
      </c>
      <c r="AG775">
        <v>7</v>
      </c>
      <c r="AH775">
        <v>8</v>
      </c>
    </row>
    <row r="776" spans="1:34" x14ac:dyDescent="0.3">
      <c r="A776" t="s">
        <v>58</v>
      </c>
      <c r="B776">
        <v>0</v>
      </c>
      <c r="C776" t="s">
        <v>50</v>
      </c>
      <c r="D776">
        <v>444</v>
      </c>
      <c r="E776" t="s">
        <v>40</v>
      </c>
      <c r="F776">
        <v>2</v>
      </c>
      <c r="G776" t="str">
        <f>IF(Table2[[#This Row],[DistanceFromHome]]&lt;=5, "short", IF(Table2[[#This Row],[DistanceFromHome]]&lt;=15, "medium", "long"))</f>
        <v>short</v>
      </c>
      <c r="H776">
        <v>1</v>
      </c>
      <c r="I776" t="s">
        <v>46</v>
      </c>
      <c r="J776">
        <v>1074</v>
      </c>
      <c r="K776">
        <v>3</v>
      </c>
      <c r="L776" t="s">
        <v>41</v>
      </c>
      <c r="M776">
        <v>40</v>
      </c>
      <c r="N776">
        <v>2</v>
      </c>
      <c r="O776">
        <v>4</v>
      </c>
      <c r="P776" t="s">
        <v>51</v>
      </c>
      <c r="Q776">
        <v>1</v>
      </c>
      <c r="R776" t="s">
        <v>37</v>
      </c>
      <c r="S776">
        <v>16756</v>
      </c>
      <c r="T776">
        <v>17323</v>
      </c>
      <c r="U776">
        <v>7</v>
      </c>
      <c r="V776" t="s">
        <v>38</v>
      </c>
      <c r="W776">
        <v>15</v>
      </c>
      <c r="X776">
        <v>3</v>
      </c>
      <c r="Y776">
        <v>2</v>
      </c>
      <c r="Z776">
        <v>0</v>
      </c>
      <c r="AA776">
        <v>31</v>
      </c>
      <c r="AB776" t="str">
        <f>IF(Table2[[#This Row],[TotalWorkingYears]]&lt;=5,"Early (0-5)",IF(Table2[[#This Row],[TotalWorkingYears]]&lt;=15,"Mid (6-15)","Senior (16+)"))</f>
        <v>Senior (16+)</v>
      </c>
      <c r="AC776">
        <v>3</v>
      </c>
      <c r="AD776">
        <v>4</v>
      </c>
      <c r="AE776" t="s">
        <v>62</v>
      </c>
      <c r="AF776">
        <v>7</v>
      </c>
      <c r="AG776">
        <v>6</v>
      </c>
      <c r="AH776">
        <v>2</v>
      </c>
    </row>
    <row r="777" spans="1:34" x14ac:dyDescent="0.3">
      <c r="A777" t="s">
        <v>57</v>
      </c>
      <c r="B777">
        <v>0</v>
      </c>
      <c r="C777" t="s">
        <v>32</v>
      </c>
      <c r="D777">
        <v>415</v>
      </c>
      <c r="E777" t="s">
        <v>33</v>
      </c>
      <c r="F777">
        <v>25</v>
      </c>
      <c r="G777" t="str">
        <f>IF(Table2[[#This Row],[DistanceFromHome]]&lt;=5, "short", IF(Table2[[#This Row],[DistanceFromHome]]&lt;=15, "medium", "long"))</f>
        <v>long</v>
      </c>
      <c r="H777">
        <v>3</v>
      </c>
      <c r="I777" t="s">
        <v>46</v>
      </c>
      <c r="J777">
        <v>1076</v>
      </c>
      <c r="K777">
        <v>3</v>
      </c>
      <c r="L777" t="s">
        <v>41</v>
      </c>
      <c r="M777">
        <v>79</v>
      </c>
      <c r="N777">
        <v>2</v>
      </c>
      <c r="O777">
        <v>3</v>
      </c>
      <c r="P777" t="s">
        <v>36</v>
      </c>
      <c r="Q777">
        <v>4</v>
      </c>
      <c r="R777" t="s">
        <v>47</v>
      </c>
      <c r="S777">
        <v>10798</v>
      </c>
      <c r="T777">
        <v>5268</v>
      </c>
      <c r="U777">
        <v>5</v>
      </c>
      <c r="V777" t="s">
        <v>38</v>
      </c>
      <c r="W777">
        <v>13</v>
      </c>
      <c r="X777">
        <v>3</v>
      </c>
      <c r="Y777">
        <v>3</v>
      </c>
      <c r="Z777">
        <v>1</v>
      </c>
      <c r="AA777">
        <v>18</v>
      </c>
      <c r="AB777" t="str">
        <f>IF(Table2[[#This Row],[TotalWorkingYears]]&lt;=5,"Early (0-5)",IF(Table2[[#This Row],[TotalWorkingYears]]&lt;=15,"Mid (6-15)","Senior (16+)"))</f>
        <v>Senior (16+)</v>
      </c>
      <c r="AC777">
        <v>5</v>
      </c>
      <c r="AD777">
        <v>3</v>
      </c>
      <c r="AE777" t="s">
        <v>63</v>
      </c>
      <c r="AF777">
        <v>0</v>
      </c>
      <c r="AG777">
        <v>0</v>
      </c>
      <c r="AH777">
        <v>0</v>
      </c>
    </row>
    <row r="778" spans="1:34" x14ac:dyDescent="0.3">
      <c r="A778" t="s">
        <v>60</v>
      </c>
      <c r="B778">
        <v>1</v>
      </c>
      <c r="C778" t="s">
        <v>39</v>
      </c>
      <c r="D778">
        <v>769</v>
      </c>
      <c r="E778" t="s">
        <v>33</v>
      </c>
      <c r="F778">
        <v>9</v>
      </c>
      <c r="G778" t="str">
        <f>IF(Table2[[#This Row],[DistanceFromHome]]&lt;=5, "short", IF(Table2[[#This Row],[DistanceFromHome]]&lt;=15, "medium", "long"))</f>
        <v>medium</v>
      </c>
      <c r="H778">
        <v>3</v>
      </c>
      <c r="I778" t="s">
        <v>54</v>
      </c>
      <c r="J778">
        <v>1077</v>
      </c>
      <c r="K778">
        <v>4</v>
      </c>
      <c r="L778" t="s">
        <v>35</v>
      </c>
      <c r="M778">
        <v>54</v>
      </c>
      <c r="N778">
        <v>3</v>
      </c>
      <c r="O778">
        <v>1</v>
      </c>
      <c r="P778" t="s">
        <v>52</v>
      </c>
      <c r="Q778">
        <v>4</v>
      </c>
      <c r="R778" t="s">
        <v>37</v>
      </c>
      <c r="S778">
        <v>2323</v>
      </c>
      <c r="T778">
        <v>17205</v>
      </c>
      <c r="U778">
        <v>1</v>
      </c>
      <c r="V778" t="s">
        <v>31</v>
      </c>
      <c r="W778">
        <v>14</v>
      </c>
      <c r="X778">
        <v>3</v>
      </c>
      <c r="Y778">
        <v>2</v>
      </c>
      <c r="Z778">
        <v>0</v>
      </c>
      <c r="AA778">
        <v>2</v>
      </c>
      <c r="AB778" t="str">
        <f>IF(Table2[[#This Row],[TotalWorkingYears]]&lt;=5,"Early (0-5)",IF(Table2[[#This Row],[TotalWorkingYears]]&lt;=15,"Mid (6-15)","Senior (16+)"))</f>
        <v>Early (0-5)</v>
      </c>
      <c r="AC778">
        <v>3</v>
      </c>
      <c r="AD778">
        <v>3</v>
      </c>
      <c r="AE778" t="s">
        <v>63</v>
      </c>
      <c r="AF778">
        <v>2</v>
      </c>
      <c r="AG778">
        <v>0</v>
      </c>
      <c r="AH778">
        <v>2</v>
      </c>
    </row>
    <row r="779" spans="1:34" x14ac:dyDescent="0.3">
      <c r="A779" t="s">
        <v>60</v>
      </c>
      <c r="B779">
        <v>1</v>
      </c>
      <c r="C779" t="s">
        <v>32</v>
      </c>
      <c r="D779">
        <v>1334</v>
      </c>
      <c r="E779" t="s">
        <v>40</v>
      </c>
      <c r="F779">
        <v>10</v>
      </c>
      <c r="G779" t="str">
        <f>IF(Table2[[#This Row],[DistanceFromHome]]&lt;=5, "short", IF(Table2[[#This Row],[DistanceFromHome]]&lt;=15, "medium", "long"))</f>
        <v>medium</v>
      </c>
      <c r="H779">
        <v>3</v>
      </c>
      <c r="I779" t="s">
        <v>34</v>
      </c>
      <c r="J779">
        <v>1079</v>
      </c>
      <c r="K779">
        <v>3</v>
      </c>
      <c r="L779" t="s">
        <v>35</v>
      </c>
      <c r="M779">
        <v>36</v>
      </c>
      <c r="N779">
        <v>2</v>
      </c>
      <c r="O779">
        <v>1</v>
      </c>
      <c r="P779" t="s">
        <v>45</v>
      </c>
      <c r="Q779">
        <v>1</v>
      </c>
      <c r="R779" t="s">
        <v>37</v>
      </c>
      <c r="S779">
        <v>1416</v>
      </c>
      <c r="T779">
        <v>17258</v>
      </c>
      <c r="U779">
        <v>1</v>
      </c>
      <c r="V779" t="s">
        <v>38</v>
      </c>
      <c r="W779">
        <v>13</v>
      </c>
      <c r="X779">
        <v>3</v>
      </c>
      <c r="Y779">
        <v>1</v>
      </c>
      <c r="Z779">
        <v>0</v>
      </c>
      <c r="AA779">
        <v>1</v>
      </c>
      <c r="AB779" t="str">
        <f>IF(Table2[[#This Row],[TotalWorkingYears]]&lt;=5,"Early (0-5)",IF(Table2[[#This Row],[TotalWorkingYears]]&lt;=15,"Mid (6-15)","Senior (16+)"))</f>
        <v>Early (0-5)</v>
      </c>
      <c r="AC779">
        <v>6</v>
      </c>
      <c r="AD779">
        <v>2</v>
      </c>
      <c r="AE779" t="s">
        <v>63</v>
      </c>
      <c r="AF779">
        <v>0</v>
      </c>
      <c r="AG779">
        <v>1</v>
      </c>
      <c r="AH779">
        <v>0</v>
      </c>
    </row>
    <row r="780" spans="1:34" x14ac:dyDescent="0.3">
      <c r="A780" t="s">
        <v>58</v>
      </c>
      <c r="B780">
        <v>0</v>
      </c>
      <c r="C780" t="s">
        <v>32</v>
      </c>
      <c r="D780">
        <v>1003</v>
      </c>
      <c r="E780" t="s">
        <v>40</v>
      </c>
      <c r="F780">
        <v>8</v>
      </c>
      <c r="G780" t="str">
        <f>IF(Table2[[#This Row],[DistanceFromHome]]&lt;=5, "short", IF(Table2[[#This Row],[DistanceFromHome]]&lt;=15, "medium", "long"))</f>
        <v>medium</v>
      </c>
      <c r="H780">
        <v>4</v>
      </c>
      <c r="I780" t="s">
        <v>34</v>
      </c>
      <c r="J780">
        <v>1080</v>
      </c>
      <c r="K780">
        <v>4</v>
      </c>
      <c r="L780" t="s">
        <v>35</v>
      </c>
      <c r="M780">
        <v>74</v>
      </c>
      <c r="N780">
        <v>2</v>
      </c>
      <c r="O780">
        <v>2</v>
      </c>
      <c r="P780" t="s">
        <v>42</v>
      </c>
      <c r="Q780">
        <v>1</v>
      </c>
      <c r="R780" t="s">
        <v>47</v>
      </c>
      <c r="S780">
        <v>4615</v>
      </c>
      <c r="T780">
        <v>21029</v>
      </c>
      <c r="U780">
        <v>8</v>
      </c>
      <c r="V780" t="s">
        <v>31</v>
      </c>
      <c r="W780">
        <v>23</v>
      </c>
      <c r="X780">
        <v>4</v>
      </c>
      <c r="Y780">
        <v>1</v>
      </c>
      <c r="Z780">
        <v>3</v>
      </c>
      <c r="AA780">
        <v>19</v>
      </c>
      <c r="AB780" t="str">
        <f>IF(Table2[[#This Row],[TotalWorkingYears]]&lt;=5,"Early (0-5)",IF(Table2[[#This Row],[TotalWorkingYears]]&lt;=15,"Mid (6-15)","Senior (16+)"))</f>
        <v>Senior (16+)</v>
      </c>
      <c r="AC780">
        <v>2</v>
      </c>
      <c r="AD780">
        <v>3</v>
      </c>
      <c r="AE780" t="s">
        <v>65</v>
      </c>
      <c r="AF780">
        <v>13</v>
      </c>
      <c r="AG780">
        <v>1</v>
      </c>
      <c r="AH780">
        <v>7</v>
      </c>
    </row>
    <row r="781" spans="1:34" x14ac:dyDescent="0.3">
      <c r="A781" t="s">
        <v>58</v>
      </c>
      <c r="B781">
        <v>1</v>
      </c>
      <c r="C781" t="s">
        <v>32</v>
      </c>
      <c r="D781">
        <v>1323</v>
      </c>
      <c r="E781" t="s">
        <v>40</v>
      </c>
      <c r="F781">
        <v>4</v>
      </c>
      <c r="G781" t="str">
        <f>IF(Table2[[#This Row],[DistanceFromHome]]&lt;=5, "short", IF(Table2[[#This Row],[DistanceFromHome]]&lt;=15, "medium", "long"))</f>
        <v>short</v>
      </c>
      <c r="H781">
        <v>4</v>
      </c>
      <c r="I781" t="s">
        <v>34</v>
      </c>
      <c r="J781">
        <v>1081</v>
      </c>
      <c r="K781">
        <v>1</v>
      </c>
      <c r="L781" t="s">
        <v>41</v>
      </c>
      <c r="M781">
        <v>34</v>
      </c>
      <c r="N781">
        <v>3</v>
      </c>
      <c r="O781">
        <v>1</v>
      </c>
      <c r="P781" t="s">
        <v>42</v>
      </c>
      <c r="Q781">
        <v>3</v>
      </c>
      <c r="R781" t="s">
        <v>43</v>
      </c>
      <c r="S781">
        <v>2461</v>
      </c>
      <c r="T781">
        <v>10332</v>
      </c>
      <c r="U781">
        <v>9</v>
      </c>
      <c r="V781" t="s">
        <v>31</v>
      </c>
      <c r="W781">
        <v>12</v>
      </c>
      <c r="X781">
        <v>3</v>
      </c>
      <c r="Y781">
        <v>3</v>
      </c>
      <c r="Z781">
        <v>3</v>
      </c>
      <c r="AA781">
        <v>18</v>
      </c>
      <c r="AB781" t="str">
        <f>IF(Table2[[#This Row],[TotalWorkingYears]]&lt;=5,"Early (0-5)",IF(Table2[[#This Row],[TotalWorkingYears]]&lt;=15,"Mid (6-15)","Senior (16+)"))</f>
        <v>Senior (16+)</v>
      </c>
      <c r="AC781">
        <v>2</v>
      </c>
      <c r="AD781">
        <v>4</v>
      </c>
      <c r="AE781" t="s">
        <v>62</v>
      </c>
      <c r="AF781">
        <v>0</v>
      </c>
      <c r="AG781">
        <v>2</v>
      </c>
      <c r="AH781">
        <v>7</v>
      </c>
    </row>
    <row r="782" spans="1:34" x14ac:dyDescent="0.3">
      <c r="A782" t="s">
        <v>59</v>
      </c>
      <c r="B782">
        <v>1</v>
      </c>
      <c r="C782" t="s">
        <v>50</v>
      </c>
      <c r="D782">
        <v>1366</v>
      </c>
      <c r="E782" t="s">
        <v>40</v>
      </c>
      <c r="F782">
        <v>24</v>
      </c>
      <c r="G782" t="str">
        <f>IF(Table2[[#This Row],[DistanceFromHome]]&lt;=5, "short", IF(Table2[[#This Row],[DistanceFromHome]]&lt;=15, "medium", "long"))</f>
        <v>long</v>
      </c>
      <c r="H782">
        <v>2</v>
      </c>
      <c r="I782" t="s">
        <v>55</v>
      </c>
      <c r="J782">
        <v>1082</v>
      </c>
      <c r="K782">
        <v>2</v>
      </c>
      <c r="L782" t="s">
        <v>41</v>
      </c>
      <c r="M782">
        <v>72</v>
      </c>
      <c r="N782">
        <v>2</v>
      </c>
      <c r="O782">
        <v>3</v>
      </c>
      <c r="P782" t="s">
        <v>49</v>
      </c>
      <c r="Q782">
        <v>1</v>
      </c>
      <c r="R782" t="s">
        <v>37</v>
      </c>
      <c r="S782">
        <v>8722</v>
      </c>
      <c r="T782">
        <v>12355</v>
      </c>
      <c r="U782">
        <v>1</v>
      </c>
      <c r="V782" t="s">
        <v>38</v>
      </c>
      <c r="W782">
        <v>12</v>
      </c>
      <c r="X782">
        <v>3</v>
      </c>
      <c r="Y782">
        <v>1</v>
      </c>
      <c r="Z782">
        <v>0</v>
      </c>
      <c r="AA782">
        <v>10</v>
      </c>
      <c r="AB782" t="str">
        <f>IF(Table2[[#This Row],[TotalWorkingYears]]&lt;=5,"Early (0-5)",IF(Table2[[#This Row],[TotalWorkingYears]]&lt;=15,"Mid (6-15)","Senior (16+)"))</f>
        <v>Mid (6-15)</v>
      </c>
      <c r="AC782">
        <v>2</v>
      </c>
      <c r="AD782">
        <v>2</v>
      </c>
      <c r="AE782" t="s">
        <v>62</v>
      </c>
      <c r="AF782">
        <v>7</v>
      </c>
      <c r="AG782">
        <v>1</v>
      </c>
      <c r="AH782">
        <v>9</v>
      </c>
    </row>
    <row r="783" spans="1:34" x14ac:dyDescent="0.3">
      <c r="A783" t="s">
        <v>59</v>
      </c>
      <c r="B783">
        <v>0</v>
      </c>
      <c r="C783" t="s">
        <v>32</v>
      </c>
      <c r="D783">
        <v>192</v>
      </c>
      <c r="E783" t="s">
        <v>40</v>
      </c>
      <c r="F783">
        <v>1</v>
      </c>
      <c r="G783" t="str">
        <f>IF(Table2[[#This Row],[DistanceFromHome]]&lt;=5, "short", IF(Table2[[#This Row],[DistanceFromHome]]&lt;=15, "medium", "long"))</f>
        <v>short</v>
      </c>
      <c r="H783">
        <v>2</v>
      </c>
      <c r="I783" t="s">
        <v>46</v>
      </c>
      <c r="J783">
        <v>1083</v>
      </c>
      <c r="K783">
        <v>1</v>
      </c>
      <c r="L783" t="s">
        <v>41</v>
      </c>
      <c r="M783">
        <v>59</v>
      </c>
      <c r="N783">
        <v>2</v>
      </c>
      <c r="O783">
        <v>1</v>
      </c>
      <c r="P783" t="s">
        <v>45</v>
      </c>
      <c r="Q783">
        <v>1</v>
      </c>
      <c r="R783" t="s">
        <v>43</v>
      </c>
      <c r="S783">
        <v>3955</v>
      </c>
      <c r="T783">
        <v>11141</v>
      </c>
      <c r="U783">
        <v>1</v>
      </c>
      <c r="V783" t="s">
        <v>38</v>
      </c>
      <c r="W783">
        <v>16</v>
      </c>
      <c r="X783">
        <v>3</v>
      </c>
      <c r="Y783">
        <v>1</v>
      </c>
      <c r="Z783">
        <v>2</v>
      </c>
      <c r="AA783">
        <v>6</v>
      </c>
      <c r="AB783" t="str">
        <f>IF(Table2[[#This Row],[TotalWorkingYears]]&lt;=5,"Early (0-5)",IF(Table2[[#This Row],[TotalWorkingYears]]&lt;=15,"Mid (6-15)","Senior (16+)"))</f>
        <v>Mid (6-15)</v>
      </c>
      <c r="AC783">
        <v>2</v>
      </c>
      <c r="AD783">
        <v>3</v>
      </c>
      <c r="AE783" t="s">
        <v>64</v>
      </c>
      <c r="AF783">
        <v>3</v>
      </c>
      <c r="AG783">
        <v>1</v>
      </c>
      <c r="AH783">
        <v>3</v>
      </c>
    </row>
    <row r="784" spans="1:34" x14ac:dyDescent="0.3">
      <c r="A784" t="s">
        <v>59</v>
      </c>
      <c r="B784">
        <v>0</v>
      </c>
      <c r="C784" t="s">
        <v>32</v>
      </c>
      <c r="D784">
        <v>1176</v>
      </c>
      <c r="E784" t="s">
        <v>40</v>
      </c>
      <c r="F784">
        <v>20</v>
      </c>
      <c r="G784" t="str">
        <f>IF(Table2[[#This Row],[DistanceFromHome]]&lt;=5, "short", IF(Table2[[#This Row],[DistanceFromHome]]&lt;=15, "medium", "long"))</f>
        <v>long</v>
      </c>
      <c r="H784">
        <v>3</v>
      </c>
      <c r="I784" t="s">
        <v>44</v>
      </c>
      <c r="J784">
        <v>1084</v>
      </c>
      <c r="K784">
        <v>3</v>
      </c>
      <c r="L784" t="s">
        <v>41</v>
      </c>
      <c r="M784">
        <v>85</v>
      </c>
      <c r="N784">
        <v>3</v>
      </c>
      <c r="O784">
        <v>2</v>
      </c>
      <c r="P784" t="s">
        <v>48</v>
      </c>
      <c r="Q784">
        <v>1</v>
      </c>
      <c r="R784" t="s">
        <v>43</v>
      </c>
      <c r="S784">
        <v>9957</v>
      </c>
      <c r="T784">
        <v>9096</v>
      </c>
      <c r="U784">
        <v>0</v>
      </c>
      <c r="V784" t="s">
        <v>38</v>
      </c>
      <c r="W784">
        <v>15</v>
      </c>
      <c r="X784">
        <v>3</v>
      </c>
      <c r="Y784">
        <v>3</v>
      </c>
      <c r="Z784">
        <v>1</v>
      </c>
      <c r="AA784">
        <v>7</v>
      </c>
      <c r="AB784" t="str">
        <f>IF(Table2[[#This Row],[TotalWorkingYears]]&lt;=5,"Early (0-5)",IF(Table2[[#This Row],[TotalWorkingYears]]&lt;=15,"Mid (6-15)","Senior (16+)"))</f>
        <v>Mid (6-15)</v>
      </c>
      <c r="AC784">
        <v>1</v>
      </c>
      <c r="AD784">
        <v>2</v>
      </c>
      <c r="AE784" t="s">
        <v>62</v>
      </c>
      <c r="AF784">
        <v>2</v>
      </c>
      <c r="AG784">
        <v>0</v>
      </c>
      <c r="AH784">
        <v>2</v>
      </c>
    </row>
    <row r="785" spans="1:34" x14ac:dyDescent="0.3">
      <c r="A785" t="s">
        <v>57</v>
      </c>
      <c r="B785">
        <v>0</v>
      </c>
      <c r="C785" t="s">
        <v>32</v>
      </c>
      <c r="D785">
        <v>509</v>
      </c>
      <c r="E785" t="s">
        <v>40</v>
      </c>
      <c r="F785">
        <v>7</v>
      </c>
      <c r="G785" t="str">
        <f>IF(Table2[[#This Row],[DistanceFromHome]]&lt;=5, "short", IF(Table2[[#This Row],[DistanceFromHome]]&lt;=15, "medium", "long"))</f>
        <v>medium</v>
      </c>
      <c r="H785">
        <v>2</v>
      </c>
      <c r="I785" t="s">
        <v>55</v>
      </c>
      <c r="J785">
        <v>1085</v>
      </c>
      <c r="K785">
        <v>2</v>
      </c>
      <c r="L785" t="s">
        <v>35</v>
      </c>
      <c r="M785">
        <v>43</v>
      </c>
      <c r="N785">
        <v>4</v>
      </c>
      <c r="O785">
        <v>1</v>
      </c>
      <c r="P785" t="s">
        <v>42</v>
      </c>
      <c r="Q785">
        <v>3</v>
      </c>
      <c r="R785" t="s">
        <v>43</v>
      </c>
      <c r="S785">
        <v>3376</v>
      </c>
      <c r="T785">
        <v>18863</v>
      </c>
      <c r="U785">
        <v>1</v>
      </c>
      <c r="V785" t="s">
        <v>38</v>
      </c>
      <c r="W785">
        <v>13</v>
      </c>
      <c r="X785">
        <v>3</v>
      </c>
      <c r="Y785">
        <v>3</v>
      </c>
      <c r="Z785">
        <v>0</v>
      </c>
      <c r="AA785">
        <v>10</v>
      </c>
      <c r="AB785" t="str">
        <f>IF(Table2[[#This Row],[TotalWorkingYears]]&lt;=5,"Early (0-5)",IF(Table2[[#This Row],[TotalWorkingYears]]&lt;=15,"Mid (6-15)","Senior (16+)"))</f>
        <v>Mid (6-15)</v>
      </c>
      <c r="AC785">
        <v>3</v>
      </c>
      <c r="AD785">
        <v>3</v>
      </c>
      <c r="AE785" t="s">
        <v>62</v>
      </c>
      <c r="AF785">
        <v>6</v>
      </c>
      <c r="AG785">
        <v>0</v>
      </c>
      <c r="AH785">
        <v>8</v>
      </c>
    </row>
    <row r="786" spans="1:34" x14ac:dyDescent="0.3">
      <c r="A786" t="s">
        <v>57</v>
      </c>
      <c r="B786">
        <v>0</v>
      </c>
      <c r="C786" t="s">
        <v>32</v>
      </c>
      <c r="D786">
        <v>330</v>
      </c>
      <c r="E786" t="s">
        <v>40</v>
      </c>
      <c r="F786">
        <v>17</v>
      </c>
      <c r="G786" t="str">
        <f>IF(Table2[[#This Row],[DistanceFromHome]]&lt;=5, "short", IF(Table2[[#This Row],[DistanceFromHome]]&lt;=15, "medium", "long"))</f>
        <v>long</v>
      </c>
      <c r="H786">
        <v>1</v>
      </c>
      <c r="I786" t="s">
        <v>34</v>
      </c>
      <c r="J786">
        <v>1088</v>
      </c>
      <c r="K786">
        <v>3</v>
      </c>
      <c r="L786" t="s">
        <v>35</v>
      </c>
      <c r="M786">
        <v>65</v>
      </c>
      <c r="N786">
        <v>2</v>
      </c>
      <c r="O786">
        <v>3</v>
      </c>
      <c r="P786" t="s">
        <v>49</v>
      </c>
      <c r="Q786">
        <v>3</v>
      </c>
      <c r="R786" t="s">
        <v>43</v>
      </c>
      <c r="S786">
        <v>8823</v>
      </c>
      <c r="T786">
        <v>24608</v>
      </c>
      <c r="U786">
        <v>0</v>
      </c>
      <c r="V786" t="s">
        <v>38</v>
      </c>
      <c r="W786">
        <v>18</v>
      </c>
      <c r="X786">
        <v>3</v>
      </c>
      <c r="Y786">
        <v>1</v>
      </c>
      <c r="Z786">
        <v>1</v>
      </c>
      <c r="AA786">
        <v>20</v>
      </c>
      <c r="AB786" t="str">
        <f>IF(Table2[[#This Row],[TotalWorkingYears]]&lt;=5,"Early (0-5)",IF(Table2[[#This Row],[TotalWorkingYears]]&lt;=15,"Mid (6-15)","Senior (16+)"))</f>
        <v>Senior (16+)</v>
      </c>
      <c r="AC786">
        <v>4</v>
      </c>
      <c r="AD786">
        <v>2</v>
      </c>
      <c r="AE786" t="s">
        <v>65</v>
      </c>
      <c r="AF786">
        <v>9</v>
      </c>
      <c r="AG786">
        <v>1</v>
      </c>
      <c r="AH786">
        <v>9</v>
      </c>
    </row>
    <row r="787" spans="1:34" x14ac:dyDescent="0.3">
      <c r="A787" t="s">
        <v>57</v>
      </c>
      <c r="B787">
        <v>0</v>
      </c>
      <c r="C787" t="s">
        <v>32</v>
      </c>
      <c r="D787">
        <v>1492</v>
      </c>
      <c r="E787" t="s">
        <v>40</v>
      </c>
      <c r="F787">
        <v>20</v>
      </c>
      <c r="G787" t="str">
        <f>IF(Table2[[#This Row],[DistanceFromHome]]&lt;=5, "short", IF(Table2[[#This Row],[DistanceFromHome]]&lt;=15, "medium", "long"))</f>
        <v>long</v>
      </c>
      <c r="H787">
        <v>4</v>
      </c>
      <c r="I787" t="s">
        <v>55</v>
      </c>
      <c r="J787">
        <v>1092</v>
      </c>
      <c r="K787">
        <v>1</v>
      </c>
      <c r="L787" t="s">
        <v>41</v>
      </c>
      <c r="M787">
        <v>61</v>
      </c>
      <c r="N787">
        <v>3</v>
      </c>
      <c r="O787">
        <v>3</v>
      </c>
      <c r="P787" t="s">
        <v>49</v>
      </c>
      <c r="Q787">
        <v>4</v>
      </c>
      <c r="R787" t="s">
        <v>43</v>
      </c>
      <c r="S787">
        <v>10322</v>
      </c>
      <c r="T787">
        <v>26542</v>
      </c>
      <c r="U787">
        <v>4</v>
      </c>
      <c r="V787" t="s">
        <v>38</v>
      </c>
      <c r="W787">
        <v>20</v>
      </c>
      <c r="X787">
        <v>4</v>
      </c>
      <c r="Y787">
        <v>4</v>
      </c>
      <c r="Z787">
        <v>1</v>
      </c>
      <c r="AA787">
        <v>14</v>
      </c>
      <c r="AB787" t="str">
        <f>IF(Table2[[#This Row],[TotalWorkingYears]]&lt;=5,"Early (0-5)",IF(Table2[[#This Row],[TotalWorkingYears]]&lt;=15,"Mid (6-15)","Senior (16+)"))</f>
        <v>Mid (6-15)</v>
      </c>
      <c r="AC787">
        <v>6</v>
      </c>
      <c r="AD787">
        <v>3</v>
      </c>
      <c r="AE787" t="s">
        <v>65</v>
      </c>
      <c r="AF787">
        <v>10</v>
      </c>
      <c r="AG787">
        <v>11</v>
      </c>
      <c r="AH787">
        <v>1</v>
      </c>
    </row>
    <row r="788" spans="1:34" x14ac:dyDescent="0.3">
      <c r="A788" t="s">
        <v>59</v>
      </c>
      <c r="B788">
        <v>0</v>
      </c>
      <c r="C788" t="s">
        <v>50</v>
      </c>
      <c r="D788">
        <v>1277</v>
      </c>
      <c r="E788" t="s">
        <v>40</v>
      </c>
      <c r="F788">
        <v>8</v>
      </c>
      <c r="G788" t="str">
        <f>IF(Table2[[#This Row],[DistanceFromHome]]&lt;=5, "short", IF(Table2[[#This Row],[DistanceFromHome]]&lt;=15, "medium", "long"))</f>
        <v>medium</v>
      </c>
      <c r="H788">
        <v>5</v>
      </c>
      <c r="I788" t="s">
        <v>34</v>
      </c>
      <c r="J788">
        <v>1094</v>
      </c>
      <c r="K788">
        <v>1</v>
      </c>
      <c r="L788" t="s">
        <v>41</v>
      </c>
      <c r="M788">
        <v>87</v>
      </c>
      <c r="N788">
        <v>1</v>
      </c>
      <c r="O788">
        <v>1</v>
      </c>
      <c r="P788" t="s">
        <v>45</v>
      </c>
      <c r="Q788">
        <v>3</v>
      </c>
      <c r="R788" t="s">
        <v>43</v>
      </c>
      <c r="S788">
        <v>4621</v>
      </c>
      <c r="T788">
        <v>5869</v>
      </c>
      <c r="U788">
        <v>1</v>
      </c>
      <c r="V788" t="s">
        <v>38</v>
      </c>
      <c r="W788">
        <v>19</v>
      </c>
      <c r="X788">
        <v>3</v>
      </c>
      <c r="Y788">
        <v>4</v>
      </c>
      <c r="Z788">
        <v>3</v>
      </c>
      <c r="AA788">
        <v>3</v>
      </c>
      <c r="AB788" t="str">
        <f>IF(Table2[[#This Row],[TotalWorkingYears]]&lt;=5,"Early (0-5)",IF(Table2[[#This Row],[TotalWorkingYears]]&lt;=15,"Mid (6-15)","Senior (16+)"))</f>
        <v>Early (0-5)</v>
      </c>
      <c r="AC788">
        <v>4</v>
      </c>
      <c r="AD788">
        <v>3</v>
      </c>
      <c r="AE788" t="s">
        <v>64</v>
      </c>
      <c r="AF788">
        <v>2</v>
      </c>
      <c r="AG788">
        <v>1</v>
      </c>
      <c r="AH788">
        <v>2</v>
      </c>
    </row>
    <row r="789" spans="1:34" x14ac:dyDescent="0.3">
      <c r="A789" t="s">
        <v>58</v>
      </c>
      <c r="B789">
        <v>0</v>
      </c>
      <c r="C789" t="s">
        <v>39</v>
      </c>
      <c r="D789">
        <v>1091</v>
      </c>
      <c r="E789" t="s">
        <v>40</v>
      </c>
      <c r="F789">
        <v>2</v>
      </c>
      <c r="G789" t="str">
        <f>IF(Table2[[#This Row],[DistanceFromHome]]&lt;=5, "short", IF(Table2[[#This Row],[DistanceFromHome]]&lt;=15, "medium", "long"))</f>
        <v>short</v>
      </c>
      <c r="H789">
        <v>1</v>
      </c>
      <c r="I789" t="s">
        <v>34</v>
      </c>
      <c r="J789">
        <v>1096</v>
      </c>
      <c r="K789">
        <v>4</v>
      </c>
      <c r="L789" t="s">
        <v>41</v>
      </c>
      <c r="M789">
        <v>65</v>
      </c>
      <c r="N789">
        <v>3</v>
      </c>
      <c r="O789">
        <v>3</v>
      </c>
      <c r="P789" t="s">
        <v>48</v>
      </c>
      <c r="Q789">
        <v>2</v>
      </c>
      <c r="R789" t="s">
        <v>43</v>
      </c>
      <c r="S789">
        <v>10976</v>
      </c>
      <c r="T789">
        <v>15813</v>
      </c>
      <c r="U789">
        <v>3</v>
      </c>
      <c r="V789" t="s">
        <v>38</v>
      </c>
      <c r="W789">
        <v>18</v>
      </c>
      <c r="X789">
        <v>3</v>
      </c>
      <c r="Y789">
        <v>2</v>
      </c>
      <c r="Z789">
        <v>1</v>
      </c>
      <c r="AA789">
        <v>23</v>
      </c>
      <c r="AB789" t="str">
        <f>IF(Table2[[#This Row],[TotalWorkingYears]]&lt;=5,"Early (0-5)",IF(Table2[[#This Row],[TotalWorkingYears]]&lt;=15,"Mid (6-15)","Senior (16+)"))</f>
        <v>Senior (16+)</v>
      </c>
      <c r="AC789">
        <v>4</v>
      </c>
      <c r="AD789">
        <v>3</v>
      </c>
      <c r="AE789" t="s">
        <v>64</v>
      </c>
      <c r="AF789">
        <v>2</v>
      </c>
      <c r="AG789">
        <v>1</v>
      </c>
      <c r="AH789">
        <v>2</v>
      </c>
    </row>
    <row r="790" spans="1:34" x14ac:dyDescent="0.3">
      <c r="A790" t="s">
        <v>59</v>
      </c>
      <c r="B790">
        <v>0</v>
      </c>
      <c r="C790" t="s">
        <v>32</v>
      </c>
      <c r="D790">
        <v>857</v>
      </c>
      <c r="E790" t="s">
        <v>40</v>
      </c>
      <c r="F790">
        <v>10</v>
      </c>
      <c r="G790" t="str">
        <f>IF(Table2[[#This Row],[DistanceFromHome]]&lt;=5, "short", IF(Table2[[#This Row],[DistanceFromHome]]&lt;=15, "medium", "long"))</f>
        <v>medium</v>
      </c>
      <c r="H790">
        <v>3</v>
      </c>
      <c r="I790" t="s">
        <v>44</v>
      </c>
      <c r="J790">
        <v>1097</v>
      </c>
      <c r="K790">
        <v>3</v>
      </c>
      <c r="L790" t="s">
        <v>35</v>
      </c>
      <c r="M790">
        <v>59</v>
      </c>
      <c r="N790">
        <v>3</v>
      </c>
      <c r="O790">
        <v>2</v>
      </c>
      <c r="P790" t="s">
        <v>42</v>
      </c>
      <c r="Q790">
        <v>3</v>
      </c>
      <c r="R790" t="s">
        <v>37</v>
      </c>
      <c r="S790">
        <v>3660</v>
      </c>
      <c r="T790">
        <v>7909</v>
      </c>
      <c r="U790">
        <v>3</v>
      </c>
      <c r="V790" t="s">
        <v>38</v>
      </c>
      <c r="W790">
        <v>13</v>
      </c>
      <c r="X790">
        <v>3</v>
      </c>
      <c r="Y790">
        <v>4</v>
      </c>
      <c r="Z790">
        <v>0</v>
      </c>
      <c r="AA790">
        <v>10</v>
      </c>
      <c r="AB790" t="str">
        <f>IF(Table2[[#This Row],[TotalWorkingYears]]&lt;=5,"Early (0-5)",IF(Table2[[#This Row],[TotalWorkingYears]]&lt;=15,"Mid (6-15)","Senior (16+)"))</f>
        <v>Mid (6-15)</v>
      </c>
      <c r="AC790">
        <v>4</v>
      </c>
      <c r="AD790">
        <v>4</v>
      </c>
      <c r="AE790" t="s">
        <v>62</v>
      </c>
      <c r="AF790">
        <v>7</v>
      </c>
      <c r="AG790">
        <v>1</v>
      </c>
      <c r="AH790">
        <v>7</v>
      </c>
    </row>
    <row r="791" spans="1:34" x14ac:dyDescent="0.3">
      <c r="A791" t="s">
        <v>57</v>
      </c>
      <c r="B791">
        <v>1</v>
      </c>
      <c r="C791" t="s">
        <v>32</v>
      </c>
      <c r="D791">
        <v>1376</v>
      </c>
      <c r="E791" t="s">
        <v>56</v>
      </c>
      <c r="F791">
        <v>1</v>
      </c>
      <c r="G791" t="str">
        <f>IF(Table2[[#This Row],[DistanceFromHome]]&lt;=5, "short", IF(Table2[[#This Row],[DistanceFromHome]]&lt;=15, "medium", "long"))</f>
        <v>short</v>
      </c>
      <c r="H791">
        <v>2</v>
      </c>
      <c r="I791" t="s">
        <v>46</v>
      </c>
      <c r="J791">
        <v>1098</v>
      </c>
      <c r="K791">
        <v>2</v>
      </c>
      <c r="L791" t="s">
        <v>41</v>
      </c>
      <c r="M791">
        <v>91</v>
      </c>
      <c r="N791">
        <v>2</v>
      </c>
      <c r="O791">
        <v>3</v>
      </c>
      <c r="P791" t="s">
        <v>56</v>
      </c>
      <c r="Q791">
        <v>1</v>
      </c>
      <c r="R791" t="s">
        <v>43</v>
      </c>
      <c r="S791">
        <v>10482</v>
      </c>
      <c r="T791">
        <v>2326</v>
      </c>
      <c r="U791">
        <v>9</v>
      </c>
      <c r="V791" t="s">
        <v>38</v>
      </c>
      <c r="W791">
        <v>14</v>
      </c>
      <c r="X791">
        <v>3</v>
      </c>
      <c r="Y791">
        <v>4</v>
      </c>
      <c r="Z791">
        <v>1</v>
      </c>
      <c r="AA791">
        <v>24</v>
      </c>
      <c r="AB791" t="str">
        <f>IF(Table2[[#This Row],[TotalWorkingYears]]&lt;=5,"Early (0-5)",IF(Table2[[#This Row],[TotalWorkingYears]]&lt;=15,"Mid (6-15)","Senior (16+)"))</f>
        <v>Senior (16+)</v>
      </c>
      <c r="AC791">
        <v>1</v>
      </c>
      <c r="AD791">
        <v>3</v>
      </c>
      <c r="AE791" t="s">
        <v>65</v>
      </c>
      <c r="AF791">
        <v>6</v>
      </c>
      <c r="AG791">
        <v>3</v>
      </c>
      <c r="AH791">
        <v>6</v>
      </c>
    </row>
    <row r="792" spans="1:34" x14ac:dyDescent="0.3">
      <c r="A792" t="s">
        <v>59</v>
      </c>
      <c r="B792">
        <v>0</v>
      </c>
      <c r="C792" t="s">
        <v>32</v>
      </c>
      <c r="D792">
        <v>654</v>
      </c>
      <c r="E792" t="s">
        <v>40</v>
      </c>
      <c r="F792">
        <v>5</v>
      </c>
      <c r="G792" t="str">
        <f>IF(Table2[[#This Row],[DistanceFromHome]]&lt;=5, "short", IF(Table2[[#This Row],[DistanceFromHome]]&lt;=15, "medium", "long"))</f>
        <v>short</v>
      </c>
      <c r="H792">
        <v>3</v>
      </c>
      <c r="I792" t="s">
        <v>34</v>
      </c>
      <c r="J792">
        <v>1099</v>
      </c>
      <c r="K792">
        <v>4</v>
      </c>
      <c r="L792" t="s">
        <v>41</v>
      </c>
      <c r="M792">
        <v>34</v>
      </c>
      <c r="N792">
        <v>2</v>
      </c>
      <c r="O792">
        <v>3</v>
      </c>
      <c r="P792" t="s">
        <v>49</v>
      </c>
      <c r="Q792">
        <v>4</v>
      </c>
      <c r="R792" t="s">
        <v>47</v>
      </c>
      <c r="S792">
        <v>7119</v>
      </c>
      <c r="T792">
        <v>21214</v>
      </c>
      <c r="U792">
        <v>4</v>
      </c>
      <c r="V792" t="s">
        <v>38</v>
      </c>
      <c r="W792">
        <v>15</v>
      </c>
      <c r="X792">
        <v>3</v>
      </c>
      <c r="Y792">
        <v>3</v>
      </c>
      <c r="Z792">
        <v>1</v>
      </c>
      <c r="AA792">
        <v>9</v>
      </c>
      <c r="AB792" t="str">
        <f>IF(Table2[[#This Row],[TotalWorkingYears]]&lt;=5,"Early (0-5)",IF(Table2[[#This Row],[TotalWorkingYears]]&lt;=15,"Mid (6-15)","Senior (16+)"))</f>
        <v>Mid (6-15)</v>
      </c>
      <c r="AC792">
        <v>2</v>
      </c>
      <c r="AD792">
        <v>3</v>
      </c>
      <c r="AE792" t="s">
        <v>64</v>
      </c>
      <c r="AF792">
        <v>2</v>
      </c>
      <c r="AG792">
        <v>1</v>
      </c>
      <c r="AH792">
        <v>2</v>
      </c>
    </row>
    <row r="793" spans="1:34" x14ac:dyDescent="0.3">
      <c r="A793" t="s">
        <v>59</v>
      </c>
      <c r="B793">
        <v>1</v>
      </c>
      <c r="C793" t="s">
        <v>32</v>
      </c>
      <c r="D793">
        <v>1204</v>
      </c>
      <c r="E793" t="s">
        <v>33</v>
      </c>
      <c r="F793">
        <v>4</v>
      </c>
      <c r="G793" t="str">
        <f>IF(Table2[[#This Row],[DistanceFromHome]]&lt;=5, "short", IF(Table2[[#This Row],[DistanceFromHome]]&lt;=15, "medium", "long"))</f>
        <v>short</v>
      </c>
      <c r="H793">
        <v>3</v>
      </c>
      <c r="I793" t="s">
        <v>55</v>
      </c>
      <c r="J793">
        <v>1100</v>
      </c>
      <c r="K793">
        <v>4</v>
      </c>
      <c r="L793" t="s">
        <v>41</v>
      </c>
      <c r="M793">
        <v>86</v>
      </c>
      <c r="N793">
        <v>3</v>
      </c>
      <c r="O793">
        <v>3</v>
      </c>
      <c r="P793" t="s">
        <v>36</v>
      </c>
      <c r="Q793">
        <v>1</v>
      </c>
      <c r="R793" t="s">
        <v>37</v>
      </c>
      <c r="S793">
        <v>9582</v>
      </c>
      <c r="T793">
        <v>10333</v>
      </c>
      <c r="U793">
        <v>0</v>
      </c>
      <c r="V793" t="s">
        <v>31</v>
      </c>
      <c r="W793">
        <v>22</v>
      </c>
      <c r="X793">
        <v>4</v>
      </c>
      <c r="Y793">
        <v>1</v>
      </c>
      <c r="Z793">
        <v>0</v>
      </c>
      <c r="AA793">
        <v>9</v>
      </c>
      <c r="AB793" t="str">
        <f>IF(Table2[[#This Row],[TotalWorkingYears]]&lt;=5,"Early (0-5)",IF(Table2[[#This Row],[TotalWorkingYears]]&lt;=15,"Mid (6-15)","Senior (16+)"))</f>
        <v>Mid (6-15)</v>
      </c>
      <c r="AC793">
        <v>2</v>
      </c>
      <c r="AD793">
        <v>3</v>
      </c>
      <c r="AE793" t="s">
        <v>62</v>
      </c>
      <c r="AF793">
        <v>7</v>
      </c>
      <c r="AG793">
        <v>4</v>
      </c>
      <c r="AH793">
        <v>7</v>
      </c>
    </row>
    <row r="794" spans="1:34" x14ac:dyDescent="0.3">
      <c r="A794" t="s">
        <v>59</v>
      </c>
      <c r="B794">
        <v>1</v>
      </c>
      <c r="C794" t="s">
        <v>39</v>
      </c>
      <c r="D794">
        <v>827</v>
      </c>
      <c r="E794" t="s">
        <v>40</v>
      </c>
      <c r="F794">
        <v>29</v>
      </c>
      <c r="G794" t="str">
        <f>IF(Table2[[#This Row],[DistanceFromHome]]&lt;=5, "short", IF(Table2[[#This Row],[DistanceFromHome]]&lt;=15, "medium", "long"))</f>
        <v>long</v>
      </c>
      <c r="H794">
        <v>4</v>
      </c>
      <c r="I794" t="s">
        <v>46</v>
      </c>
      <c r="J794">
        <v>1101</v>
      </c>
      <c r="K794">
        <v>1</v>
      </c>
      <c r="L794" t="s">
        <v>35</v>
      </c>
      <c r="M794">
        <v>54</v>
      </c>
      <c r="N794">
        <v>2</v>
      </c>
      <c r="O794">
        <v>2</v>
      </c>
      <c r="P794" t="s">
        <v>42</v>
      </c>
      <c r="Q794">
        <v>3</v>
      </c>
      <c r="R794" t="s">
        <v>37</v>
      </c>
      <c r="S794">
        <v>4508</v>
      </c>
      <c r="T794">
        <v>3129</v>
      </c>
      <c r="U794">
        <v>1</v>
      </c>
      <c r="V794" t="s">
        <v>38</v>
      </c>
      <c r="W794">
        <v>22</v>
      </c>
      <c r="X794">
        <v>4</v>
      </c>
      <c r="Y794">
        <v>2</v>
      </c>
      <c r="Z794">
        <v>0</v>
      </c>
      <c r="AA794">
        <v>14</v>
      </c>
      <c r="AB794" t="str">
        <f>IF(Table2[[#This Row],[TotalWorkingYears]]&lt;=5,"Early (0-5)",IF(Table2[[#This Row],[TotalWorkingYears]]&lt;=15,"Mid (6-15)","Senior (16+)"))</f>
        <v>Mid (6-15)</v>
      </c>
      <c r="AC794">
        <v>4</v>
      </c>
      <c r="AD794">
        <v>3</v>
      </c>
      <c r="AE794" t="s">
        <v>65</v>
      </c>
      <c r="AF794">
        <v>7</v>
      </c>
      <c r="AG794">
        <v>3</v>
      </c>
      <c r="AH794">
        <v>8</v>
      </c>
    </row>
    <row r="795" spans="1:34" x14ac:dyDescent="0.3">
      <c r="A795" t="s">
        <v>59</v>
      </c>
      <c r="B795">
        <v>0</v>
      </c>
      <c r="C795" t="s">
        <v>32</v>
      </c>
      <c r="D795">
        <v>895</v>
      </c>
      <c r="E795" t="s">
        <v>40</v>
      </c>
      <c r="F795">
        <v>15</v>
      </c>
      <c r="G795" t="str">
        <f>IF(Table2[[#This Row],[DistanceFromHome]]&lt;=5, "short", IF(Table2[[#This Row],[DistanceFromHome]]&lt;=15, "medium", "long"))</f>
        <v>medium</v>
      </c>
      <c r="H795">
        <v>2</v>
      </c>
      <c r="I795" t="s">
        <v>34</v>
      </c>
      <c r="J795">
        <v>1102</v>
      </c>
      <c r="K795">
        <v>1</v>
      </c>
      <c r="L795" t="s">
        <v>41</v>
      </c>
      <c r="M795">
        <v>50</v>
      </c>
      <c r="N795">
        <v>3</v>
      </c>
      <c r="O795">
        <v>1</v>
      </c>
      <c r="P795" t="s">
        <v>45</v>
      </c>
      <c r="Q795">
        <v>3</v>
      </c>
      <c r="R795" t="s">
        <v>47</v>
      </c>
      <c r="S795">
        <v>2207</v>
      </c>
      <c r="T795">
        <v>22482</v>
      </c>
      <c r="U795">
        <v>1</v>
      </c>
      <c r="V795" t="s">
        <v>38</v>
      </c>
      <c r="W795">
        <v>16</v>
      </c>
      <c r="X795">
        <v>3</v>
      </c>
      <c r="Y795">
        <v>4</v>
      </c>
      <c r="Z795">
        <v>1</v>
      </c>
      <c r="AA795">
        <v>4</v>
      </c>
      <c r="AB795" t="str">
        <f>IF(Table2[[#This Row],[TotalWorkingYears]]&lt;=5,"Early (0-5)",IF(Table2[[#This Row],[TotalWorkingYears]]&lt;=15,"Mid (6-15)","Senior (16+)"))</f>
        <v>Early (0-5)</v>
      </c>
      <c r="AC795">
        <v>5</v>
      </c>
      <c r="AD795">
        <v>2</v>
      </c>
      <c r="AE795" t="s">
        <v>64</v>
      </c>
      <c r="AF795">
        <v>2</v>
      </c>
      <c r="AG795">
        <v>2</v>
      </c>
      <c r="AH795">
        <v>2</v>
      </c>
    </row>
    <row r="796" spans="1:34" x14ac:dyDescent="0.3">
      <c r="A796" t="s">
        <v>59</v>
      </c>
      <c r="B796">
        <v>0</v>
      </c>
      <c r="C796" t="s">
        <v>39</v>
      </c>
      <c r="D796">
        <v>618</v>
      </c>
      <c r="E796" t="s">
        <v>40</v>
      </c>
      <c r="F796">
        <v>3</v>
      </c>
      <c r="G796" t="str">
        <f>IF(Table2[[#This Row],[DistanceFromHome]]&lt;=5, "short", IF(Table2[[#This Row],[DistanceFromHome]]&lt;=15, "medium", "long"))</f>
        <v>short</v>
      </c>
      <c r="H796">
        <v>1</v>
      </c>
      <c r="I796" t="s">
        <v>34</v>
      </c>
      <c r="J796">
        <v>1103</v>
      </c>
      <c r="K796">
        <v>1</v>
      </c>
      <c r="L796" t="s">
        <v>41</v>
      </c>
      <c r="M796">
        <v>45</v>
      </c>
      <c r="N796">
        <v>3</v>
      </c>
      <c r="O796">
        <v>2</v>
      </c>
      <c r="P796" t="s">
        <v>49</v>
      </c>
      <c r="Q796">
        <v>4</v>
      </c>
      <c r="R796" t="s">
        <v>37</v>
      </c>
      <c r="S796">
        <v>7756</v>
      </c>
      <c r="T796">
        <v>22266</v>
      </c>
      <c r="U796">
        <v>0</v>
      </c>
      <c r="V796" t="s">
        <v>38</v>
      </c>
      <c r="W796">
        <v>17</v>
      </c>
      <c r="X796">
        <v>3</v>
      </c>
      <c r="Y796">
        <v>3</v>
      </c>
      <c r="Z796">
        <v>0</v>
      </c>
      <c r="AA796">
        <v>7</v>
      </c>
      <c r="AB796" t="str">
        <f>IF(Table2[[#This Row],[TotalWorkingYears]]&lt;=5,"Early (0-5)",IF(Table2[[#This Row],[TotalWorkingYears]]&lt;=15,"Mid (6-15)","Senior (16+)"))</f>
        <v>Mid (6-15)</v>
      </c>
      <c r="AC796">
        <v>1</v>
      </c>
      <c r="AD796">
        <v>2</v>
      </c>
      <c r="AE796" t="s">
        <v>62</v>
      </c>
      <c r="AF796">
        <v>2</v>
      </c>
      <c r="AG796">
        <v>0</v>
      </c>
      <c r="AH796">
        <v>4</v>
      </c>
    </row>
    <row r="797" spans="1:34" x14ac:dyDescent="0.3">
      <c r="A797" t="s">
        <v>57</v>
      </c>
      <c r="B797">
        <v>0</v>
      </c>
      <c r="C797" t="s">
        <v>32</v>
      </c>
      <c r="D797">
        <v>309</v>
      </c>
      <c r="E797" t="s">
        <v>33</v>
      </c>
      <c r="F797">
        <v>10</v>
      </c>
      <c r="G797" t="str">
        <f>IF(Table2[[#This Row],[DistanceFromHome]]&lt;=5, "short", IF(Table2[[#This Row],[DistanceFromHome]]&lt;=15, "medium", "long"))</f>
        <v>medium</v>
      </c>
      <c r="H797">
        <v>4</v>
      </c>
      <c r="I797" t="s">
        <v>34</v>
      </c>
      <c r="J797">
        <v>1105</v>
      </c>
      <c r="K797">
        <v>4</v>
      </c>
      <c r="L797" t="s">
        <v>35</v>
      </c>
      <c r="M797">
        <v>88</v>
      </c>
      <c r="N797">
        <v>2</v>
      </c>
      <c r="O797">
        <v>2</v>
      </c>
      <c r="P797" t="s">
        <v>36</v>
      </c>
      <c r="Q797">
        <v>4</v>
      </c>
      <c r="R797" t="s">
        <v>47</v>
      </c>
      <c r="S797">
        <v>6694</v>
      </c>
      <c r="T797">
        <v>24223</v>
      </c>
      <c r="U797">
        <v>2</v>
      </c>
      <c r="V797" t="s">
        <v>31</v>
      </c>
      <c r="W797">
        <v>14</v>
      </c>
      <c r="X797">
        <v>3</v>
      </c>
      <c r="Y797">
        <v>3</v>
      </c>
      <c r="Z797">
        <v>3</v>
      </c>
      <c r="AA797">
        <v>8</v>
      </c>
      <c r="AB797" t="str">
        <f>IF(Table2[[#This Row],[TotalWorkingYears]]&lt;=5,"Early (0-5)",IF(Table2[[#This Row],[TotalWorkingYears]]&lt;=15,"Mid (6-15)","Senior (16+)"))</f>
        <v>Mid (6-15)</v>
      </c>
      <c r="AC797">
        <v>5</v>
      </c>
      <c r="AD797">
        <v>3</v>
      </c>
      <c r="AE797" t="s">
        <v>63</v>
      </c>
      <c r="AF797">
        <v>0</v>
      </c>
      <c r="AG797">
        <v>0</v>
      </c>
      <c r="AH797">
        <v>0</v>
      </c>
    </row>
    <row r="798" spans="1:34" x14ac:dyDescent="0.3">
      <c r="A798" t="s">
        <v>60</v>
      </c>
      <c r="B798">
        <v>1</v>
      </c>
      <c r="C798" t="s">
        <v>32</v>
      </c>
      <c r="D798">
        <v>1219</v>
      </c>
      <c r="E798" t="s">
        <v>40</v>
      </c>
      <c r="F798">
        <v>4</v>
      </c>
      <c r="G798" t="str">
        <f>IF(Table2[[#This Row],[DistanceFromHome]]&lt;=5, "short", IF(Table2[[#This Row],[DistanceFromHome]]&lt;=15, "medium", "long"))</f>
        <v>short</v>
      </c>
      <c r="H798">
        <v>1</v>
      </c>
      <c r="I798" t="s">
        <v>55</v>
      </c>
      <c r="J798">
        <v>1106</v>
      </c>
      <c r="K798">
        <v>4</v>
      </c>
      <c r="L798" t="s">
        <v>41</v>
      </c>
      <c r="M798">
        <v>32</v>
      </c>
      <c r="N798">
        <v>3</v>
      </c>
      <c r="O798">
        <v>1</v>
      </c>
      <c r="P798" t="s">
        <v>45</v>
      </c>
      <c r="Q798">
        <v>4</v>
      </c>
      <c r="R798" t="s">
        <v>43</v>
      </c>
      <c r="S798">
        <v>3691</v>
      </c>
      <c r="T798">
        <v>4605</v>
      </c>
      <c r="U798">
        <v>1</v>
      </c>
      <c r="V798" t="s">
        <v>31</v>
      </c>
      <c r="W798">
        <v>15</v>
      </c>
      <c r="X798">
        <v>3</v>
      </c>
      <c r="Y798">
        <v>2</v>
      </c>
      <c r="Z798">
        <v>1</v>
      </c>
      <c r="AA798">
        <v>7</v>
      </c>
      <c r="AB798" t="str">
        <f>IF(Table2[[#This Row],[TotalWorkingYears]]&lt;=5,"Early (0-5)",IF(Table2[[#This Row],[TotalWorkingYears]]&lt;=15,"Mid (6-15)","Senior (16+)"))</f>
        <v>Mid (6-15)</v>
      </c>
      <c r="AC798">
        <v>3</v>
      </c>
      <c r="AD798">
        <v>4</v>
      </c>
      <c r="AE798" t="s">
        <v>62</v>
      </c>
      <c r="AF798">
        <v>7</v>
      </c>
      <c r="AG798">
        <v>5</v>
      </c>
      <c r="AH798">
        <v>6</v>
      </c>
    </row>
    <row r="799" spans="1:34" x14ac:dyDescent="0.3">
      <c r="A799" t="s">
        <v>59</v>
      </c>
      <c r="B799">
        <v>1</v>
      </c>
      <c r="C799" t="s">
        <v>32</v>
      </c>
      <c r="D799">
        <v>1330</v>
      </c>
      <c r="E799" t="s">
        <v>40</v>
      </c>
      <c r="F799">
        <v>21</v>
      </c>
      <c r="G799" t="str">
        <f>IF(Table2[[#This Row],[DistanceFromHome]]&lt;=5, "short", IF(Table2[[#This Row],[DistanceFromHome]]&lt;=15, "medium", "long"))</f>
        <v>long</v>
      </c>
      <c r="H799">
        <v>3</v>
      </c>
      <c r="I799" t="s">
        <v>46</v>
      </c>
      <c r="J799">
        <v>1107</v>
      </c>
      <c r="K799">
        <v>1</v>
      </c>
      <c r="L799" t="s">
        <v>41</v>
      </c>
      <c r="M799">
        <v>37</v>
      </c>
      <c r="N799">
        <v>3</v>
      </c>
      <c r="O799">
        <v>1</v>
      </c>
      <c r="P799" t="s">
        <v>45</v>
      </c>
      <c r="Q799">
        <v>3</v>
      </c>
      <c r="R799" t="s">
        <v>47</v>
      </c>
      <c r="S799">
        <v>2377</v>
      </c>
      <c r="T799">
        <v>19373</v>
      </c>
      <c r="U799">
        <v>1</v>
      </c>
      <c r="V799" t="s">
        <v>38</v>
      </c>
      <c r="W799">
        <v>20</v>
      </c>
      <c r="X799">
        <v>4</v>
      </c>
      <c r="Y799">
        <v>3</v>
      </c>
      <c r="Z799">
        <v>1</v>
      </c>
      <c r="AA799">
        <v>1</v>
      </c>
      <c r="AB799" t="str">
        <f>IF(Table2[[#This Row],[TotalWorkingYears]]&lt;=5,"Early (0-5)",IF(Table2[[#This Row],[TotalWorkingYears]]&lt;=15,"Mid (6-15)","Senior (16+)"))</f>
        <v>Early (0-5)</v>
      </c>
      <c r="AC799">
        <v>0</v>
      </c>
      <c r="AD799">
        <v>2</v>
      </c>
      <c r="AE799" t="s">
        <v>63</v>
      </c>
      <c r="AF799">
        <v>1</v>
      </c>
      <c r="AG799">
        <v>0</v>
      </c>
      <c r="AH799">
        <v>0</v>
      </c>
    </row>
    <row r="800" spans="1:34" x14ac:dyDescent="0.3">
      <c r="A800" t="s">
        <v>59</v>
      </c>
      <c r="B800">
        <v>1</v>
      </c>
      <c r="C800" t="s">
        <v>32</v>
      </c>
      <c r="D800">
        <v>1017</v>
      </c>
      <c r="E800" t="s">
        <v>40</v>
      </c>
      <c r="F800">
        <v>25</v>
      </c>
      <c r="G800" t="str">
        <f>IF(Table2[[#This Row],[DistanceFromHome]]&lt;=5, "short", IF(Table2[[#This Row],[DistanceFromHome]]&lt;=15, "medium", "long"))</f>
        <v>long</v>
      </c>
      <c r="H800">
        <v>3</v>
      </c>
      <c r="I800" t="s">
        <v>46</v>
      </c>
      <c r="J800">
        <v>1108</v>
      </c>
      <c r="K800">
        <v>1</v>
      </c>
      <c r="L800" t="s">
        <v>41</v>
      </c>
      <c r="M800">
        <v>55</v>
      </c>
      <c r="N800">
        <v>2</v>
      </c>
      <c r="O800">
        <v>1</v>
      </c>
      <c r="P800" t="s">
        <v>42</v>
      </c>
      <c r="Q800">
        <v>2</v>
      </c>
      <c r="R800" t="s">
        <v>37</v>
      </c>
      <c r="S800">
        <v>2313</v>
      </c>
      <c r="T800">
        <v>2993</v>
      </c>
      <c r="U800">
        <v>4</v>
      </c>
      <c r="V800" t="s">
        <v>31</v>
      </c>
      <c r="W800">
        <v>20</v>
      </c>
      <c r="X800">
        <v>4</v>
      </c>
      <c r="Y800">
        <v>2</v>
      </c>
      <c r="Z800">
        <v>0</v>
      </c>
      <c r="AA800">
        <v>5</v>
      </c>
      <c r="AB800" t="str">
        <f>IF(Table2[[#This Row],[TotalWorkingYears]]&lt;=5,"Early (0-5)",IF(Table2[[#This Row],[TotalWorkingYears]]&lt;=15,"Mid (6-15)","Senior (16+)"))</f>
        <v>Early (0-5)</v>
      </c>
      <c r="AC800">
        <v>0</v>
      </c>
      <c r="AD800">
        <v>3</v>
      </c>
      <c r="AE800" t="s">
        <v>63</v>
      </c>
      <c r="AF800">
        <v>2</v>
      </c>
      <c r="AG800">
        <v>2</v>
      </c>
      <c r="AH800">
        <v>2</v>
      </c>
    </row>
    <row r="801" spans="1:34" x14ac:dyDescent="0.3">
      <c r="A801" t="s">
        <v>57</v>
      </c>
      <c r="B801">
        <v>0</v>
      </c>
      <c r="C801" t="s">
        <v>32</v>
      </c>
      <c r="D801">
        <v>469</v>
      </c>
      <c r="E801" t="s">
        <v>40</v>
      </c>
      <c r="F801">
        <v>2</v>
      </c>
      <c r="G801" t="str">
        <f>IF(Table2[[#This Row],[DistanceFromHome]]&lt;=5, "short", IF(Table2[[#This Row],[DistanceFromHome]]&lt;=15, "medium", "long"))</f>
        <v>short</v>
      </c>
      <c r="H801">
        <v>2</v>
      </c>
      <c r="I801" t="s">
        <v>46</v>
      </c>
      <c r="J801">
        <v>1109</v>
      </c>
      <c r="K801">
        <v>4</v>
      </c>
      <c r="L801" t="s">
        <v>41</v>
      </c>
      <c r="M801">
        <v>35</v>
      </c>
      <c r="N801">
        <v>3</v>
      </c>
      <c r="O801">
        <v>4</v>
      </c>
      <c r="P801" t="s">
        <v>51</v>
      </c>
      <c r="Q801">
        <v>1</v>
      </c>
      <c r="R801" t="s">
        <v>43</v>
      </c>
      <c r="S801">
        <v>17665</v>
      </c>
      <c r="T801">
        <v>14399</v>
      </c>
      <c r="U801">
        <v>0</v>
      </c>
      <c r="V801" t="s">
        <v>38</v>
      </c>
      <c r="W801">
        <v>17</v>
      </c>
      <c r="X801">
        <v>3</v>
      </c>
      <c r="Y801">
        <v>4</v>
      </c>
      <c r="Z801">
        <v>1</v>
      </c>
      <c r="AA801">
        <v>23</v>
      </c>
      <c r="AB801" t="str">
        <f>IF(Table2[[#This Row],[TotalWorkingYears]]&lt;=5,"Early (0-5)",IF(Table2[[#This Row],[TotalWorkingYears]]&lt;=15,"Mid (6-15)","Senior (16+)"))</f>
        <v>Senior (16+)</v>
      </c>
      <c r="AC801">
        <v>3</v>
      </c>
      <c r="AD801">
        <v>3</v>
      </c>
      <c r="AE801" t="s">
        <v>65</v>
      </c>
      <c r="AF801">
        <v>6</v>
      </c>
      <c r="AG801">
        <v>13</v>
      </c>
      <c r="AH801">
        <v>7</v>
      </c>
    </row>
    <row r="802" spans="1:34" x14ac:dyDescent="0.3">
      <c r="A802" t="s">
        <v>59</v>
      </c>
      <c r="B802">
        <v>1</v>
      </c>
      <c r="C802" t="s">
        <v>39</v>
      </c>
      <c r="D802">
        <v>1009</v>
      </c>
      <c r="E802" t="s">
        <v>40</v>
      </c>
      <c r="F802">
        <v>1</v>
      </c>
      <c r="G802" t="str">
        <f>IF(Table2[[#This Row],[DistanceFromHome]]&lt;=5, "short", IF(Table2[[#This Row],[DistanceFromHome]]&lt;=15, "medium", "long"))</f>
        <v>short</v>
      </c>
      <c r="H802">
        <v>3</v>
      </c>
      <c r="I802" t="s">
        <v>46</v>
      </c>
      <c r="J802">
        <v>1111</v>
      </c>
      <c r="K802">
        <v>1</v>
      </c>
      <c r="L802" t="s">
        <v>41</v>
      </c>
      <c r="M802">
        <v>45</v>
      </c>
      <c r="N802">
        <v>2</v>
      </c>
      <c r="O802">
        <v>1</v>
      </c>
      <c r="P802" t="s">
        <v>45</v>
      </c>
      <c r="Q802">
        <v>2</v>
      </c>
      <c r="R802" t="s">
        <v>47</v>
      </c>
      <c r="S802">
        <v>2596</v>
      </c>
      <c r="T802">
        <v>7160</v>
      </c>
      <c r="U802">
        <v>1</v>
      </c>
      <c r="V802" t="s">
        <v>38</v>
      </c>
      <c r="W802">
        <v>15</v>
      </c>
      <c r="X802">
        <v>3</v>
      </c>
      <c r="Y802">
        <v>1</v>
      </c>
      <c r="Z802">
        <v>2</v>
      </c>
      <c r="AA802">
        <v>1</v>
      </c>
      <c r="AB802" t="str">
        <f>IF(Table2[[#This Row],[TotalWorkingYears]]&lt;=5,"Early (0-5)",IF(Table2[[#This Row],[TotalWorkingYears]]&lt;=15,"Mid (6-15)","Senior (16+)"))</f>
        <v>Early (0-5)</v>
      </c>
      <c r="AC802">
        <v>2</v>
      </c>
      <c r="AD802">
        <v>3</v>
      </c>
      <c r="AE802" t="s">
        <v>63</v>
      </c>
      <c r="AF802">
        <v>0</v>
      </c>
      <c r="AG802">
        <v>0</v>
      </c>
      <c r="AH802">
        <v>0</v>
      </c>
    </row>
    <row r="803" spans="1:34" x14ac:dyDescent="0.3">
      <c r="A803" t="s">
        <v>58</v>
      </c>
      <c r="B803">
        <v>1</v>
      </c>
      <c r="C803" t="s">
        <v>39</v>
      </c>
      <c r="D803">
        <v>959</v>
      </c>
      <c r="E803" t="s">
        <v>33</v>
      </c>
      <c r="F803">
        <v>1</v>
      </c>
      <c r="G803" t="str">
        <f>IF(Table2[[#This Row],[DistanceFromHome]]&lt;=5, "short", IF(Table2[[#This Row],[DistanceFromHome]]&lt;=15, "medium", "long"))</f>
        <v>short</v>
      </c>
      <c r="H803">
        <v>4</v>
      </c>
      <c r="I803" t="s">
        <v>44</v>
      </c>
      <c r="J803">
        <v>1113</v>
      </c>
      <c r="K803">
        <v>4</v>
      </c>
      <c r="L803" t="s">
        <v>41</v>
      </c>
      <c r="M803">
        <v>81</v>
      </c>
      <c r="N803">
        <v>3</v>
      </c>
      <c r="O803">
        <v>2</v>
      </c>
      <c r="P803" t="s">
        <v>36</v>
      </c>
      <c r="Q803">
        <v>3</v>
      </c>
      <c r="R803" t="s">
        <v>37</v>
      </c>
      <c r="S803">
        <v>4728</v>
      </c>
      <c r="T803">
        <v>17251</v>
      </c>
      <c r="U803">
        <v>3</v>
      </c>
      <c r="V803" t="s">
        <v>31</v>
      </c>
      <c r="W803">
        <v>14</v>
      </c>
      <c r="X803">
        <v>3</v>
      </c>
      <c r="Y803">
        <v>4</v>
      </c>
      <c r="Z803">
        <v>0</v>
      </c>
      <c r="AA803">
        <v>5</v>
      </c>
      <c r="AB803" t="str">
        <f>IF(Table2[[#This Row],[TotalWorkingYears]]&lt;=5,"Early (0-5)",IF(Table2[[#This Row],[TotalWorkingYears]]&lt;=15,"Mid (6-15)","Senior (16+)"))</f>
        <v>Early (0-5)</v>
      </c>
      <c r="AC803">
        <v>4</v>
      </c>
      <c r="AD803">
        <v>3</v>
      </c>
      <c r="AE803" t="s">
        <v>63</v>
      </c>
      <c r="AF803">
        <v>0</v>
      </c>
      <c r="AG803">
        <v>0</v>
      </c>
      <c r="AH803">
        <v>0</v>
      </c>
    </row>
    <row r="804" spans="1:34" x14ac:dyDescent="0.3">
      <c r="A804" t="s">
        <v>59</v>
      </c>
      <c r="B804">
        <v>0</v>
      </c>
      <c r="C804" t="s">
        <v>39</v>
      </c>
      <c r="D804">
        <v>970</v>
      </c>
      <c r="E804" t="s">
        <v>33</v>
      </c>
      <c r="F804">
        <v>7</v>
      </c>
      <c r="G804" t="str">
        <f>IF(Table2[[#This Row],[DistanceFromHome]]&lt;=5, "short", IF(Table2[[#This Row],[DistanceFromHome]]&lt;=15, "medium", "long"))</f>
        <v>medium</v>
      </c>
      <c r="H804">
        <v>3</v>
      </c>
      <c r="I804" t="s">
        <v>34</v>
      </c>
      <c r="J804">
        <v>1114</v>
      </c>
      <c r="K804">
        <v>4</v>
      </c>
      <c r="L804" t="s">
        <v>35</v>
      </c>
      <c r="M804">
        <v>30</v>
      </c>
      <c r="N804">
        <v>3</v>
      </c>
      <c r="O804">
        <v>2</v>
      </c>
      <c r="P804" t="s">
        <v>36</v>
      </c>
      <c r="Q804">
        <v>2</v>
      </c>
      <c r="R804" t="s">
        <v>43</v>
      </c>
      <c r="S804">
        <v>4302</v>
      </c>
      <c r="T804">
        <v>13401</v>
      </c>
      <c r="U804">
        <v>0</v>
      </c>
      <c r="V804" t="s">
        <v>38</v>
      </c>
      <c r="W804">
        <v>17</v>
      </c>
      <c r="X804">
        <v>3</v>
      </c>
      <c r="Y804">
        <v>3</v>
      </c>
      <c r="Z804">
        <v>1</v>
      </c>
      <c r="AA804">
        <v>4</v>
      </c>
      <c r="AB804" t="str">
        <f>IF(Table2[[#This Row],[TotalWorkingYears]]&lt;=5,"Early (0-5)",IF(Table2[[#This Row],[TotalWorkingYears]]&lt;=15,"Mid (6-15)","Senior (16+)"))</f>
        <v>Early (0-5)</v>
      </c>
      <c r="AC804">
        <v>3</v>
      </c>
      <c r="AD804">
        <v>3</v>
      </c>
      <c r="AE804" t="s">
        <v>64</v>
      </c>
      <c r="AF804">
        <v>2</v>
      </c>
      <c r="AG804">
        <v>0</v>
      </c>
      <c r="AH804">
        <v>2</v>
      </c>
    </row>
    <row r="805" spans="1:34" x14ac:dyDescent="0.3">
      <c r="A805" t="s">
        <v>59</v>
      </c>
      <c r="B805">
        <v>0</v>
      </c>
      <c r="C805" t="s">
        <v>50</v>
      </c>
      <c r="D805">
        <v>697</v>
      </c>
      <c r="E805" t="s">
        <v>40</v>
      </c>
      <c r="F805">
        <v>3</v>
      </c>
      <c r="G805" t="str">
        <f>IF(Table2[[#This Row],[DistanceFromHome]]&lt;=5, "short", IF(Table2[[#This Row],[DistanceFromHome]]&lt;=15, "medium", "long"))</f>
        <v>short</v>
      </c>
      <c r="H805">
        <v>4</v>
      </c>
      <c r="I805" t="s">
        <v>34</v>
      </c>
      <c r="J805">
        <v>1115</v>
      </c>
      <c r="K805">
        <v>3</v>
      </c>
      <c r="L805" t="s">
        <v>41</v>
      </c>
      <c r="M805">
        <v>40</v>
      </c>
      <c r="N805">
        <v>2</v>
      </c>
      <c r="O805">
        <v>1</v>
      </c>
      <c r="P805" t="s">
        <v>42</v>
      </c>
      <c r="Q805">
        <v>4</v>
      </c>
      <c r="R805" t="s">
        <v>43</v>
      </c>
      <c r="S805">
        <v>2979</v>
      </c>
      <c r="T805">
        <v>22478</v>
      </c>
      <c r="U805">
        <v>3</v>
      </c>
      <c r="V805" t="s">
        <v>38</v>
      </c>
      <c r="W805">
        <v>17</v>
      </c>
      <c r="X805">
        <v>3</v>
      </c>
      <c r="Y805">
        <v>4</v>
      </c>
      <c r="Z805">
        <v>3</v>
      </c>
      <c r="AA805">
        <v>6</v>
      </c>
      <c r="AB805" t="str">
        <f>IF(Table2[[#This Row],[TotalWorkingYears]]&lt;=5,"Early (0-5)",IF(Table2[[#This Row],[TotalWorkingYears]]&lt;=15,"Mid (6-15)","Senior (16+)"))</f>
        <v>Mid (6-15)</v>
      </c>
      <c r="AC805">
        <v>2</v>
      </c>
      <c r="AD805">
        <v>3</v>
      </c>
      <c r="AE805" t="s">
        <v>63</v>
      </c>
      <c r="AF805">
        <v>0</v>
      </c>
      <c r="AG805">
        <v>0</v>
      </c>
      <c r="AH805">
        <v>0</v>
      </c>
    </row>
    <row r="806" spans="1:34" x14ac:dyDescent="0.3">
      <c r="A806" t="s">
        <v>58</v>
      </c>
      <c r="B806">
        <v>0</v>
      </c>
      <c r="C806" t="s">
        <v>50</v>
      </c>
      <c r="D806">
        <v>1262</v>
      </c>
      <c r="E806" t="s">
        <v>40</v>
      </c>
      <c r="F806">
        <v>1</v>
      </c>
      <c r="G806" t="str">
        <f>IF(Table2[[#This Row],[DistanceFromHome]]&lt;=5, "short", IF(Table2[[#This Row],[DistanceFromHome]]&lt;=15, "medium", "long"))</f>
        <v>short</v>
      </c>
      <c r="H806">
        <v>4</v>
      </c>
      <c r="I806" t="s">
        <v>46</v>
      </c>
      <c r="J806">
        <v>1116</v>
      </c>
      <c r="K806">
        <v>1</v>
      </c>
      <c r="L806" t="s">
        <v>41</v>
      </c>
      <c r="M806">
        <v>35</v>
      </c>
      <c r="N806">
        <v>4</v>
      </c>
      <c r="O806">
        <v>4</v>
      </c>
      <c r="P806" t="s">
        <v>51</v>
      </c>
      <c r="Q806">
        <v>4</v>
      </c>
      <c r="R806" t="s">
        <v>37</v>
      </c>
      <c r="S806">
        <v>16885</v>
      </c>
      <c r="T806">
        <v>16154</v>
      </c>
      <c r="U806">
        <v>2</v>
      </c>
      <c r="V806" t="s">
        <v>38</v>
      </c>
      <c r="W806">
        <v>22</v>
      </c>
      <c r="X806">
        <v>4</v>
      </c>
      <c r="Y806">
        <v>3</v>
      </c>
      <c r="Z806">
        <v>0</v>
      </c>
      <c r="AA806">
        <v>27</v>
      </c>
      <c r="AB806" t="str">
        <f>IF(Table2[[#This Row],[TotalWorkingYears]]&lt;=5,"Early (0-5)",IF(Table2[[#This Row],[TotalWorkingYears]]&lt;=15,"Mid (6-15)","Senior (16+)"))</f>
        <v>Senior (16+)</v>
      </c>
      <c r="AC806">
        <v>3</v>
      </c>
      <c r="AD806">
        <v>2</v>
      </c>
      <c r="AE806" t="s">
        <v>64</v>
      </c>
      <c r="AF806">
        <v>4</v>
      </c>
      <c r="AG806">
        <v>2</v>
      </c>
      <c r="AH806">
        <v>1</v>
      </c>
    </row>
    <row r="807" spans="1:34" x14ac:dyDescent="0.3">
      <c r="A807" t="s">
        <v>57</v>
      </c>
      <c r="B807">
        <v>0</v>
      </c>
      <c r="C807" t="s">
        <v>50</v>
      </c>
      <c r="D807">
        <v>1050</v>
      </c>
      <c r="E807" t="s">
        <v>33</v>
      </c>
      <c r="F807">
        <v>9</v>
      </c>
      <c r="G807" t="str">
        <f>IF(Table2[[#This Row],[DistanceFromHome]]&lt;=5, "short", IF(Table2[[#This Row],[DistanceFromHome]]&lt;=15, "medium", "long"))</f>
        <v>medium</v>
      </c>
      <c r="H807">
        <v>4</v>
      </c>
      <c r="I807" t="s">
        <v>34</v>
      </c>
      <c r="J807">
        <v>1117</v>
      </c>
      <c r="K807">
        <v>2</v>
      </c>
      <c r="L807" t="s">
        <v>35</v>
      </c>
      <c r="M807">
        <v>65</v>
      </c>
      <c r="N807">
        <v>2</v>
      </c>
      <c r="O807">
        <v>2</v>
      </c>
      <c r="P807" t="s">
        <v>36</v>
      </c>
      <c r="Q807">
        <v>3</v>
      </c>
      <c r="R807" t="s">
        <v>43</v>
      </c>
      <c r="S807">
        <v>5593</v>
      </c>
      <c r="T807">
        <v>17970</v>
      </c>
      <c r="U807">
        <v>1</v>
      </c>
      <c r="V807" t="s">
        <v>38</v>
      </c>
      <c r="W807">
        <v>13</v>
      </c>
      <c r="X807">
        <v>3</v>
      </c>
      <c r="Y807">
        <v>4</v>
      </c>
      <c r="Z807">
        <v>1</v>
      </c>
      <c r="AA807">
        <v>15</v>
      </c>
      <c r="AB807" t="str">
        <f>IF(Table2[[#This Row],[TotalWorkingYears]]&lt;=5,"Early (0-5)",IF(Table2[[#This Row],[TotalWorkingYears]]&lt;=15,"Mid (6-15)","Senior (16+)"))</f>
        <v>Mid (6-15)</v>
      </c>
      <c r="AC807">
        <v>2</v>
      </c>
      <c r="AD807">
        <v>3</v>
      </c>
      <c r="AE807" t="s">
        <v>65</v>
      </c>
      <c r="AF807">
        <v>10</v>
      </c>
      <c r="AG807">
        <v>4</v>
      </c>
      <c r="AH807">
        <v>12</v>
      </c>
    </row>
    <row r="808" spans="1:34" x14ac:dyDescent="0.3">
      <c r="A808" t="s">
        <v>58</v>
      </c>
      <c r="B808">
        <v>0</v>
      </c>
      <c r="C808" t="s">
        <v>32</v>
      </c>
      <c r="D808">
        <v>994</v>
      </c>
      <c r="E808" t="s">
        <v>40</v>
      </c>
      <c r="F808">
        <v>7</v>
      </c>
      <c r="G808" t="str">
        <f>IF(Table2[[#This Row],[DistanceFromHome]]&lt;=5, "short", IF(Table2[[#This Row],[DistanceFromHome]]&lt;=15, "medium", "long"))</f>
        <v>medium</v>
      </c>
      <c r="H808">
        <v>4</v>
      </c>
      <c r="I808" t="s">
        <v>34</v>
      </c>
      <c r="J808">
        <v>1118</v>
      </c>
      <c r="K808">
        <v>2</v>
      </c>
      <c r="L808" t="s">
        <v>41</v>
      </c>
      <c r="M808">
        <v>87</v>
      </c>
      <c r="N808">
        <v>3</v>
      </c>
      <c r="O808">
        <v>3</v>
      </c>
      <c r="P808" t="s">
        <v>49</v>
      </c>
      <c r="Q808">
        <v>2</v>
      </c>
      <c r="R808" t="s">
        <v>37</v>
      </c>
      <c r="S808">
        <v>10445</v>
      </c>
      <c r="T808">
        <v>15322</v>
      </c>
      <c r="U808">
        <v>7</v>
      </c>
      <c r="V808" t="s">
        <v>38</v>
      </c>
      <c r="W808">
        <v>19</v>
      </c>
      <c r="X808">
        <v>3</v>
      </c>
      <c r="Y808">
        <v>4</v>
      </c>
      <c r="Z808">
        <v>0</v>
      </c>
      <c r="AA808">
        <v>18</v>
      </c>
      <c r="AB808" t="str">
        <f>IF(Table2[[#This Row],[TotalWorkingYears]]&lt;=5,"Early (0-5)",IF(Table2[[#This Row],[TotalWorkingYears]]&lt;=15,"Mid (6-15)","Senior (16+)"))</f>
        <v>Senior (16+)</v>
      </c>
      <c r="AC808">
        <v>4</v>
      </c>
      <c r="AD808">
        <v>3</v>
      </c>
      <c r="AE808" t="s">
        <v>62</v>
      </c>
      <c r="AF808">
        <v>6</v>
      </c>
      <c r="AG808">
        <v>4</v>
      </c>
      <c r="AH808">
        <v>0</v>
      </c>
    </row>
    <row r="809" spans="1:34" x14ac:dyDescent="0.3">
      <c r="A809" t="s">
        <v>57</v>
      </c>
      <c r="B809">
        <v>0</v>
      </c>
      <c r="C809" t="s">
        <v>32</v>
      </c>
      <c r="D809">
        <v>770</v>
      </c>
      <c r="E809" t="s">
        <v>33</v>
      </c>
      <c r="F809">
        <v>10</v>
      </c>
      <c r="G809" t="str">
        <f>IF(Table2[[#This Row],[DistanceFromHome]]&lt;=5, "short", IF(Table2[[#This Row],[DistanceFromHome]]&lt;=15, "medium", "long"))</f>
        <v>medium</v>
      </c>
      <c r="H809">
        <v>4</v>
      </c>
      <c r="I809" t="s">
        <v>54</v>
      </c>
      <c r="J809">
        <v>1119</v>
      </c>
      <c r="K809">
        <v>3</v>
      </c>
      <c r="L809" t="s">
        <v>41</v>
      </c>
      <c r="M809">
        <v>73</v>
      </c>
      <c r="N809">
        <v>2</v>
      </c>
      <c r="O809">
        <v>3</v>
      </c>
      <c r="P809" t="s">
        <v>36</v>
      </c>
      <c r="Q809">
        <v>3</v>
      </c>
      <c r="R809" t="s">
        <v>47</v>
      </c>
      <c r="S809">
        <v>8740</v>
      </c>
      <c r="T809">
        <v>5569</v>
      </c>
      <c r="U809">
        <v>0</v>
      </c>
      <c r="V809" t="s">
        <v>31</v>
      </c>
      <c r="W809">
        <v>14</v>
      </c>
      <c r="X809">
        <v>3</v>
      </c>
      <c r="Y809">
        <v>2</v>
      </c>
      <c r="Z809">
        <v>2</v>
      </c>
      <c r="AA809">
        <v>9</v>
      </c>
      <c r="AB809" t="str">
        <f>IF(Table2[[#This Row],[TotalWorkingYears]]&lt;=5,"Early (0-5)",IF(Table2[[#This Row],[TotalWorkingYears]]&lt;=15,"Mid (6-15)","Senior (16+)"))</f>
        <v>Mid (6-15)</v>
      </c>
      <c r="AC809">
        <v>2</v>
      </c>
      <c r="AD809">
        <v>3</v>
      </c>
      <c r="AE809" t="s">
        <v>62</v>
      </c>
      <c r="AF809">
        <v>7</v>
      </c>
      <c r="AG809">
        <v>2</v>
      </c>
      <c r="AH809">
        <v>7</v>
      </c>
    </row>
    <row r="810" spans="1:34" x14ac:dyDescent="0.3">
      <c r="A810" t="s">
        <v>59</v>
      </c>
      <c r="B810">
        <v>0</v>
      </c>
      <c r="C810" t="s">
        <v>32</v>
      </c>
      <c r="D810">
        <v>1107</v>
      </c>
      <c r="E810" t="s">
        <v>40</v>
      </c>
      <c r="F810">
        <v>28</v>
      </c>
      <c r="G810" t="str">
        <f>IF(Table2[[#This Row],[DistanceFromHome]]&lt;=5, "short", IF(Table2[[#This Row],[DistanceFromHome]]&lt;=15, "medium", "long"))</f>
        <v>long</v>
      </c>
      <c r="H810">
        <v>4</v>
      </c>
      <c r="I810" t="s">
        <v>34</v>
      </c>
      <c r="J810">
        <v>1120</v>
      </c>
      <c r="K810">
        <v>3</v>
      </c>
      <c r="L810" t="s">
        <v>35</v>
      </c>
      <c r="M810">
        <v>93</v>
      </c>
      <c r="N810">
        <v>3</v>
      </c>
      <c r="O810">
        <v>1</v>
      </c>
      <c r="P810" t="s">
        <v>42</v>
      </c>
      <c r="Q810">
        <v>4</v>
      </c>
      <c r="R810" t="s">
        <v>47</v>
      </c>
      <c r="S810">
        <v>2514</v>
      </c>
      <c r="T810">
        <v>26968</v>
      </c>
      <c r="U810">
        <v>4</v>
      </c>
      <c r="V810" t="s">
        <v>38</v>
      </c>
      <c r="W810">
        <v>22</v>
      </c>
      <c r="X810">
        <v>4</v>
      </c>
      <c r="Y810">
        <v>1</v>
      </c>
      <c r="Z810">
        <v>1</v>
      </c>
      <c r="AA810">
        <v>11</v>
      </c>
      <c r="AB810" t="str">
        <f>IF(Table2[[#This Row],[TotalWorkingYears]]&lt;=5,"Early (0-5)",IF(Table2[[#This Row],[TotalWorkingYears]]&lt;=15,"Mid (6-15)","Senior (16+)"))</f>
        <v>Mid (6-15)</v>
      </c>
      <c r="AC810">
        <v>1</v>
      </c>
      <c r="AD810">
        <v>3</v>
      </c>
      <c r="AE810" t="s">
        <v>62</v>
      </c>
      <c r="AF810">
        <v>5</v>
      </c>
      <c r="AG810">
        <v>1</v>
      </c>
      <c r="AH810">
        <v>7</v>
      </c>
    </row>
    <row r="811" spans="1:34" x14ac:dyDescent="0.3">
      <c r="A811" t="s">
        <v>59</v>
      </c>
      <c r="B811">
        <v>0</v>
      </c>
      <c r="C811" t="s">
        <v>32</v>
      </c>
      <c r="D811">
        <v>950</v>
      </c>
      <c r="E811" t="s">
        <v>40</v>
      </c>
      <c r="F811">
        <v>3</v>
      </c>
      <c r="G811" t="str">
        <f>IF(Table2[[#This Row],[DistanceFromHome]]&lt;=5, "short", IF(Table2[[#This Row],[DistanceFromHome]]&lt;=15, "medium", "long"))</f>
        <v>short</v>
      </c>
      <c r="H811">
        <v>3</v>
      </c>
      <c r="I811" t="s">
        <v>46</v>
      </c>
      <c r="J811">
        <v>1121</v>
      </c>
      <c r="K811">
        <v>4</v>
      </c>
      <c r="L811" t="s">
        <v>35</v>
      </c>
      <c r="M811">
        <v>93</v>
      </c>
      <c r="N811">
        <v>3</v>
      </c>
      <c r="O811">
        <v>3</v>
      </c>
      <c r="P811" t="s">
        <v>48</v>
      </c>
      <c r="Q811">
        <v>2</v>
      </c>
      <c r="R811" t="s">
        <v>47</v>
      </c>
      <c r="S811">
        <v>7655</v>
      </c>
      <c r="T811">
        <v>8039</v>
      </c>
      <c r="U811">
        <v>0</v>
      </c>
      <c r="V811" t="s">
        <v>38</v>
      </c>
      <c r="W811">
        <v>17</v>
      </c>
      <c r="X811">
        <v>3</v>
      </c>
      <c r="Y811">
        <v>2</v>
      </c>
      <c r="Z811">
        <v>3</v>
      </c>
      <c r="AA811">
        <v>10</v>
      </c>
      <c r="AB811" t="str">
        <f>IF(Table2[[#This Row],[TotalWorkingYears]]&lt;=5,"Early (0-5)",IF(Table2[[#This Row],[TotalWorkingYears]]&lt;=15,"Mid (6-15)","Senior (16+)"))</f>
        <v>Mid (6-15)</v>
      </c>
      <c r="AC811">
        <v>3</v>
      </c>
      <c r="AD811">
        <v>2</v>
      </c>
      <c r="AE811" t="s">
        <v>62</v>
      </c>
      <c r="AF811">
        <v>7</v>
      </c>
      <c r="AG811">
        <v>1</v>
      </c>
      <c r="AH811">
        <v>7</v>
      </c>
    </row>
    <row r="812" spans="1:34" x14ac:dyDescent="0.3">
      <c r="A812" t="s">
        <v>58</v>
      </c>
      <c r="B812">
        <v>0</v>
      </c>
      <c r="C812" t="s">
        <v>32</v>
      </c>
      <c r="D812">
        <v>406</v>
      </c>
      <c r="E812" t="s">
        <v>33</v>
      </c>
      <c r="F812">
        <v>3</v>
      </c>
      <c r="G812" t="str">
        <f>IF(Table2[[#This Row],[DistanceFromHome]]&lt;=5, "short", IF(Table2[[#This Row],[DistanceFromHome]]&lt;=15, "medium", "long"))</f>
        <v>short</v>
      </c>
      <c r="H812">
        <v>1</v>
      </c>
      <c r="I812" t="s">
        <v>54</v>
      </c>
      <c r="J812">
        <v>1124</v>
      </c>
      <c r="K812">
        <v>1</v>
      </c>
      <c r="L812" t="s">
        <v>41</v>
      </c>
      <c r="M812">
        <v>52</v>
      </c>
      <c r="N812">
        <v>3</v>
      </c>
      <c r="O812">
        <v>4</v>
      </c>
      <c r="P812" t="s">
        <v>51</v>
      </c>
      <c r="Q812">
        <v>3</v>
      </c>
      <c r="R812" t="s">
        <v>43</v>
      </c>
      <c r="S812">
        <v>17465</v>
      </c>
      <c r="T812">
        <v>15596</v>
      </c>
      <c r="U812">
        <v>3</v>
      </c>
      <c r="V812" t="s">
        <v>38</v>
      </c>
      <c r="W812">
        <v>12</v>
      </c>
      <c r="X812">
        <v>3</v>
      </c>
      <c r="Y812">
        <v>4</v>
      </c>
      <c r="Z812">
        <v>1</v>
      </c>
      <c r="AA812">
        <v>23</v>
      </c>
      <c r="AB812" t="str">
        <f>IF(Table2[[#This Row],[TotalWorkingYears]]&lt;=5,"Early (0-5)",IF(Table2[[#This Row],[TotalWorkingYears]]&lt;=15,"Mid (6-15)","Senior (16+)"))</f>
        <v>Senior (16+)</v>
      </c>
      <c r="AC812">
        <v>3</v>
      </c>
      <c r="AD812">
        <v>3</v>
      </c>
      <c r="AE812" t="s">
        <v>65</v>
      </c>
      <c r="AF812">
        <v>9</v>
      </c>
      <c r="AG812">
        <v>4</v>
      </c>
      <c r="AH812">
        <v>9</v>
      </c>
    </row>
    <row r="813" spans="1:34" x14ac:dyDescent="0.3">
      <c r="A813" t="s">
        <v>57</v>
      </c>
      <c r="B813">
        <v>0</v>
      </c>
      <c r="C813" t="s">
        <v>32</v>
      </c>
      <c r="D813">
        <v>130</v>
      </c>
      <c r="E813" t="s">
        <v>33</v>
      </c>
      <c r="F813">
        <v>2</v>
      </c>
      <c r="G813" t="str">
        <f>IF(Table2[[#This Row],[DistanceFromHome]]&lt;=5, "short", IF(Table2[[#This Row],[DistanceFromHome]]&lt;=15, "medium", "long"))</f>
        <v>short</v>
      </c>
      <c r="H813">
        <v>2</v>
      </c>
      <c r="I813" t="s">
        <v>54</v>
      </c>
      <c r="J813">
        <v>1125</v>
      </c>
      <c r="K813">
        <v>4</v>
      </c>
      <c r="L813" t="s">
        <v>41</v>
      </c>
      <c r="M813">
        <v>32</v>
      </c>
      <c r="N813">
        <v>3</v>
      </c>
      <c r="O813">
        <v>3</v>
      </c>
      <c r="P813" t="s">
        <v>36</v>
      </c>
      <c r="Q813">
        <v>2</v>
      </c>
      <c r="R813" t="s">
        <v>37</v>
      </c>
      <c r="S813">
        <v>7351</v>
      </c>
      <c r="T813">
        <v>20619</v>
      </c>
      <c r="U813">
        <v>7</v>
      </c>
      <c r="V813" t="s">
        <v>38</v>
      </c>
      <c r="W813">
        <v>16</v>
      </c>
      <c r="X813">
        <v>3</v>
      </c>
      <c r="Y813">
        <v>3</v>
      </c>
      <c r="Z813">
        <v>0</v>
      </c>
      <c r="AA813">
        <v>10</v>
      </c>
      <c r="AB813" t="str">
        <f>IF(Table2[[#This Row],[TotalWorkingYears]]&lt;=5,"Early (0-5)",IF(Table2[[#This Row],[TotalWorkingYears]]&lt;=15,"Mid (6-15)","Senior (16+)"))</f>
        <v>Mid (6-15)</v>
      </c>
      <c r="AC813">
        <v>2</v>
      </c>
      <c r="AD813">
        <v>3</v>
      </c>
      <c r="AE813" t="s">
        <v>63</v>
      </c>
      <c r="AF813">
        <v>0</v>
      </c>
      <c r="AG813">
        <v>0</v>
      </c>
      <c r="AH813">
        <v>0</v>
      </c>
    </row>
    <row r="814" spans="1:34" x14ac:dyDescent="0.3">
      <c r="A814" t="s">
        <v>57</v>
      </c>
      <c r="B814">
        <v>0</v>
      </c>
      <c r="C814" t="s">
        <v>39</v>
      </c>
      <c r="D814">
        <v>1082</v>
      </c>
      <c r="E814" t="s">
        <v>40</v>
      </c>
      <c r="F814">
        <v>27</v>
      </c>
      <c r="G814" t="str">
        <f>IF(Table2[[#This Row],[DistanceFromHome]]&lt;=5, "short", IF(Table2[[#This Row],[DistanceFromHome]]&lt;=15, "medium", "long"))</f>
        <v>long</v>
      </c>
      <c r="H814">
        <v>3</v>
      </c>
      <c r="I814" t="s">
        <v>34</v>
      </c>
      <c r="J814">
        <v>1126</v>
      </c>
      <c r="K814">
        <v>3</v>
      </c>
      <c r="L814" t="s">
        <v>35</v>
      </c>
      <c r="M814">
        <v>83</v>
      </c>
      <c r="N814">
        <v>3</v>
      </c>
      <c r="O814">
        <v>3</v>
      </c>
      <c r="P814" t="s">
        <v>48</v>
      </c>
      <c r="Q814">
        <v>1</v>
      </c>
      <c r="R814" t="s">
        <v>43</v>
      </c>
      <c r="S814">
        <v>10820</v>
      </c>
      <c r="T814">
        <v>11535</v>
      </c>
      <c r="U814">
        <v>8</v>
      </c>
      <c r="V814" t="s">
        <v>38</v>
      </c>
      <c r="W814">
        <v>11</v>
      </c>
      <c r="X814">
        <v>3</v>
      </c>
      <c r="Y814">
        <v>3</v>
      </c>
      <c r="Z814">
        <v>1</v>
      </c>
      <c r="AA814">
        <v>18</v>
      </c>
      <c r="AB814" t="str">
        <f>IF(Table2[[#This Row],[TotalWorkingYears]]&lt;=5,"Early (0-5)",IF(Table2[[#This Row],[TotalWorkingYears]]&lt;=15,"Mid (6-15)","Senior (16+)"))</f>
        <v>Senior (16+)</v>
      </c>
      <c r="AC814">
        <v>1</v>
      </c>
      <c r="AD814">
        <v>3</v>
      </c>
      <c r="AE814" t="s">
        <v>62</v>
      </c>
      <c r="AF814">
        <v>7</v>
      </c>
      <c r="AG814">
        <v>0</v>
      </c>
      <c r="AH814">
        <v>1</v>
      </c>
    </row>
    <row r="815" spans="1:34" x14ac:dyDescent="0.3">
      <c r="A815" t="s">
        <v>57</v>
      </c>
      <c r="B815">
        <v>1</v>
      </c>
      <c r="C815" t="s">
        <v>39</v>
      </c>
      <c r="D815">
        <v>203</v>
      </c>
      <c r="E815" t="s">
        <v>40</v>
      </c>
      <c r="F815">
        <v>2</v>
      </c>
      <c r="G815" t="str">
        <f>IF(Table2[[#This Row],[DistanceFromHome]]&lt;=5, "short", IF(Table2[[#This Row],[DistanceFromHome]]&lt;=15, "medium", "long"))</f>
        <v>short</v>
      </c>
      <c r="H815">
        <v>3</v>
      </c>
      <c r="I815" t="s">
        <v>34</v>
      </c>
      <c r="J815">
        <v>1127</v>
      </c>
      <c r="K815">
        <v>1</v>
      </c>
      <c r="L815" t="s">
        <v>41</v>
      </c>
      <c r="M815">
        <v>84</v>
      </c>
      <c r="N815">
        <v>3</v>
      </c>
      <c r="O815">
        <v>4</v>
      </c>
      <c r="P815" t="s">
        <v>49</v>
      </c>
      <c r="Q815">
        <v>4</v>
      </c>
      <c r="R815" t="s">
        <v>47</v>
      </c>
      <c r="S815">
        <v>12169</v>
      </c>
      <c r="T815">
        <v>13547</v>
      </c>
      <c r="U815">
        <v>7</v>
      </c>
      <c r="V815" t="s">
        <v>38</v>
      </c>
      <c r="W815">
        <v>11</v>
      </c>
      <c r="X815">
        <v>3</v>
      </c>
      <c r="Y815">
        <v>4</v>
      </c>
      <c r="Z815">
        <v>3</v>
      </c>
      <c r="AA815">
        <v>21</v>
      </c>
      <c r="AB815" t="str">
        <f>IF(Table2[[#This Row],[TotalWorkingYears]]&lt;=5,"Early (0-5)",IF(Table2[[#This Row],[TotalWorkingYears]]&lt;=15,"Mid (6-15)","Senior (16+)"))</f>
        <v>Senior (16+)</v>
      </c>
      <c r="AC815">
        <v>4</v>
      </c>
      <c r="AD815">
        <v>3</v>
      </c>
      <c r="AE815" t="s">
        <v>65</v>
      </c>
      <c r="AF815">
        <v>7</v>
      </c>
      <c r="AG815">
        <v>11</v>
      </c>
      <c r="AH815">
        <v>5</v>
      </c>
    </row>
    <row r="816" spans="1:34" x14ac:dyDescent="0.3">
      <c r="A816" t="s">
        <v>57</v>
      </c>
      <c r="B816">
        <v>0</v>
      </c>
      <c r="C816" t="s">
        <v>32</v>
      </c>
      <c r="D816">
        <v>1308</v>
      </c>
      <c r="E816" t="s">
        <v>40</v>
      </c>
      <c r="F816">
        <v>14</v>
      </c>
      <c r="G816" t="str">
        <f>IF(Table2[[#This Row],[DistanceFromHome]]&lt;=5, "short", IF(Table2[[#This Row],[DistanceFromHome]]&lt;=15, "medium", "long"))</f>
        <v>medium</v>
      </c>
      <c r="H816">
        <v>3</v>
      </c>
      <c r="I816" t="s">
        <v>46</v>
      </c>
      <c r="J816">
        <v>1128</v>
      </c>
      <c r="K816">
        <v>3</v>
      </c>
      <c r="L816" t="s">
        <v>41</v>
      </c>
      <c r="M816">
        <v>44</v>
      </c>
      <c r="N816">
        <v>2</v>
      </c>
      <c r="O816">
        <v>5</v>
      </c>
      <c r="P816" t="s">
        <v>53</v>
      </c>
      <c r="Q816">
        <v>3</v>
      </c>
      <c r="R816" t="s">
        <v>37</v>
      </c>
      <c r="S816">
        <v>19626</v>
      </c>
      <c r="T816">
        <v>17544</v>
      </c>
      <c r="U816">
        <v>1</v>
      </c>
      <c r="V816" t="s">
        <v>38</v>
      </c>
      <c r="W816">
        <v>14</v>
      </c>
      <c r="X816">
        <v>3</v>
      </c>
      <c r="Y816">
        <v>1</v>
      </c>
      <c r="Z816">
        <v>0</v>
      </c>
      <c r="AA816">
        <v>21</v>
      </c>
      <c r="AB816" t="str">
        <f>IF(Table2[[#This Row],[TotalWorkingYears]]&lt;=5,"Early (0-5)",IF(Table2[[#This Row],[TotalWorkingYears]]&lt;=15,"Mid (6-15)","Senior (16+)"))</f>
        <v>Senior (16+)</v>
      </c>
      <c r="AC816">
        <v>2</v>
      </c>
      <c r="AD816">
        <v>4</v>
      </c>
      <c r="AE816" t="s">
        <v>65</v>
      </c>
      <c r="AF816">
        <v>7</v>
      </c>
      <c r="AG816">
        <v>4</v>
      </c>
      <c r="AH816">
        <v>9</v>
      </c>
    </row>
    <row r="817" spans="1:34" x14ac:dyDescent="0.3">
      <c r="A817" t="s">
        <v>60</v>
      </c>
      <c r="B817">
        <v>0</v>
      </c>
      <c r="C817" t="s">
        <v>32</v>
      </c>
      <c r="D817">
        <v>984</v>
      </c>
      <c r="E817" t="s">
        <v>40</v>
      </c>
      <c r="F817">
        <v>1</v>
      </c>
      <c r="G817" t="str">
        <f>IF(Table2[[#This Row],[DistanceFromHome]]&lt;=5, "short", IF(Table2[[#This Row],[DistanceFromHome]]&lt;=15, "medium", "long"))</f>
        <v>short</v>
      </c>
      <c r="H817">
        <v>1</v>
      </c>
      <c r="I817" t="s">
        <v>55</v>
      </c>
      <c r="J817">
        <v>1131</v>
      </c>
      <c r="K817">
        <v>4</v>
      </c>
      <c r="L817" t="s">
        <v>35</v>
      </c>
      <c r="M817">
        <v>70</v>
      </c>
      <c r="N817">
        <v>2</v>
      </c>
      <c r="O817">
        <v>1</v>
      </c>
      <c r="P817" t="s">
        <v>42</v>
      </c>
      <c r="Q817">
        <v>2</v>
      </c>
      <c r="R817" t="s">
        <v>37</v>
      </c>
      <c r="S817">
        <v>2070</v>
      </c>
      <c r="T817">
        <v>25326</v>
      </c>
      <c r="U817">
        <v>1</v>
      </c>
      <c r="V817" t="s">
        <v>31</v>
      </c>
      <c r="W817">
        <v>11</v>
      </c>
      <c r="X817">
        <v>3</v>
      </c>
      <c r="Y817">
        <v>3</v>
      </c>
      <c r="Z817">
        <v>0</v>
      </c>
      <c r="AA817">
        <v>2</v>
      </c>
      <c r="AB817" t="str">
        <f>IF(Table2[[#This Row],[TotalWorkingYears]]&lt;=5,"Early (0-5)",IF(Table2[[#This Row],[TotalWorkingYears]]&lt;=15,"Mid (6-15)","Senior (16+)"))</f>
        <v>Early (0-5)</v>
      </c>
      <c r="AC817">
        <v>6</v>
      </c>
      <c r="AD817">
        <v>4</v>
      </c>
      <c r="AE817" t="s">
        <v>63</v>
      </c>
      <c r="AF817">
        <v>2</v>
      </c>
      <c r="AG817">
        <v>2</v>
      </c>
      <c r="AH817">
        <v>2</v>
      </c>
    </row>
    <row r="818" spans="1:34" x14ac:dyDescent="0.3">
      <c r="A818" t="s">
        <v>57</v>
      </c>
      <c r="B818">
        <v>0</v>
      </c>
      <c r="C818" t="s">
        <v>50</v>
      </c>
      <c r="D818">
        <v>439</v>
      </c>
      <c r="E818" t="s">
        <v>40</v>
      </c>
      <c r="F818">
        <v>9</v>
      </c>
      <c r="G818" t="str">
        <f>IF(Table2[[#This Row],[DistanceFromHome]]&lt;=5, "short", IF(Table2[[#This Row],[DistanceFromHome]]&lt;=15, "medium", "long"))</f>
        <v>medium</v>
      </c>
      <c r="H818">
        <v>3</v>
      </c>
      <c r="I818" t="s">
        <v>34</v>
      </c>
      <c r="J818">
        <v>1132</v>
      </c>
      <c r="K818">
        <v>3</v>
      </c>
      <c r="L818" t="s">
        <v>41</v>
      </c>
      <c r="M818">
        <v>70</v>
      </c>
      <c r="N818">
        <v>3</v>
      </c>
      <c r="O818">
        <v>2</v>
      </c>
      <c r="P818" t="s">
        <v>45</v>
      </c>
      <c r="Q818">
        <v>2</v>
      </c>
      <c r="R818" t="s">
        <v>37</v>
      </c>
      <c r="S818">
        <v>6782</v>
      </c>
      <c r="T818">
        <v>8770</v>
      </c>
      <c r="U818">
        <v>9</v>
      </c>
      <c r="V818" t="s">
        <v>38</v>
      </c>
      <c r="W818">
        <v>15</v>
      </c>
      <c r="X818">
        <v>3</v>
      </c>
      <c r="Y818">
        <v>3</v>
      </c>
      <c r="Z818">
        <v>0</v>
      </c>
      <c r="AA818">
        <v>9</v>
      </c>
      <c r="AB818" t="str">
        <f>IF(Table2[[#This Row],[TotalWorkingYears]]&lt;=5,"Early (0-5)",IF(Table2[[#This Row],[TotalWorkingYears]]&lt;=15,"Mid (6-15)","Senior (16+)"))</f>
        <v>Mid (6-15)</v>
      </c>
      <c r="AC818">
        <v>2</v>
      </c>
      <c r="AD818">
        <v>2</v>
      </c>
      <c r="AE818" t="s">
        <v>64</v>
      </c>
      <c r="AF818">
        <v>4</v>
      </c>
      <c r="AG818">
        <v>0</v>
      </c>
      <c r="AH818">
        <v>3</v>
      </c>
    </row>
    <row r="819" spans="1:34" x14ac:dyDescent="0.3">
      <c r="A819" t="s">
        <v>57</v>
      </c>
      <c r="B819">
        <v>0</v>
      </c>
      <c r="C819" t="s">
        <v>50</v>
      </c>
      <c r="D819">
        <v>217</v>
      </c>
      <c r="E819" t="s">
        <v>40</v>
      </c>
      <c r="F819">
        <v>18</v>
      </c>
      <c r="G819" t="str">
        <f>IF(Table2[[#This Row],[DistanceFromHome]]&lt;=5, "short", IF(Table2[[#This Row],[DistanceFromHome]]&lt;=15, "medium", "long"))</f>
        <v>long</v>
      </c>
      <c r="H819">
        <v>4</v>
      </c>
      <c r="I819" t="s">
        <v>34</v>
      </c>
      <c r="J819">
        <v>1133</v>
      </c>
      <c r="K819">
        <v>1</v>
      </c>
      <c r="L819" t="s">
        <v>41</v>
      </c>
      <c r="M819">
        <v>78</v>
      </c>
      <c r="N819">
        <v>3</v>
      </c>
      <c r="O819">
        <v>2</v>
      </c>
      <c r="P819" t="s">
        <v>48</v>
      </c>
      <c r="Q819">
        <v>4</v>
      </c>
      <c r="R819" t="s">
        <v>37</v>
      </c>
      <c r="S819">
        <v>7779</v>
      </c>
      <c r="T819">
        <v>23238</v>
      </c>
      <c r="U819">
        <v>2</v>
      </c>
      <c r="V819" t="s">
        <v>38</v>
      </c>
      <c r="W819">
        <v>20</v>
      </c>
      <c r="X819">
        <v>4</v>
      </c>
      <c r="Y819">
        <v>1</v>
      </c>
      <c r="Z819">
        <v>0</v>
      </c>
      <c r="AA819">
        <v>18</v>
      </c>
      <c r="AB819" t="str">
        <f>IF(Table2[[#This Row],[TotalWorkingYears]]&lt;=5,"Early (0-5)",IF(Table2[[#This Row],[TotalWorkingYears]]&lt;=15,"Mid (6-15)","Senior (16+)"))</f>
        <v>Senior (16+)</v>
      </c>
      <c r="AC819">
        <v>0</v>
      </c>
      <c r="AD819">
        <v>3</v>
      </c>
      <c r="AE819" t="s">
        <v>65</v>
      </c>
      <c r="AF819">
        <v>9</v>
      </c>
      <c r="AG819">
        <v>0</v>
      </c>
      <c r="AH819">
        <v>9</v>
      </c>
    </row>
    <row r="820" spans="1:34" x14ac:dyDescent="0.3">
      <c r="A820" t="s">
        <v>59</v>
      </c>
      <c r="B820">
        <v>0</v>
      </c>
      <c r="C820" t="s">
        <v>39</v>
      </c>
      <c r="D820">
        <v>793</v>
      </c>
      <c r="E820" t="s">
        <v>33</v>
      </c>
      <c r="F820">
        <v>20</v>
      </c>
      <c r="G820" t="str">
        <f>IF(Table2[[#This Row],[DistanceFromHome]]&lt;=5, "short", IF(Table2[[#This Row],[DistanceFromHome]]&lt;=15, "medium", "long"))</f>
        <v>long</v>
      </c>
      <c r="H820">
        <v>3</v>
      </c>
      <c r="I820" t="s">
        <v>34</v>
      </c>
      <c r="J820">
        <v>1135</v>
      </c>
      <c r="K820">
        <v>3</v>
      </c>
      <c r="L820" t="s">
        <v>41</v>
      </c>
      <c r="M820">
        <v>67</v>
      </c>
      <c r="N820">
        <v>4</v>
      </c>
      <c r="O820">
        <v>1</v>
      </c>
      <c r="P820" t="s">
        <v>52</v>
      </c>
      <c r="Q820">
        <v>4</v>
      </c>
      <c r="R820" t="s">
        <v>43</v>
      </c>
      <c r="S820">
        <v>2791</v>
      </c>
      <c r="T820">
        <v>21981</v>
      </c>
      <c r="U820">
        <v>0</v>
      </c>
      <c r="V820" t="s">
        <v>38</v>
      </c>
      <c r="W820">
        <v>12</v>
      </c>
      <c r="X820">
        <v>3</v>
      </c>
      <c r="Y820">
        <v>1</v>
      </c>
      <c r="Z820">
        <v>1</v>
      </c>
      <c r="AA820">
        <v>3</v>
      </c>
      <c r="AB820" t="str">
        <f>IF(Table2[[#This Row],[TotalWorkingYears]]&lt;=5,"Early (0-5)",IF(Table2[[#This Row],[TotalWorkingYears]]&lt;=15,"Mid (6-15)","Senior (16+)"))</f>
        <v>Early (0-5)</v>
      </c>
      <c r="AC820">
        <v>4</v>
      </c>
      <c r="AD820">
        <v>3</v>
      </c>
      <c r="AE820" t="s">
        <v>63</v>
      </c>
      <c r="AF820">
        <v>2</v>
      </c>
      <c r="AG820">
        <v>2</v>
      </c>
      <c r="AH820">
        <v>2</v>
      </c>
    </row>
    <row r="821" spans="1:34" x14ac:dyDescent="0.3">
      <c r="A821" t="s">
        <v>59</v>
      </c>
      <c r="B821">
        <v>0</v>
      </c>
      <c r="C821" t="s">
        <v>32</v>
      </c>
      <c r="D821">
        <v>1451</v>
      </c>
      <c r="E821" t="s">
        <v>40</v>
      </c>
      <c r="F821">
        <v>2</v>
      </c>
      <c r="G821" t="str">
        <f>IF(Table2[[#This Row],[DistanceFromHome]]&lt;=5, "short", IF(Table2[[#This Row],[DistanceFromHome]]&lt;=15, "medium", "long"))</f>
        <v>short</v>
      </c>
      <c r="H821">
        <v>1</v>
      </c>
      <c r="I821" t="s">
        <v>34</v>
      </c>
      <c r="J821">
        <v>1136</v>
      </c>
      <c r="K821">
        <v>1</v>
      </c>
      <c r="L821" t="s">
        <v>41</v>
      </c>
      <c r="M821">
        <v>67</v>
      </c>
      <c r="N821">
        <v>2</v>
      </c>
      <c r="O821">
        <v>1</v>
      </c>
      <c r="P821" t="s">
        <v>42</v>
      </c>
      <c r="Q821">
        <v>2</v>
      </c>
      <c r="R821" t="s">
        <v>43</v>
      </c>
      <c r="S821">
        <v>3201</v>
      </c>
      <c r="T821">
        <v>19911</v>
      </c>
      <c r="U821">
        <v>0</v>
      </c>
      <c r="V821" t="s">
        <v>38</v>
      </c>
      <c r="W821">
        <v>17</v>
      </c>
      <c r="X821">
        <v>3</v>
      </c>
      <c r="Y821">
        <v>1</v>
      </c>
      <c r="Z821">
        <v>0</v>
      </c>
      <c r="AA821">
        <v>6</v>
      </c>
      <c r="AB821" t="str">
        <f>IF(Table2[[#This Row],[TotalWorkingYears]]&lt;=5,"Early (0-5)",IF(Table2[[#This Row],[TotalWorkingYears]]&lt;=15,"Mid (6-15)","Senior (16+)"))</f>
        <v>Mid (6-15)</v>
      </c>
      <c r="AC821">
        <v>2</v>
      </c>
      <c r="AD821">
        <v>1</v>
      </c>
      <c r="AE821" t="s">
        <v>64</v>
      </c>
      <c r="AF821">
        <v>3</v>
      </c>
      <c r="AG821">
        <v>0</v>
      </c>
      <c r="AH821">
        <v>4</v>
      </c>
    </row>
    <row r="822" spans="1:34" x14ac:dyDescent="0.3">
      <c r="A822" t="s">
        <v>59</v>
      </c>
      <c r="B822">
        <v>0</v>
      </c>
      <c r="C822" t="s">
        <v>39</v>
      </c>
      <c r="D822">
        <v>1182</v>
      </c>
      <c r="E822" t="s">
        <v>33</v>
      </c>
      <c r="F822">
        <v>11</v>
      </c>
      <c r="G822" t="str">
        <f>IF(Table2[[#This Row],[DistanceFromHome]]&lt;=5, "short", IF(Table2[[#This Row],[DistanceFromHome]]&lt;=15, "medium", "long"))</f>
        <v>medium</v>
      </c>
      <c r="H822">
        <v>2</v>
      </c>
      <c r="I822" t="s">
        <v>54</v>
      </c>
      <c r="J822">
        <v>1137</v>
      </c>
      <c r="K822">
        <v>4</v>
      </c>
      <c r="L822" t="s">
        <v>41</v>
      </c>
      <c r="M822">
        <v>54</v>
      </c>
      <c r="N822">
        <v>3</v>
      </c>
      <c r="O822">
        <v>2</v>
      </c>
      <c r="P822" t="s">
        <v>36</v>
      </c>
      <c r="Q822">
        <v>4</v>
      </c>
      <c r="R822" t="s">
        <v>47</v>
      </c>
      <c r="S822">
        <v>4968</v>
      </c>
      <c r="T822">
        <v>18500</v>
      </c>
      <c r="U822">
        <v>1</v>
      </c>
      <c r="V822" t="s">
        <v>38</v>
      </c>
      <c r="W822">
        <v>11</v>
      </c>
      <c r="X822">
        <v>3</v>
      </c>
      <c r="Y822">
        <v>4</v>
      </c>
      <c r="Z822">
        <v>1</v>
      </c>
      <c r="AA822">
        <v>5</v>
      </c>
      <c r="AB822" t="str">
        <f>IF(Table2[[#This Row],[TotalWorkingYears]]&lt;=5,"Early (0-5)",IF(Table2[[#This Row],[TotalWorkingYears]]&lt;=15,"Mid (6-15)","Senior (16+)"))</f>
        <v>Early (0-5)</v>
      </c>
      <c r="AC822">
        <v>3</v>
      </c>
      <c r="AD822">
        <v>3</v>
      </c>
      <c r="AE822" t="s">
        <v>64</v>
      </c>
      <c r="AF822">
        <v>2</v>
      </c>
      <c r="AG822">
        <v>0</v>
      </c>
      <c r="AH822">
        <v>2</v>
      </c>
    </row>
    <row r="823" spans="1:34" x14ac:dyDescent="0.3">
      <c r="A823" t="s">
        <v>58</v>
      </c>
      <c r="B823">
        <v>0</v>
      </c>
      <c r="C823" t="s">
        <v>32</v>
      </c>
      <c r="D823">
        <v>174</v>
      </c>
      <c r="E823" t="s">
        <v>33</v>
      </c>
      <c r="F823">
        <v>8</v>
      </c>
      <c r="G823" t="str">
        <f>IF(Table2[[#This Row],[DistanceFromHome]]&lt;=5, "short", IF(Table2[[#This Row],[DistanceFromHome]]&lt;=15, "medium", "long"))</f>
        <v>medium</v>
      </c>
      <c r="H823">
        <v>4</v>
      </c>
      <c r="I823" t="s">
        <v>55</v>
      </c>
      <c r="J823">
        <v>1138</v>
      </c>
      <c r="K823">
        <v>4</v>
      </c>
      <c r="L823" t="s">
        <v>41</v>
      </c>
      <c r="M823">
        <v>56</v>
      </c>
      <c r="N823">
        <v>2</v>
      </c>
      <c r="O823">
        <v>4</v>
      </c>
      <c r="P823" t="s">
        <v>36</v>
      </c>
      <c r="Q823">
        <v>2</v>
      </c>
      <c r="R823" t="s">
        <v>43</v>
      </c>
      <c r="S823">
        <v>13120</v>
      </c>
      <c r="T823">
        <v>11879</v>
      </c>
      <c r="U823">
        <v>6</v>
      </c>
      <c r="V823" t="s">
        <v>38</v>
      </c>
      <c r="W823">
        <v>17</v>
      </c>
      <c r="X823">
        <v>3</v>
      </c>
      <c r="Y823">
        <v>2</v>
      </c>
      <c r="Z823">
        <v>1</v>
      </c>
      <c r="AA823">
        <v>22</v>
      </c>
      <c r="AB823" t="str">
        <f>IF(Table2[[#This Row],[TotalWorkingYears]]&lt;=5,"Early (0-5)",IF(Table2[[#This Row],[TotalWorkingYears]]&lt;=15,"Mid (6-15)","Senior (16+)"))</f>
        <v>Senior (16+)</v>
      </c>
      <c r="AC823">
        <v>3</v>
      </c>
      <c r="AD823">
        <v>3</v>
      </c>
      <c r="AE823" t="s">
        <v>62</v>
      </c>
      <c r="AF823">
        <v>8</v>
      </c>
      <c r="AG823">
        <v>2</v>
      </c>
      <c r="AH823">
        <v>3</v>
      </c>
    </row>
    <row r="824" spans="1:34" x14ac:dyDescent="0.3">
      <c r="A824" t="s">
        <v>59</v>
      </c>
      <c r="B824">
        <v>0</v>
      </c>
      <c r="C824" t="s">
        <v>39</v>
      </c>
      <c r="D824">
        <v>1003</v>
      </c>
      <c r="E824" t="s">
        <v>40</v>
      </c>
      <c r="F824">
        <v>2</v>
      </c>
      <c r="G824" t="str">
        <f>IF(Table2[[#This Row],[DistanceFromHome]]&lt;=5, "short", IF(Table2[[#This Row],[DistanceFromHome]]&lt;=15, "medium", "long"))</f>
        <v>short</v>
      </c>
      <c r="H824">
        <v>2</v>
      </c>
      <c r="I824" t="s">
        <v>34</v>
      </c>
      <c r="J824">
        <v>1140</v>
      </c>
      <c r="K824">
        <v>4</v>
      </c>
      <c r="L824" t="s">
        <v>41</v>
      </c>
      <c r="M824">
        <v>95</v>
      </c>
      <c r="N824">
        <v>3</v>
      </c>
      <c r="O824">
        <v>2</v>
      </c>
      <c r="P824" t="s">
        <v>48</v>
      </c>
      <c r="Q824">
        <v>3</v>
      </c>
      <c r="R824" t="s">
        <v>37</v>
      </c>
      <c r="S824">
        <v>4033</v>
      </c>
      <c r="T824">
        <v>15834</v>
      </c>
      <c r="U824">
        <v>2</v>
      </c>
      <c r="V824" t="s">
        <v>38</v>
      </c>
      <c r="W824">
        <v>11</v>
      </c>
      <c r="X824">
        <v>3</v>
      </c>
      <c r="Y824">
        <v>4</v>
      </c>
      <c r="Z824">
        <v>0</v>
      </c>
      <c r="AA824">
        <v>5</v>
      </c>
      <c r="AB824" t="str">
        <f>IF(Table2[[#This Row],[TotalWorkingYears]]&lt;=5,"Early (0-5)",IF(Table2[[#This Row],[TotalWorkingYears]]&lt;=15,"Mid (6-15)","Senior (16+)"))</f>
        <v>Early (0-5)</v>
      </c>
      <c r="AC824">
        <v>3</v>
      </c>
      <c r="AD824">
        <v>2</v>
      </c>
      <c r="AE824" t="s">
        <v>64</v>
      </c>
      <c r="AF824">
        <v>2</v>
      </c>
      <c r="AG824">
        <v>0</v>
      </c>
      <c r="AH824">
        <v>2</v>
      </c>
    </row>
    <row r="825" spans="1:34" x14ac:dyDescent="0.3">
      <c r="A825" t="s">
        <v>59</v>
      </c>
      <c r="B825">
        <v>0</v>
      </c>
      <c r="C825" t="s">
        <v>39</v>
      </c>
      <c r="D825">
        <v>490</v>
      </c>
      <c r="E825" t="s">
        <v>40</v>
      </c>
      <c r="F825">
        <v>10</v>
      </c>
      <c r="G825" t="str">
        <f>IF(Table2[[#This Row],[DistanceFromHome]]&lt;=5, "short", IF(Table2[[#This Row],[DistanceFromHome]]&lt;=15, "medium", "long"))</f>
        <v>medium</v>
      </c>
      <c r="H825">
        <v>3</v>
      </c>
      <c r="I825" t="s">
        <v>34</v>
      </c>
      <c r="J825">
        <v>1143</v>
      </c>
      <c r="K825">
        <v>4</v>
      </c>
      <c r="L825" t="s">
        <v>35</v>
      </c>
      <c r="M825">
        <v>61</v>
      </c>
      <c r="N825">
        <v>3</v>
      </c>
      <c r="O825">
        <v>1</v>
      </c>
      <c r="P825" t="s">
        <v>42</v>
      </c>
      <c r="Q825">
        <v>2</v>
      </c>
      <c r="R825" t="s">
        <v>47</v>
      </c>
      <c r="S825">
        <v>3291</v>
      </c>
      <c r="T825">
        <v>17940</v>
      </c>
      <c r="U825">
        <v>0</v>
      </c>
      <c r="V825" t="s">
        <v>38</v>
      </c>
      <c r="W825">
        <v>14</v>
      </c>
      <c r="X825">
        <v>3</v>
      </c>
      <c r="Y825">
        <v>4</v>
      </c>
      <c r="Z825">
        <v>2</v>
      </c>
      <c r="AA825">
        <v>8</v>
      </c>
      <c r="AB825" t="str">
        <f>IF(Table2[[#This Row],[TotalWorkingYears]]&lt;=5,"Early (0-5)",IF(Table2[[#This Row],[TotalWorkingYears]]&lt;=15,"Mid (6-15)","Senior (16+)"))</f>
        <v>Mid (6-15)</v>
      </c>
      <c r="AC825">
        <v>2</v>
      </c>
      <c r="AD825">
        <v>2</v>
      </c>
      <c r="AE825" t="s">
        <v>62</v>
      </c>
      <c r="AF825">
        <v>5</v>
      </c>
      <c r="AG825">
        <v>1</v>
      </c>
      <c r="AH825">
        <v>1</v>
      </c>
    </row>
    <row r="826" spans="1:34" x14ac:dyDescent="0.3">
      <c r="A826" t="s">
        <v>57</v>
      </c>
      <c r="B826">
        <v>0</v>
      </c>
      <c r="C826" t="s">
        <v>32</v>
      </c>
      <c r="D826">
        <v>188</v>
      </c>
      <c r="E826" t="s">
        <v>40</v>
      </c>
      <c r="F826">
        <v>29</v>
      </c>
      <c r="G826" t="str">
        <f>IF(Table2[[#This Row],[DistanceFromHome]]&lt;=5, "short", IF(Table2[[#This Row],[DistanceFromHome]]&lt;=15, "medium", "long"))</f>
        <v>long</v>
      </c>
      <c r="H826">
        <v>3</v>
      </c>
      <c r="I826" t="s">
        <v>46</v>
      </c>
      <c r="J826">
        <v>1148</v>
      </c>
      <c r="K826">
        <v>2</v>
      </c>
      <c r="L826" t="s">
        <v>41</v>
      </c>
      <c r="M826">
        <v>56</v>
      </c>
      <c r="N826">
        <v>1</v>
      </c>
      <c r="O826">
        <v>2</v>
      </c>
      <c r="P826" t="s">
        <v>45</v>
      </c>
      <c r="Q826">
        <v>4</v>
      </c>
      <c r="R826" t="s">
        <v>37</v>
      </c>
      <c r="S826">
        <v>4272</v>
      </c>
      <c r="T826">
        <v>9558</v>
      </c>
      <c r="U826">
        <v>4</v>
      </c>
      <c r="V826" t="s">
        <v>38</v>
      </c>
      <c r="W826">
        <v>19</v>
      </c>
      <c r="X826">
        <v>3</v>
      </c>
      <c r="Y826">
        <v>1</v>
      </c>
      <c r="Z826">
        <v>0</v>
      </c>
      <c r="AA826">
        <v>16</v>
      </c>
      <c r="AB826" t="str">
        <f>IF(Table2[[#This Row],[TotalWorkingYears]]&lt;=5,"Early (0-5)",IF(Table2[[#This Row],[TotalWorkingYears]]&lt;=15,"Mid (6-15)","Senior (16+)"))</f>
        <v>Senior (16+)</v>
      </c>
      <c r="AC826">
        <v>3</v>
      </c>
      <c r="AD826">
        <v>3</v>
      </c>
      <c r="AE826" t="s">
        <v>63</v>
      </c>
      <c r="AF826">
        <v>0</v>
      </c>
      <c r="AG826">
        <v>0</v>
      </c>
      <c r="AH826">
        <v>0</v>
      </c>
    </row>
    <row r="827" spans="1:34" x14ac:dyDescent="0.3">
      <c r="A827" t="s">
        <v>59</v>
      </c>
      <c r="B827">
        <v>0</v>
      </c>
      <c r="C827" t="s">
        <v>32</v>
      </c>
      <c r="D827">
        <v>718</v>
      </c>
      <c r="E827" t="s">
        <v>40</v>
      </c>
      <c r="F827">
        <v>8</v>
      </c>
      <c r="G827" t="str">
        <f>IF(Table2[[#This Row],[DistanceFromHome]]&lt;=5, "short", IF(Table2[[#This Row],[DistanceFromHome]]&lt;=15, "medium", "long"))</f>
        <v>medium</v>
      </c>
      <c r="H827">
        <v>1</v>
      </c>
      <c r="I827" t="s">
        <v>46</v>
      </c>
      <c r="J827">
        <v>1150</v>
      </c>
      <c r="K827">
        <v>2</v>
      </c>
      <c r="L827" t="s">
        <v>41</v>
      </c>
      <c r="M827">
        <v>79</v>
      </c>
      <c r="N827">
        <v>2</v>
      </c>
      <c r="O827">
        <v>2</v>
      </c>
      <c r="P827" t="s">
        <v>48</v>
      </c>
      <c r="Q827">
        <v>4</v>
      </c>
      <c r="R827" t="s">
        <v>43</v>
      </c>
      <c r="S827">
        <v>5056</v>
      </c>
      <c r="T827">
        <v>17689</v>
      </c>
      <c r="U827">
        <v>1</v>
      </c>
      <c r="V827" t="s">
        <v>31</v>
      </c>
      <c r="W827">
        <v>15</v>
      </c>
      <c r="X827">
        <v>3</v>
      </c>
      <c r="Y827">
        <v>3</v>
      </c>
      <c r="Z827">
        <v>1</v>
      </c>
      <c r="AA827">
        <v>10</v>
      </c>
      <c r="AB827" t="str">
        <f>IF(Table2[[#This Row],[TotalWorkingYears]]&lt;=5,"Early (0-5)",IF(Table2[[#This Row],[TotalWorkingYears]]&lt;=15,"Mid (6-15)","Senior (16+)"))</f>
        <v>Mid (6-15)</v>
      </c>
      <c r="AC827">
        <v>2</v>
      </c>
      <c r="AD827">
        <v>2</v>
      </c>
      <c r="AE827" t="s">
        <v>62</v>
      </c>
      <c r="AF827">
        <v>7</v>
      </c>
      <c r="AG827">
        <v>1</v>
      </c>
      <c r="AH827">
        <v>2</v>
      </c>
    </row>
    <row r="828" spans="1:34" x14ac:dyDescent="0.3">
      <c r="A828" t="s">
        <v>57</v>
      </c>
      <c r="B828">
        <v>0</v>
      </c>
      <c r="C828" t="s">
        <v>32</v>
      </c>
      <c r="D828">
        <v>433</v>
      </c>
      <c r="E828" t="s">
        <v>56</v>
      </c>
      <c r="F828">
        <v>1</v>
      </c>
      <c r="G828" t="str">
        <f>IF(Table2[[#This Row],[DistanceFromHome]]&lt;=5, "short", IF(Table2[[#This Row],[DistanceFromHome]]&lt;=15, "medium", "long"))</f>
        <v>short</v>
      </c>
      <c r="H828">
        <v>3</v>
      </c>
      <c r="I828" t="s">
        <v>56</v>
      </c>
      <c r="J828">
        <v>1152</v>
      </c>
      <c r="K828">
        <v>3</v>
      </c>
      <c r="L828" t="s">
        <v>41</v>
      </c>
      <c r="M828">
        <v>37</v>
      </c>
      <c r="N828">
        <v>4</v>
      </c>
      <c r="O828">
        <v>1</v>
      </c>
      <c r="P828" t="s">
        <v>56</v>
      </c>
      <c r="Q828">
        <v>3</v>
      </c>
      <c r="R828" t="s">
        <v>43</v>
      </c>
      <c r="S828">
        <v>2844</v>
      </c>
      <c r="T828">
        <v>6004</v>
      </c>
      <c r="U828">
        <v>1</v>
      </c>
      <c r="V828" t="s">
        <v>38</v>
      </c>
      <c r="W828">
        <v>13</v>
      </c>
      <c r="X828">
        <v>3</v>
      </c>
      <c r="Y828">
        <v>4</v>
      </c>
      <c r="Z828">
        <v>1</v>
      </c>
      <c r="AA828">
        <v>7</v>
      </c>
      <c r="AB828" t="str">
        <f>IF(Table2[[#This Row],[TotalWorkingYears]]&lt;=5,"Early (0-5)",IF(Table2[[#This Row],[TotalWorkingYears]]&lt;=15,"Mid (6-15)","Senior (16+)"))</f>
        <v>Mid (6-15)</v>
      </c>
      <c r="AC828">
        <v>2</v>
      </c>
      <c r="AD828">
        <v>4</v>
      </c>
      <c r="AE828" t="s">
        <v>62</v>
      </c>
      <c r="AF828">
        <v>6</v>
      </c>
      <c r="AG828">
        <v>5</v>
      </c>
      <c r="AH828">
        <v>0</v>
      </c>
    </row>
    <row r="829" spans="1:34" x14ac:dyDescent="0.3">
      <c r="A829" t="s">
        <v>59</v>
      </c>
      <c r="B829">
        <v>0</v>
      </c>
      <c r="C829" t="s">
        <v>39</v>
      </c>
      <c r="D829">
        <v>773</v>
      </c>
      <c r="E829" t="s">
        <v>40</v>
      </c>
      <c r="F829">
        <v>6</v>
      </c>
      <c r="G829" t="str">
        <f>IF(Table2[[#This Row],[DistanceFromHome]]&lt;=5, "short", IF(Table2[[#This Row],[DistanceFromHome]]&lt;=15, "medium", "long"))</f>
        <v>medium</v>
      </c>
      <c r="H829">
        <v>3</v>
      </c>
      <c r="I829" t="s">
        <v>34</v>
      </c>
      <c r="J829">
        <v>1154</v>
      </c>
      <c r="K829">
        <v>3</v>
      </c>
      <c r="L829" t="s">
        <v>41</v>
      </c>
      <c r="M829">
        <v>39</v>
      </c>
      <c r="N829">
        <v>2</v>
      </c>
      <c r="O829">
        <v>1</v>
      </c>
      <c r="P829" t="s">
        <v>42</v>
      </c>
      <c r="Q829">
        <v>3</v>
      </c>
      <c r="R829" t="s">
        <v>47</v>
      </c>
      <c r="S829">
        <v>2703</v>
      </c>
      <c r="T829">
        <v>22088</v>
      </c>
      <c r="U829">
        <v>1</v>
      </c>
      <c r="V829" t="s">
        <v>31</v>
      </c>
      <c r="W829">
        <v>14</v>
      </c>
      <c r="X829">
        <v>3</v>
      </c>
      <c r="Y829">
        <v>4</v>
      </c>
      <c r="Z829">
        <v>1</v>
      </c>
      <c r="AA829">
        <v>3</v>
      </c>
      <c r="AB829" t="str">
        <f>IF(Table2[[#This Row],[TotalWorkingYears]]&lt;=5,"Early (0-5)",IF(Table2[[#This Row],[TotalWorkingYears]]&lt;=15,"Mid (6-15)","Senior (16+)"))</f>
        <v>Early (0-5)</v>
      </c>
      <c r="AC829">
        <v>2</v>
      </c>
      <c r="AD829">
        <v>3</v>
      </c>
      <c r="AE829" t="s">
        <v>64</v>
      </c>
      <c r="AF829">
        <v>1</v>
      </c>
      <c r="AG829">
        <v>0</v>
      </c>
      <c r="AH829">
        <v>2</v>
      </c>
    </row>
    <row r="830" spans="1:34" x14ac:dyDescent="0.3">
      <c r="A830" t="s">
        <v>60</v>
      </c>
      <c r="B830">
        <v>1</v>
      </c>
      <c r="C830" t="s">
        <v>50</v>
      </c>
      <c r="D830">
        <v>247</v>
      </c>
      <c r="E830" t="s">
        <v>40</v>
      </c>
      <c r="F830">
        <v>8</v>
      </c>
      <c r="G830" t="str">
        <f>IF(Table2[[#This Row],[DistanceFromHome]]&lt;=5, "short", IF(Table2[[#This Row],[DistanceFromHome]]&lt;=15, "medium", "long"))</f>
        <v>medium</v>
      </c>
      <c r="H830">
        <v>1</v>
      </c>
      <c r="I830" t="s">
        <v>46</v>
      </c>
      <c r="J830">
        <v>1156</v>
      </c>
      <c r="K830">
        <v>3</v>
      </c>
      <c r="L830" t="s">
        <v>41</v>
      </c>
      <c r="M830">
        <v>80</v>
      </c>
      <c r="N830">
        <v>3</v>
      </c>
      <c r="O830">
        <v>1</v>
      </c>
      <c r="P830" t="s">
        <v>45</v>
      </c>
      <c r="Q830">
        <v>3</v>
      </c>
      <c r="R830" t="s">
        <v>37</v>
      </c>
      <c r="S830">
        <v>1904</v>
      </c>
      <c r="T830">
        <v>13556</v>
      </c>
      <c r="U830">
        <v>1</v>
      </c>
      <c r="V830" t="s">
        <v>38</v>
      </c>
      <c r="W830">
        <v>12</v>
      </c>
      <c r="X830">
        <v>3</v>
      </c>
      <c r="Y830">
        <v>4</v>
      </c>
      <c r="Z830">
        <v>0</v>
      </c>
      <c r="AA830">
        <v>0</v>
      </c>
      <c r="AB830" t="str">
        <f>IF(Table2[[#This Row],[TotalWorkingYears]]&lt;=5,"Early (0-5)",IF(Table2[[#This Row],[TotalWorkingYears]]&lt;=15,"Mid (6-15)","Senior (16+)"))</f>
        <v>Early (0-5)</v>
      </c>
      <c r="AC830">
        <v>0</v>
      </c>
      <c r="AD830">
        <v>3</v>
      </c>
      <c r="AE830" t="s">
        <v>63</v>
      </c>
      <c r="AF830">
        <v>0</v>
      </c>
      <c r="AG830">
        <v>0</v>
      </c>
      <c r="AH830">
        <v>0</v>
      </c>
    </row>
    <row r="831" spans="1:34" x14ac:dyDescent="0.3">
      <c r="A831" t="s">
        <v>59</v>
      </c>
      <c r="B831">
        <v>1</v>
      </c>
      <c r="C831" t="s">
        <v>32</v>
      </c>
      <c r="D831">
        <v>603</v>
      </c>
      <c r="E831" t="s">
        <v>33</v>
      </c>
      <c r="F831">
        <v>9</v>
      </c>
      <c r="G831" t="str">
        <f>IF(Table2[[#This Row],[DistanceFromHome]]&lt;=5, "short", IF(Table2[[#This Row],[DistanceFromHome]]&lt;=15, "medium", "long"))</f>
        <v>medium</v>
      </c>
      <c r="H831">
        <v>4</v>
      </c>
      <c r="I831" t="s">
        <v>54</v>
      </c>
      <c r="J831">
        <v>1157</v>
      </c>
      <c r="K831">
        <v>1</v>
      </c>
      <c r="L831" t="s">
        <v>35</v>
      </c>
      <c r="M831">
        <v>77</v>
      </c>
      <c r="N831">
        <v>3</v>
      </c>
      <c r="O831">
        <v>2</v>
      </c>
      <c r="P831" t="s">
        <v>36</v>
      </c>
      <c r="Q831">
        <v>1</v>
      </c>
      <c r="R831" t="s">
        <v>37</v>
      </c>
      <c r="S831">
        <v>8224</v>
      </c>
      <c r="T831">
        <v>18385</v>
      </c>
      <c r="U831">
        <v>0</v>
      </c>
      <c r="V831" t="s">
        <v>31</v>
      </c>
      <c r="W831">
        <v>17</v>
      </c>
      <c r="X831">
        <v>3</v>
      </c>
      <c r="Y831">
        <v>1</v>
      </c>
      <c r="Z831">
        <v>0</v>
      </c>
      <c r="AA831">
        <v>6</v>
      </c>
      <c r="AB831" t="str">
        <f>IF(Table2[[#This Row],[TotalWorkingYears]]&lt;=5,"Early (0-5)",IF(Table2[[#This Row],[TotalWorkingYears]]&lt;=15,"Mid (6-15)","Senior (16+)"))</f>
        <v>Mid (6-15)</v>
      </c>
      <c r="AC831">
        <v>3</v>
      </c>
      <c r="AD831">
        <v>3</v>
      </c>
      <c r="AE831" t="s">
        <v>64</v>
      </c>
      <c r="AF831">
        <v>2</v>
      </c>
      <c r="AG831">
        <v>0</v>
      </c>
      <c r="AH831">
        <v>3</v>
      </c>
    </row>
    <row r="832" spans="1:34" x14ac:dyDescent="0.3">
      <c r="A832" t="s">
        <v>57</v>
      </c>
      <c r="B832">
        <v>0</v>
      </c>
      <c r="C832" t="s">
        <v>32</v>
      </c>
      <c r="D832">
        <v>167</v>
      </c>
      <c r="E832" t="s">
        <v>40</v>
      </c>
      <c r="F832">
        <v>12</v>
      </c>
      <c r="G832" t="str">
        <f>IF(Table2[[#This Row],[DistanceFromHome]]&lt;=5, "short", IF(Table2[[#This Row],[DistanceFromHome]]&lt;=15, "medium", "long"))</f>
        <v>medium</v>
      </c>
      <c r="H832">
        <v>4</v>
      </c>
      <c r="I832" t="s">
        <v>34</v>
      </c>
      <c r="J832">
        <v>1158</v>
      </c>
      <c r="K832">
        <v>2</v>
      </c>
      <c r="L832" t="s">
        <v>41</v>
      </c>
      <c r="M832">
        <v>46</v>
      </c>
      <c r="N832">
        <v>3</v>
      </c>
      <c r="O832">
        <v>1</v>
      </c>
      <c r="P832" t="s">
        <v>45</v>
      </c>
      <c r="Q832">
        <v>4</v>
      </c>
      <c r="R832" t="s">
        <v>43</v>
      </c>
      <c r="S832">
        <v>4766</v>
      </c>
      <c r="T832">
        <v>9051</v>
      </c>
      <c r="U832">
        <v>3</v>
      </c>
      <c r="V832" t="s">
        <v>31</v>
      </c>
      <c r="W832">
        <v>11</v>
      </c>
      <c r="X832">
        <v>3</v>
      </c>
      <c r="Y832">
        <v>1</v>
      </c>
      <c r="Z832">
        <v>1</v>
      </c>
      <c r="AA832">
        <v>6</v>
      </c>
      <c r="AB832" t="str">
        <f>IF(Table2[[#This Row],[TotalWorkingYears]]&lt;=5,"Early (0-5)",IF(Table2[[#This Row],[TotalWorkingYears]]&lt;=15,"Mid (6-15)","Senior (16+)"))</f>
        <v>Mid (6-15)</v>
      </c>
      <c r="AC832">
        <v>4</v>
      </c>
      <c r="AD832">
        <v>3</v>
      </c>
      <c r="AE832" t="s">
        <v>63</v>
      </c>
      <c r="AF832">
        <v>0</v>
      </c>
      <c r="AG832">
        <v>0</v>
      </c>
      <c r="AH832">
        <v>0</v>
      </c>
    </row>
    <row r="833" spans="1:34" x14ac:dyDescent="0.3">
      <c r="A833" t="s">
        <v>59</v>
      </c>
      <c r="B833">
        <v>1</v>
      </c>
      <c r="C833" t="s">
        <v>39</v>
      </c>
      <c r="D833">
        <v>874</v>
      </c>
      <c r="E833" t="s">
        <v>40</v>
      </c>
      <c r="F833">
        <v>15</v>
      </c>
      <c r="G833" t="str">
        <f>IF(Table2[[#This Row],[DistanceFromHome]]&lt;=5, "short", IF(Table2[[#This Row],[DistanceFromHome]]&lt;=15, "medium", "long"))</f>
        <v>medium</v>
      </c>
      <c r="H833">
        <v>3</v>
      </c>
      <c r="I833" t="s">
        <v>46</v>
      </c>
      <c r="J833">
        <v>1160</v>
      </c>
      <c r="K833">
        <v>3</v>
      </c>
      <c r="L833" t="s">
        <v>41</v>
      </c>
      <c r="M833">
        <v>72</v>
      </c>
      <c r="N833">
        <v>3</v>
      </c>
      <c r="O833">
        <v>1</v>
      </c>
      <c r="P833" t="s">
        <v>45</v>
      </c>
      <c r="Q833">
        <v>3</v>
      </c>
      <c r="R833" t="s">
        <v>43</v>
      </c>
      <c r="S833">
        <v>2610</v>
      </c>
      <c r="T833">
        <v>6233</v>
      </c>
      <c r="U833">
        <v>1</v>
      </c>
      <c r="V833" t="s">
        <v>38</v>
      </c>
      <c r="W833">
        <v>12</v>
      </c>
      <c r="X833">
        <v>3</v>
      </c>
      <c r="Y833">
        <v>3</v>
      </c>
      <c r="Z833">
        <v>1</v>
      </c>
      <c r="AA833">
        <v>2</v>
      </c>
      <c r="AB833" t="str">
        <f>IF(Table2[[#This Row],[TotalWorkingYears]]&lt;=5,"Early (0-5)",IF(Table2[[#This Row],[TotalWorkingYears]]&lt;=15,"Mid (6-15)","Senior (16+)"))</f>
        <v>Early (0-5)</v>
      </c>
      <c r="AC833">
        <v>5</v>
      </c>
      <c r="AD833">
        <v>2</v>
      </c>
      <c r="AE833" t="s">
        <v>63</v>
      </c>
      <c r="AF833">
        <v>2</v>
      </c>
      <c r="AG833">
        <v>2</v>
      </c>
      <c r="AH833">
        <v>2</v>
      </c>
    </row>
    <row r="834" spans="1:34" x14ac:dyDescent="0.3">
      <c r="A834" t="s">
        <v>57</v>
      </c>
      <c r="B834">
        <v>0</v>
      </c>
      <c r="C834" t="s">
        <v>32</v>
      </c>
      <c r="D834">
        <v>367</v>
      </c>
      <c r="E834" t="s">
        <v>40</v>
      </c>
      <c r="F834">
        <v>25</v>
      </c>
      <c r="G834" t="str">
        <f>IF(Table2[[#This Row],[DistanceFromHome]]&lt;=5, "short", IF(Table2[[#This Row],[DistanceFromHome]]&lt;=15, "medium", "long"))</f>
        <v>long</v>
      </c>
      <c r="H834">
        <v>2</v>
      </c>
      <c r="I834" t="s">
        <v>46</v>
      </c>
      <c r="J834">
        <v>1161</v>
      </c>
      <c r="K834">
        <v>3</v>
      </c>
      <c r="L834" t="s">
        <v>35</v>
      </c>
      <c r="M834">
        <v>52</v>
      </c>
      <c r="N834">
        <v>2</v>
      </c>
      <c r="O834">
        <v>2</v>
      </c>
      <c r="P834" t="s">
        <v>49</v>
      </c>
      <c r="Q834">
        <v>4</v>
      </c>
      <c r="R834" t="s">
        <v>47</v>
      </c>
      <c r="S834">
        <v>5731</v>
      </c>
      <c r="T834">
        <v>17171</v>
      </c>
      <c r="U834">
        <v>7</v>
      </c>
      <c r="V834" t="s">
        <v>38</v>
      </c>
      <c r="W834">
        <v>13</v>
      </c>
      <c r="X834">
        <v>3</v>
      </c>
      <c r="Y834">
        <v>3</v>
      </c>
      <c r="Z834">
        <v>2</v>
      </c>
      <c r="AA834">
        <v>9</v>
      </c>
      <c r="AB834" t="str">
        <f>IF(Table2[[#This Row],[TotalWorkingYears]]&lt;=5,"Early (0-5)",IF(Table2[[#This Row],[TotalWorkingYears]]&lt;=15,"Mid (6-15)","Senior (16+)"))</f>
        <v>Mid (6-15)</v>
      </c>
      <c r="AC834">
        <v>2</v>
      </c>
      <c r="AD834">
        <v>3</v>
      </c>
      <c r="AE834" t="s">
        <v>62</v>
      </c>
      <c r="AF834">
        <v>2</v>
      </c>
      <c r="AG834">
        <v>1</v>
      </c>
      <c r="AH834">
        <v>3</v>
      </c>
    </row>
    <row r="835" spans="1:34" x14ac:dyDescent="0.3">
      <c r="A835" t="s">
        <v>59</v>
      </c>
      <c r="B835">
        <v>0</v>
      </c>
      <c r="C835" t="s">
        <v>32</v>
      </c>
      <c r="D835">
        <v>199</v>
      </c>
      <c r="E835" t="s">
        <v>40</v>
      </c>
      <c r="F835">
        <v>6</v>
      </c>
      <c r="G835" t="str">
        <f>IF(Table2[[#This Row],[DistanceFromHome]]&lt;=5, "short", IF(Table2[[#This Row],[DistanceFromHome]]&lt;=15, "medium", "long"))</f>
        <v>medium</v>
      </c>
      <c r="H835">
        <v>3</v>
      </c>
      <c r="I835" t="s">
        <v>34</v>
      </c>
      <c r="J835">
        <v>1162</v>
      </c>
      <c r="K835">
        <v>4</v>
      </c>
      <c r="L835" t="s">
        <v>41</v>
      </c>
      <c r="M835">
        <v>55</v>
      </c>
      <c r="N835">
        <v>2</v>
      </c>
      <c r="O835">
        <v>1</v>
      </c>
      <c r="P835" t="s">
        <v>42</v>
      </c>
      <c r="Q835">
        <v>3</v>
      </c>
      <c r="R835" t="s">
        <v>43</v>
      </c>
      <c r="S835">
        <v>2539</v>
      </c>
      <c r="T835">
        <v>7950</v>
      </c>
      <c r="U835">
        <v>1</v>
      </c>
      <c r="V835" t="s">
        <v>38</v>
      </c>
      <c r="W835">
        <v>13</v>
      </c>
      <c r="X835">
        <v>3</v>
      </c>
      <c r="Y835">
        <v>3</v>
      </c>
      <c r="Z835">
        <v>1</v>
      </c>
      <c r="AA835">
        <v>4</v>
      </c>
      <c r="AB835" t="str">
        <f>IF(Table2[[#This Row],[TotalWorkingYears]]&lt;=5,"Early (0-5)",IF(Table2[[#This Row],[TotalWorkingYears]]&lt;=15,"Mid (6-15)","Senior (16+)"))</f>
        <v>Early (0-5)</v>
      </c>
      <c r="AC835">
        <v>0</v>
      </c>
      <c r="AD835">
        <v>3</v>
      </c>
      <c r="AE835" t="s">
        <v>64</v>
      </c>
      <c r="AF835">
        <v>2</v>
      </c>
      <c r="AG835">
        <v>2</v>
      </c>
      <c r="AH835">
        <v>2</v>
      </c>
    </row>
    <row r="836" spans="1:34" x14ac:dyDescent="0.3">
      <c r="A836" t="s">
        <v>59</v>
      </c>
      <c r="B836">
        <v>0</v>
      </c>
      <c r="C836" t="s">
        <v>32</v>
      </c>
      <c r="D836">
        <v>1400</v>
      </c>
      <c r="E836" t="s">
        <v>33</v>
      </c>
      <c r="F836">
        <v>9</v>
      </c>
      <c r="G836" t="str">
        <f>IF(Table2[[#This Row],[DistanceFromHome]]&lt;=5, "short", IF(Table2[[#This Row],[DistanceFromHome]]&lt;=15, "medium", "long"))</f>
        <v>medium</v>
      </c>
      <c r="H836">
        <v>1</v>
      </c>
      <c r="I836" t="s">
        <v>34</v>
      </c>
      <c r="J836">
        <v>1163</v>
      </c>
      <c r="K836">
        <v>2</v>
      </c>
      <c r="L836" t="s">
        <v>35</v>
      </c>
      <c r="M836">
        <v>70</v>
      </c>
      <c r="N836">
        <v>3</v>
      </c>
      <c r="O836">
        <v>2</v>
      </c>
      <c r="P836" t="s">
        <v>36</v>
      </c>
      <c r="Q836">
        <v>3</v>
      </c>
      <c r="R836" t="s">
        <v>43</v>
      </c>
      <c r="S836">
        <v>5714</v>
      </c>
      <c r="T836">
        <v>5829</v>
      </c>
      <c r="U836">
        <v>1</v>
      </c>
      <c r="V836" t="s">
        <v>38</v>
      </c>
      <c r="W836">
        <v>20</v>
      </c>
      <c r="X836">
        <v>4</v>
      </c>
      <c r="Y836">
        <v>1</v>
      </c>
      <c r="Z836">
        <v>0</v>
      </c>
      <c r="AA836">
        <v>6</v>
      </c>
      <c r="AB836" t="str">
        <f>IF(Table2[[#This Row],[TotalWorkingYears]]&lt;=5,"Early (0-5)",IF(Table2[[#This Row],[TotalWorkingYears]]&lt;=15,"Mid (6-15)","Senior (16+)"))</f>
        <v>Mid (6-15)</v>
      </c>
      <c r="AC836">
        <v>3</v>
      </c>
      <c r="AD836">
        <v>2</v>
      </c>
      <c r="AE836" t="s">
        <v>62</v>
      </c>
      <c r="AF836">
        <v>5</v>
      </c>
      <c r="AG836">
        <v>1</v>
      </c>
      <c r="AH836">
        <v>3</v>
      </c>
    </row>
    <row r="837" spans="1:34" x14ac:dyDescent="0.3">
      <c r="A837" t="s">
        <v>59</v>
      </c>
      <c r="B837">
        <v>0</v>
      </c>
      <c r="C837" t="s">
        <v>32</v>
      </c>
      <c r="D837">
        <v>528</v>
      </c>
      <c r="E837" t="s">
        <v>56</v>
      </c>
      <c r="F837">
        <v>8</v>
      </c>
      <c r="G837" t="str">
        <f>IF(Table2[[#This Row],[DistanceFromHome]]&lt;=5, "short", IF(Table2[[#This Row],[DistanceFromHome]]&lt;=15, "medium", "long"))</f>
        <v>medium</v>
      </c>
      <c r="H837">
        <v>4</v>
      </c>
      <c r="I837" t="s">
        <v>55</v>
      </c>
      <c r="J837">
        <v>1164</v>
      </c>
      <c r="K837">
        <v>3</v>
      </c>
      <c r="L837" t="s">
        <v>41</v>
      </c>
      <c r="M837">
        <v>100</v>
      </c>
      <c r="N837">
        <v>3</v>
      </c>
      <c r="O837">
        <v>1</v>
      </c>
      <c r="P837" t="s">
        <v>56</v>
      </c>
      <c r="Q837">
        <v>3</v>
      </c>
      <c r="R837" t="s">
        <v>37</v>
      </c>
      <c r="S837">
        <v>4323</v>
      </c>
      <c r="T837">
        <v>7108</v>
      </c>
      <c r="U837">
        <v>1</v>
      </c>
      <c r="V837" t="s">
        <v>38</v>
      </c>
      <c r="W837">
        <v>17</v>
      </c>
      <c r="X837">
        <v>3</v>
      </c>
      <c r="Y837">
        <v>2</v>
      </c>
      <c r="Z837">
        <v>0</v>
      </c>
      <c r="AA837">
        <v>6</v>
      </c>
      <c r="AB837" t="str">
        <f>IF(Table2[[#This Row],[TotalWorkingYears]]&lt;=5,"Early (0-5)",IF(Table2[[#This Row],[TotalWorkingYears]]&lt;=15,"Mid (6-15)","Senior (16+)"))</f>
        <v>Mid (6-15)</v>
      </c>
      <c r="AC837">
        <v>2</v>
      </c>
      <c r="AD837">
        <v>1</v>
      </c>
      <c r="AE837" t="s">
        <v>64</v>
      </c>
      <c r="AF837">
        <v>4</v>
      </c>
      <c r="AG837">
        <v>1</v>
      </c>
      <c r="AH837">
        <v>4</v>
      </c>
    </row>
    <row r="838" spans="1:34" x14ac:dyDescent="0.3">
      <c r="A838" t="s">
        <v>59</v>
      </c>
      <c r="B838">
        <v>1</v>
      </c>
      <c r="C838" t="s">
        <v>32</v>
      </c>
      <c r="D838">
        <v>408</v>
      </c>
      <c r="E838" t="s">
        <v>33</v>
      </c>
      <c r="F838">
        <v>23</v>
      </c>
      <c r="G838" t="str">
        <f>IF(Table2[[#This Row],[DistanceFromHome]]&lt;=5, "short", IF(Table2[[#This Row],[DistanceFromHome]]&lt;=15, "medium", "long"))</f>
        <v>long</v>
      </c>
      <c r="H838">
        <v>1</v>
      </c>
      <c r="I838" t="s">
        <v>34</v>
      </c>
      <c r="J838">
        <v>1165</v>
      </c>
      <c r="K838">
        <v>4</v>
      </c>
      <c r="L838" t="s">
        <v>35</v>
      </c>
      <c r="M838">
        <v>45</v>
      </c>
      <c r="N838">
        <v>2</v>
      </c>
      <c r="O838">
        <v>3</v>
      </c>
      <c r="P838" t="s">
        <v>36</v>
      </c>
      <c r="Q838">
        <v>1</v>
      </c>
      <c r="R838" t="s">
        <v>43</v>
      </c>
      <c r="S838">
        <v>7336</v>
      </c>
      <c r="T838">
        <v>11162</v>
      </c>
      <c r="U838">
        <v>1</v>
      </c>
      <c r="V838" t="s">
        <v>38</v>
      </c>
      <c r="W838">
        <v>13</v>
      </c>
      <c r="X838">
        <v>3</v>
      </c>
      <c r="Y838">
        <v>1</v>
      </c>
      <c r="Z838">
        <v>1</v>
      </c>
      <c r="AA838">
        <v>11</v>
      </c>
      <c r="AB838" t="str">
        <f>IF(Table2[[#This Row],[TotalWorkingYears]]&lt;=5,"Early (0-5)",IF(Table2[[#This Row],[TotalWorkingYears]]&lt;=15,"Mid (6-15)","Senior (16+)"))</f>
        <v>Mid (6-15)</v>
      </c>
      <c r="AC838">
        <v>3</v>
      </c>
      <c r="AD838">
        <v>1</v>
      </c>
      <c r="AE838" t="s">
        <v>65</v>
      </c>
      <c r="AF838">
        <v>8</v>
      </c>
      <c r="AG838">
        <v>3</v>
      </c>
      <c r="AH838">
        <v>10</v>
      </c>
    </row>
    <row r="839" spans="1:34" x14ac:dyDescent="0.3">
      <c r="A839" t="s">
        <v>57</v>
      </c>
      <c r="B839">
        <v>0</v>
      </c>
      <c r="C839" t="s">
        <v>39</v>
      </c>
      <c r="D839">
        <v>593</v>
      </c>
      <c r="E839" t="s">
        <v>40</v>
      </c>
      <c r="F839">
        <v>9</v>
      </c>
      <c r="G839" t="str">
        <f>IF(Table2[[#This Row],[DistanceFromHome]]&lt;=5, "short", IF(Table2[[#This Row],[DistanceFromHome]]&lt;=15, "medium", "long"))</f>
        <v>medium</v>
      </c>
      <c r="H839">
        <v>4</v>
      </c>
      <c r="I839" t="s">
        <v>46</v>
      </c>
      <c r="J839">
        <v>1166</v>
      </c>
      <c r="K839">
        <v>2</v>
      </c>
      <c r="L839" t="s">
        <v>35</v>
      </c>
      <c r="M839">
        <v>88</v>
      </c>
      <c r="N839">
        <v>3</v>
      </c>
      <c r="O839">
        <v>3</v>
      </c>
      <c r="P839" t="s">
        <v>53</v>
      </c>
      <c r="Q839">
        <v>3</v>
      </c>
      <c r="R839" t="s">
        <v>37</v>
      </c>
      <c r="S839">
        <v>13499</v>
      </c>
      <c r="T839">
        <v>13782</v>
      </c>
      <c r="U839">
        <v>9</v>
      </c>
      <c r="V839" t="s">
        <v>38</v>
      </c>
      <c r="W839">
        <v>17</v>
      </c>
      <c r="X839">
        <v>3</v>
      </c>
      <c r="Y839">
        <v>3</v>
      </c>
      <c r="Z839">
        <v>0</v>
      </c>
      <c r="AA839">
        <v>20</v>
      </c>
      <c r="AB839" t="str">
        <f>IF(Table2[[#This Row],[TotalWorkingYears]]&lt;=5,"Early (0-5)",IF(Table2[[#This Row],[TotalWorkingYears]]&lt;=15,"Mid (6-15)","Senior (16+)"))</f>
        <v>Senior (16+)</v>
      </c>
      <c r="AC839">
        <v>3</v>
      </c>
      <c r="AD839">
        <v>2</v>
      </c>
      <c r="AE839" t="s">
        <v>65</v>
      </c>
      <c r="AF839">
        <v>7</v>
      </c>
      <c r="AG839">
        <v>2</v>
      </c>
      <c r="AH839">
        <v>13</v>
      </c>
    </row>
    <row r="840" spans="1:34" x14ac:dyDescent="0.3">
      <c r="A840" t="s">
        <v>57</v>
      </c>
      <c r="B840">
        <v>1</v>
      </c>
      <c r="C840" t="s">
        <v>39</v>
      </c>
      <c r="D840">
        <v>481</v>
      </c>
      <c r="E840" t="s">
        <v>33</v>
      </c>
      <c r="F840">
        <v>12</v>
      </c>
      <c r="G840" t="str">
        <f>IF(Table2[[#This Row],[DistanceFromHome]]&lt;=5, "short", IF(Table2[[#This Row],[DistanceFromHome]]&lt;=15, "medium", "long"))</f>
        <v>medium</v>
      </c>
      <c r="H840">
        <v>3</v>
      </c>
      <c r="I840" t="s">
        <v>34</v>
      </c>
      <c r="J840">
        <v>1167</v>
      </c>
      <c r="K840">
        <v>3</v>
      </c>
      <c r="L840" t="s">
        <v>41</v>
      </c>
      <c r="M840">
        <v>44</v>
      </c>
      <c r="N840">
        <v>3</v>
      </c>
      <c r="O840">
        <v>4</v>
      </c>
      <c r="P840" t="s">
        <v>36</v>
      </c>
      <c r="Q840">
        <v>1</v>
      </c>
      <c r="R840" t="s">
        <v>37</v>
      </c>
      <c r="S840">
        <v>13758</v>
      </c>
      <c r="T840">
        <v>2447</v>
      </c>
      <c r="U840">
        <v>0</v>
      </c>
      <c r="V840" t="s">
        <v>31</v>
      </c>
      <c r="W840">
        <v>12</v>
      </c>
      <c r="X840">
        <v>3</v>
      </c>
      <c r="Y840">
        <v>2</v>
      </c>
      <c r="Z840">
        <v>0</v>
      </c>
      <c r="AA840">
        <v>22</v>
      </c>
      <c r="AB840" t="str">
        <f>IF(Table2[[#This Row],[TotalWorkingYears]]&lt;=5,"Early (0-5)",IF(Table2[[#This Row],[TotalWorkingYears]]&lt;=15,"Mid (6-15)","Senior (16+)"))</f>
        <v>Senior (16+)</v>
      </c>
      <c r="AC840">
        <v>2</v>
      </c>
      <c r="AD840">
        <v>2</v>
      </c>
      <c r="AE840" t="s">
        <v>65</v>
      </c>
      <c r="AF840">
        <v>9</v>
      </c>
      <c r="AG840">
        <v>13</v>
      </c>
      <c r="AH840">
        <v>14</v>
      </c>
    </row>
    <row r="841" spans="1:34" x14ac:dyDescent="0.3">
      <c r="A841" t="s">
        <v>57</v>
      </c>
      <c r="B841">
        <v>0</v>
      </c>
      <c r="C841" t="s">
        <v>32</v>
      </c>
      <c r="D841">
        <v>647</v>
      </c>
      <c r="E841" t="s">
        <v>33</v>
      </c>
      <c r="F841">
        <v>4</v>
      </c>
      <c r="G841" t="str">
        <f>IF(Table2[[#This Row],[DistanceFromHome]]&lt;=5, "short", IF(Table2[[#This Row],[DistanceFromHome]]&lt;=15, "medium", "long"))</f>
        <v>short</v>
      </c>
      <c r="H841">
        <v>4</v>
      </c>
      <c r="I841" t="s">
        <v>54</v>
      </c>
      <c r="J841">
        <v>1171</v>
      </c>
      <c r="K841">
        <v>2</v>
      </c>
      <c r="L841" t="s">
        <v>41</v>
      </c>
      <c r="M841">
        <v>45</v>
      </c>
      <c r="N841">
        <v>3</v>
      </c>
      <c r="O841">
        <v>2</v>
      </c>
      <c r="P841" t="s">
        <v>36</v>
      </c>
      <c r="Q841">
        <v>1</v>
      </c>
      <c r="R841" t="s">
        <v>37</v>
      </c>
      <c r="S841">
        <v>5155</v>
      </c>
      <c r="T841">
        <v>2253</v>
      </c>
      <c r="U841">
        <v>7</v>
      </c>
      <c r="V841" t="s">
        <v>38</v>
      </c>
      <c r="W841">
        <v>13</v>
      </c>
      <c r="X841">
        <v>3</v>
      </c>
      <c r="Y841">
        <v>4</v>
      </c>
      <c r="Z841">
        <v>0</v>
      </c>
      <c r="AA841">
        <v>9</v>
      </c>
      <c r="AB841" t="str">
        <f>IF(Table2[[#This Row],[TotalWorkingYears]]&lt;=5,"Early (0-5)",IF(Table2[[#This Row],[TotalWorkingYears]]&lt;=15,"Mid (6-15)","Senior (16+)"))</f>
        <v>Mid (6-15)</v>
      </c>
      <c r="AC841">
        <v>3</v>
      </c>
      <c r="AD841">
        <v>4</v>
      </c>
      <c r="AE841" t="s">
        <v>62</v>
      </c>
      <c r="AF841">
        <v>4</v>
      </c>
      <c r="AG841">
        <v>1</v>
      </c>
      <c r="AH841">
        <v>5</v>
      </c>
    </row>
    <row r="842" spans="1:34" x14ac:dyDescent="0.3">
      <c r="A842" t="s">
        <v>59</v>
      </c>
      <c r="B842">
        <v>0</v>
      </c>
      <c r="C842" t="s">
        <v>32</v>
      </c>
      <c r="D842">
        <v>982</v>
      </c>
      <c r="E842" t="s">
        <v>40</v>
      </c>
      <c r="F842">
        <v>1</v>
      </c>
      <c r="G842" t="str">
        <f>IF(Table2[[#This Row],[DistanceFromHome]]&lt;=5, "short", IF(Table2[[#This Row],[DistanceFromHome]]&lt;=15, "medium", "long"))</f>
        <v>short</v>
      </c>
      <c r="H842">
        <v>4</v>
      </c>
      <c r="I842" t="s">
        <v>46</v>
      </c>
      <c r="J842">
        <v>1172</v>
      </c>
      <c r="K842">
        <v>4</v>
      </c>
      <c r="L842" t="s">
        <v>41</v>
      </c>
      <c r="M842">
        <v>58</v>
      </c>
      <c r="N842">
        <v>2</v>
      </c>
      <c r="O842">
        <v>1</v>
      </c>
      <c r="P842" t="s">
        <v>45</v>
      </c>
      <c r="Q842">
        <v>3</v>
      </c>
      <c r="R842" t="s">
        <v>43</v>
      </c>
      <c r="S842">
        <v>2258</v>
      </c>
      <c r="T842">
        <v>16340</v>
      </c>
      <c r="U842">
        <v>6</v>
      </c>
      <c r="V842" t="s">
        <v>38</v>
      </c>
      <c r="W842">
        <v>12</v>
      </c>
      <c r="X842">
        <v>3</v>
      </c>
      <c r="Y842">
        <v>2</v>
      </c>
      <c r="Z842">
        <v>1</v>
      </c>
      <c r="AA842">
        <v>10</v>
      </c>
      <c r="AB842" t="str">
        <f>IF(Table2[[#This Row],[TotalWorkingYears]]&lt;=5,"Early (0-5)",IF(Table2[[#This Row],[TotalWorkingYears]]&lt;=15,"Mid (6-15)","Senior (16+)"))</f>
        <v>Mid (6-15)</v>
      </c>
      <c r="AC842">
        <v>2</v>
      </c>
      <c r="AD842">
        <v>3</v>
      </c>
      <c r="AE842" t="s">
        <v>62</v>
      </c>
      <c r="AF842">
        <v>0</v>
      </c>
      <c r="AG842">
        <v>1</v>
      </c>
      <c r="AH842">
        <v>7</v>
      </c>
    </row>
    <row r="843" spans="1:34" x14ac:dyDescent="0.3">
      <c r="A843" t="s">
        <v>60</v>
      </c>
      <c r="B843">
        <v>0</v>
      </c>
      <c r="C843" t="s">
        <v>32</v>
      </c>
      <c r="D843">
        <v>477</v>
      </c>
      <c r="E843" t="s">
        <v>40</v>
      </c>
      <c r="F843">
        <v>24</v>
      </c>
      <c r="G843" t="str">
        <f>IF(Table2[[#This Row],[DistanceFromHome]]&lt;=5, "short", IF(Table2[[#This Row],[DistanceFromHome]]&lt;=15, "medium", "long"))</f>
        <v>long</v>
      </c>
      <c r="H843">
        <v>3</v>
      </c>
      <c r="I843" t="s">
        <v>46</v>
      </c>
      <c r="J843">
        <v>1173</v>
      </c>
      <c r="K843">
        <v>4</v>
      </c>
      <c r="L843" t="s">
        <v>41</v>
      </c>
      <c r="M843">
        <v>49</v>
      </c>
      <c r="N843">
        <v>3</v>
      </c>
      <c r="O843">
        <v>1</v>
      </c>
      <c r="P843" t="s">
        <v>45</v>
      </c>
      <c r="Q843">
        <v>2</v>
      </c>
      <c r="R843" t="s">
        <v>37</v>
      </c>
      <c r="S843">
        <v>3597</v>
      </c>
      <c r="T843">
        <v>6409</v>
      </c>
      <c r="U843">
        <v>8</v>
      </c>
      <c r="V843" t="s">
        <v>38</v>
      </c>
      <c r="W843">
        <v>22</v>
      </c>
      <c r="X843">
        <v>4</v>
      </c>
      <c r="Y843">
        <v>4</v>
      </c>
      <c r="Z843">
        <v>0</v>
      </c>
      <c r="AA843">
        <v>6</v>
      </c>
      <c r="AB843" t="str">
        <f>IF(Table2[[#This Row],[TotalWorkingYears]]&lt;=5,"Early (0-5)",IF(Table2[[#This Row],[TotalWorkingYears]]&lt;=15,"Mid (6-15)","Senior (16+)"))</f>
        <v>Mid (6-15)</v>
      </c>
      <c r="AC843">
        <v>2</v>
      </c>
      <c r="AD843">
        <v>3</v>
      </c>
      <c r="AE843" t="s">
        <v>64</v>
      </c>
      <c r="AF843">
        <v>3</v>
      </c>
      <c r="AG843">
        <v>1</v>
      </c>
      <c r="AH843">
        <v>2</v>
      </c>
    </row>
    <row r="844" spans="1:34" x14ac:dyDescent="0.3">
      <c r="A844" t="s">
        <v>59</v>
      </c>
      <c r="B844">
        <v>1</v>
      </c>
      <c r="C844" t="s">
        <v>32</v>
      </c>
      <c r="D844">
        <v>1485</v>
      </c>
      <c r="E844" t="s">
        <v>40</v>
      </c>
      <c r="F844">
        <v>12</v>
      </c>
      <c r="G844" t="str">
        <f>IF(Table2[[#This Row],[DistanceFromHome]]&lt;=5, "short", IF(Table2[[#This Row],[DistanceFromHome]]&lt;=15, "medium", "long"))</f>
        <v>medium</v>
      </c>
      <c r="H844">
        <v>1</v>
      </c>
      <c r="I844" t="s">
        <v>34</v>
      </c>
      <c r="J844">
        <v>1175</v>
      </c>
      <c r="K844">
        <v>3</v>
      </c>
      <c r="L844" t="s">
        <v>35</v>
      </c>
      <c r="M844">
        <v>79</v>
      </c>
      <c r="N844">
        <v>3</v>
      </c>
      <c r="O844">
        <v>1</v>
      </c>
      <c r="P844" t="s">
        <v>45</v>
      </c>
      <c r="Q844">
        <v>4</v>
      </c>
      <c r="R844" t="s">
        <v>43</v>
      </c>
      <c r="S844">
        <v>2515</v>
      </c>
      <c r="T844">
        <v>22955</v>
      </c>
      <c r="U844">
        <v>1</v>
      </c>
      <c r="V844" t="s">
        <v>31</v>
      </c>
      <c r="W844">
        <v>11</v>
      </c>
      <c r="X844">
        <v>3</v>
      </c>
      <c r="Y844">
        <v>4</v>
      </c>
      <c r="Z844">
        <v>0</v>
      </c>
      <c r="AA844">
        <v>1</v>
      </c>
      <c r="AB844" t="str">
        <f>IF(Table2[[#This Row],[TotalWorkingYears]]&lt;=5,"Early (0-5)",IF(Table2[[#This Row],[TotalWorkingYears]]&lt;=15,"Mid (6-15)","Senior (16+)"))</f>
        <v>Early (0-5)</v>
      </c>
      <c r="AC844">
        <v>4</v>
      </c>
      <c r="AD844">
        <v>2</v>
      </c>
      <c r="AE844" t="s">
        <v>63</v>
      </c>
      <c r="AF844">
        <v>1</v>
      </c>
      <c r="AG844">
        <v>0</v>
      </c>
      <c r="AH844">
        <v>0</v>
      </c>
    </row>
    <row r="845" spans="1:34" x14ac:dyDescent="0.3">
      <c r="A845" t="s">
        <v>59</v>
      </c>
      <c r="B845">
        <v>0</v>
      </c>
      <c r="C845" t="s">
        <v>32</v>
      </c>
      <c r="D845">
        <v>1384</v>
      </c>
      <c r="E845" t="s">
        <v>40</v>
      </c>
      <c r="F845">
        <v>3</v>
      </c>
      <c r="G845" t="str">
        <f>IF(Table2[[#This Row],[DistanceFromHome]]&lt;=5, "short", IF(Table2[[#This Row],[DistanceFromHome]]&lt;=15, "medium", "long"))</f>
        <v>short</v>
      </c>
      <c r="H845">
        <v>4</v>
      </c>
      <c r="I845" t="s">
        <v>46</v>
      </c>
      <c r="J845">
        <v>1177</v>
      </c>
      <c r="K845">
        <v>1</v>
      </c>
      <c r="L845" t="s">
        <v>41</v>
      </c>
      <c r="M845">
        <v>82</v>
      </c>
      <c r="N845">
        <v>4</v>
      </c>
      <c r="O845">
        <v>1</v>
      </c>
      <c r="P845" t="s">
        <v>45</v>
      </c>
      <c r="Q845">
        <v>4</v>
      </c>
      <c r="R845" t="s">
        <v>43</v>
      </c>
      <c r="S845">
        <v>4420</v>
      </c>
      <c r="T845">
        <v>13421</v>
      </c>
      <c r="U845">
        <v>1</v>
      </c>
      <c r="V845" t="s">
        <v>38</v>
      </c>
      <c r="W845">
        <v>22</v>
      </c>
      <c r="X845">
        <v>4</v>
      </c>
      <c r="Y845">
        <v>2</v>
      </c>
      <c r="Z845">
        <v>1</v>
      </c>
      <c r="AA845">
        <v>8</v>
      </c>
      <c r="AB845" t="str">
        <f>IF(Table2[[#This Row],[TotalWorkingYears]]&lt;=5,"Early (0-5)",IF(Table2[[#This Row],[TotalWorkingYears]]&lt;=15,"Mid (6-15)","Senior (16+)"))</f>
        <v>Mid (6-15)</v>
      </c>
      <c r="AC845">
        <v>2</v>
      </c>
      <c r="AD845">
        <v>3</v>
      </c>
      <c r="AE845" t="s">
        <v>62</v>
      </c>
      <c r="AF845">
        <v>7</v>
      </c>
      <c r="AG845">
        <v>0</v>
      </c>
      <c r="AH845">
        <v>7</v>
      </c>
    </row>
    <row r="846" spans="1:34" x14ac:dyDescent="0.3">
      <c r="A846" t="s">
        <v>59</v>
      </c>
      <c r="B846">
        <v>0</v>
      </c>
      <c r="C846" t="s">
        <v>32</v>
      </c>
      <c r="D846">
        <v>852</v>
      </c>
      <c r="E846" t="s">
        <v>33</v>
      </c>
      <c r="F846">
        <v>10</v>
      </c>
      <c r="G846" t="str">
        <f>IF(Table2[[#This Row],[DistanceFromHome]]&lt;=5, "short", IF(Table2[[#This Row],[DistanceFromHome]]&lt;=15, "medium", "long"))</f>
        <v>medium</v>
      </c>
      <c r="H846">
        <v>3</v>
      </c>
      <c r="I846" t="s">
        <v>54</v>
      </c>
      <c r="J846">
        <v>1179</v>
      </c>
      <c r="K846">
        <v>3</v>
      </c>
      <c r="L846" t="s">
        <v>41</v>
      </c>
      <c r="M846">
        <v>72</v>
      </c>
      <c r="N846">
        <v>2</v>
      </c>
      <c r="O846">
        <v>2</v>
      </c>
      <c r="P846" t="s">
        <v>36</v>
      </c>
      <c r="Q846">
        <v>3</v>
      </c>
      <c r="R846" t="s">
        <v>43</v>
      </c>
      <c r="S846">
        <v>6578</v>
      </c>
      <c r="T846">
        <v>2706</v>
      </c>
      <c r="U846">
        <v>1</v>
      </c>
      <c r="V846" t="s">
        <v>38</v>
      </c>
      <c r="W846">
        <v>18</v>
      </c>
      <c r="X846">
        <v>3</v>
      </c>
      <c r="Y846">
        <v>1</v>
      </c>
      <c r="Z846">
        <v>1</v>
      </c>
      <c r="AA846">
        <v>10</v>
      </c>
      <c r="AB846" t="str">
        <f>IF(Table2[[#This Row],[TotalWorkingYears]]&lt;=5,"Early (0-5)",IF(Table2[[#This Row],[TotalWorkingYears]]&lt;=15,"Mid (6-15)","Senior (16+)"))</f>
        <v>Mid (6-15)</v>
      </c>
      <c r="AC846">
        <v>3</v>
      </c>
      <c r="AD846">
        <v>3</v>
      </c>
      <c r="AE846" t="s">
        <v>62</v>
      </c>
      <c r="AF846">
        <v>3</v>
      </c>
      <c r="AG846">
        <v>1</v>
      </c>
      <c r="AH846">
        <v>4</v>
      </c>
    </row>
    <row r="847" spans="1:34" x14ac:dyDescent="0.3">
      <c r="A847" t="s">
        <v>57</v>
      </c>
      <c r="B847">
        <v>0</v>
      </c>
      <c r="C847" t="s">
        <v>39</v>
      </c>
      <c r="D847">
        <v>902</v>
      </c>
      <c r="E847" t="s">
        <v>40</v>
      </c>
      <c r="F847">
        <v>26</v>
      </c>
      <c r="G847" t="str">
        <f>IF(Table2[[#This Row],[DistanceFromHome]]&lt;=5, "short", IF(Table2[[#This Row],[DistanceFromHome]]&lt;=15, "medium", "long"))</f>
        <v>long</v>
      </c>
      <c r="H847">
        <v>2</v>
      </c>
      <c r="I847" t="s">
        <v>46</v>
      </c>
      <c r="J847">
        <v>1180</v>
      </c>
      <c r="K847">
        <v>3</v>
      </c>
      <c r="L847" t="s">
        <v>35</v>
      </c>
      <c r="M847">
        <v>92</v>
      </c>
      <c r="N847">
        <v>2</v>
      </c>
      <c r="O847">
        <v>2</v>
      </c>
      <c r="P847" t="s">
        <v>42</v>
      </c>
      <c r="Q847">
        <v>4</v>
      </c>
      <c r="R847" t="s">
        <v>43</v>
      </c>
      <c r="S847">
        <v>4422</v>
      </c>
      <c r="T847">
        <v>21203</v>
      </c>
      <c r="U847">
        <v>3</v>
      </c>
      <c r="V847" t="s">
        <v>31</v>
      </c>
      <c r="W847">
        <v>13</v>
      </c>
      <c r="X847">
        <v>3</v>
      </c>
      <c r="Y847">
        <v>4</v>
      </c>
      <c r="Z847">
        <v>1</v>
      </c>
      <c r="AA847">
        <v>16</v>
      </c>
      <c r="AB847" t="str">
        <f>IF(Table2[[#This Row],[TotalWorkingYears]]&lt;=5,"Early (0-5)",IF(Table2[[#This Row],[TotalWorkingYears]]&lt;=15,"Mid (6-15)","Senior (16+)"))</f>
        <v>Senior (16+)</v>
      </c>
      <c r="AC847">
        <v>3</v>
      </c>
      <c r="AD847">
        <v>1</v>
      </c>
      <c r="AE847" t="s">
        <v>63</v>
      </c>
      <c r="AF847">
        <v>1</v>
      </c>
      <c r="AG847">
        <v>0</v>
      </c>
      <c r="AH847">
        <v>0</v>
      </c>
    </row>
    <row r="848" spans="1:34" x14ac:dyDescent="0.3">
      <c r="A848" t="s">
        <v>59</v>
      </c>
      <c r="B848">
        <v>0</v>
      </c>
      <c r="C848" t="s">
        <v>32</v>
      </c>
      <c r="D848">
        <v>819</v>
      </c>
      <c r="E848" t="s">
        <v>40</v>
      </c>
      <c r="F848">
        <v>2</v>
      </c>
      <c r="G848" t="str">
        <f>IF(Table2[[#This Row],[DistanceFromHome]]&lt;=5, "short", IF(Table2[[#This Row],[DistanceFromHome]]&lt;=15, "medium", "long"))</f>
        <v>short</v>
      </c>
      <c r="H848">
        <v>3</v>
      </c>
      <c r="I848" t="s">
        <v>34</v>
      </c>
      <c r="J848">
        <v>1182</v>
      </c>
      <c r="K848">
        <v>3</v>
      </c>
      <c r="L848" t="s">
        <v>41</v>
      </c>
      <c r="M848">
        <v>44</v>
      </c>
      <c r="N848">
        <v>2</v>
      </c>
      <c r="O848">
        <v>3</v>
      </c>
      <c r="P848" t="s">
        <v>48</v>
      </c>
      <c r="Q848">
        <v>2</v>
      </c>
      <c r="R848" t="s">
        <v>47</v>
      </c>
      <c r="S848">
        <v>10274</v>
      </c>
      <c r="T848">
        <v>19588</v>
      </c>
      <c r="U848">
        <v>2</v>
      </c>
      <c r="V848" t="s">
        <v>38</v>
      </c>
      <c r="W848">
        <v>18</v>
      </c>
      <c r="X848">
        <v>3</v>
      </c>
      <c r="Y848">
        <v>2</v>
      </c>
      <c r="Z848">
        <v>1</v>
      </c>
      <c r="AA848">
        <v>15</v>
      </c>
      <c r="AB848" t="str">
        <f>IF(Table2[[#This Row],[TotalWorkingYears]]&lt;=5,"Early (0-5)",IF(Table2[[#This Row],[TotalWorkingYears]]&lt;=15,"Mid (6-15)","Senior (16+)"))</f>
        <v>Mid (6-15)</v>
      </c>
      <c r="AC848">
        <v>2</v>
      </c>
      <c r="AD848">
        <v>4</v>
      </c>
      <c r="AE848" t="s">
        <v>62</v>
      </c>
      <c r="AF848">
        <v>7</v>
      </c>
      <c r="AG848">
        <v>6</v>
      </c>
      <c r="AH848">
        <v>4</v>
      </c>
    </row>
    <row r="849" spans="1:34" x14ac:dyDescent="0.3">
      <c r="A849" t="s">
        <v>59</v>
      </c>
      <c r="B849">
        <v>0</v>
      </c>
      <c r="C849" t="s">
        <v>39</v>
      </c>
      <c r="D849">
        <v>669</v>
      </c>
      <c r="E849" t="s">
        <v>40</v>
      </c>
      <c r="F849">
        <v>1</v>
      </c>
      <c r="G849" t="str">
        <f>IF(Table2[[#This Row],[DistanceFromHome]]&lt;=5, "short", IF(Table2[[#This Row],[DistanceFromHome]]&lt;=15, "medium", "long"))</f>
        <v>short</v>
      </c>
      <c r="H849">
        <v>3</v>
      </c>
      <c r="I849" t="s">
        <v>46</v>
      </c>
      <c r="J849">
        <v>1184</v>
      </c>
      <c r="K849">
        <v>4</v>
      </c>
      <c r="L849" t="s">
        <v>41</v>
      </c>
      <c r="M849">
        <v>97</v>
      </c>
      <c r="N849">
        <v>2</v>
      </c>
      <c r="O849">
        <v>2</v>
      </c>
      <c r="P849" t="s">
        <v>49</v>
      </c>
      <c r="Q849">
        <v>1</v>
      </c>
      <c r="R849" t="s">
        <v>37</v>
      </c>
      <c r="S849">
        <v>5343</v>
      </c>
      <c r="T849">
        <v>25755</v>
      </c>
      <c r="U849">
        <v>0</v>
      </c>
      <c r="V849" t="s">
        <v>38</v>
      </c>
      <c r="W849">
        <v>20</v>
      </c>
      <c r="X849">
        <v>4</v>
      </c>
      <c r="Y849">
        <v>3</v>
      </c>
      <c r="Z849">
        <v>0</v>
      </c>
      <c r="AA849">
        <v>14</v>
      </c>
      <c r="AB849" t="str">
        <f>IF(Table2[[#This Row],[TotalWorkingYears]]&lt;=5,"Early (0-5)",IF(Table2[[#This Row],[TotalWorkingYears]]&lt;=15,"Mid (6-15)","Senior (16+)"))</f>
        <v>Mid (6-15)</v>
      </c>
      <c r="AC849">
        <v>3</v>
      </c>
      <c r="AD849">
        <v>3</v>
      </c>
      <c r="AE849" t="s">
        <v>65</v>
      </c>
      <c r="AF849">
        <v>9</v>
      </c>
      <c r="AG849">
        <v>4</v>
      </c>
      <c r="AH849">
        <v>9</v>
      </c>
    </row>
    <row r="850" spans="1:34" x14ac:dyDescent="0.3">
      <c r="A850" t="s">
        <v>59</v>
      </c>
      <c r="B850">
        <v>0</v>
      </c>
      <c r="C850" t="s">
        <v>39</v>
      </c>
      <c r="D850">
        <v>636</v>
      </c>
      <c r="E850" t="s">
        <v>40</v>
      </c>
      <c r="F850">
        <v>4</v>
      </c>
      <c r="G850" t="str">
        <f>IF(Table2[[#This Row],[DistanceFromHome]]&lt;=5, "short", IF(Table2[[#This Row],[DistanceFromHome]]&lt;=15, "medium", "long"))</f>
        <v>short</v>
      </c>
      <c r="H850">
        <v>4</v>
      </c>
      <c r="I850" t="s">
        <v>44</v>
      </c>
      <c r="J850">
        <v>1185</v>
      </c>
      <c r="K850">
        <v>4</v>
      </c>
      <c r="L850" t="s">
        <v>41</v>
      </c>
      <c r="M850">
        <v>47</v>
      </c>
      <c r="N850">
        <v>2</v>
      </c>
      <c r="O850">
        <v>1</v>
      </c>
      <c r="P850" t="s">
        <v>45</v>
      </c>
      <c r="Q850">
        <v>4</v>
      </c>
      <c r="R850" t="s">
        <v>43</v>
      </c>
      <c r="S850">
        <v>2376</v>
      </c>
      <c r="T850">
        <v>26537</v>
      </c>
      <c r="U850">
        <v>1</v>
      </c>
      <c r="V850" t="s">
        <v>38</v>
      </c>
      <c r="W850">
        <v>13</v>
      </c>
      <c r="X850">
        <v>3</v>
      </c>
      <c r="Y850">
        <v>2</v>
      </c>
      <c r="Z850">
        <v>1</v>
      </c>
      <c r="AA850">
        <v>2</v>
      </c>
      <c r="AB850" t="str">
        <f>IF(Table2[[#This Row],[TotalWorkingYears]]&lt;=5,"Early (0-5)",IF(Table2[[#This Row],[TotalWorkingYears]]&lt;=15,"Mid (6-15)","Senior (16+)"))</f>
        <v>Early (0-5)</v>
      </c>
      <c r="AC850">
        <v>2</v>
      </c>
      <c r="AD850">
        <v>4</v>
      </c>
      <c r="AE850" t="s">
        <v>63</v>
      </c>
      <c r="AF850">
        <v>2</v>
      </c>
      <c r="AG850">
        <v>2</v>
      </c>
      <c r="AH850">
        <v>2</v>
      </c>
    </row>
    <row r="851" spans="1:34" x14ac:dyDescent="0.3">
      <c r="A851" t="s">
        <v>57</v>
      </c>
      <c r="B851">
        <v>1</v>
      </c>
      <c r="C851" t="s">
        <v>32</v>
      </c>
      <c r="D851">
        <v>1372</v>
      </c>
      <c r="E851" t="s">
        <v>33</v>
      </c>
      <c r="F851">
        <v>9</v>
      </c>
      <c r="G851" t="str">
        <f>IF(Table2[[#This Row],[DistanceFromHome]]&lt;=5, "short", IF(Table2[[#This Row],[DistanceFromHome]]&lt;=15, "medium", "long"))</f>
        <v>medium</v>
      </c>
      <c r="H851">
        <v>3</v>
      </c>
      <c r="I851" t="s">
        <v>54</v>
      </c>
      <c r="J851">
        <v>1188</v>
      </c>
      <c r="K851">
        <v>1</v>
      </c>
      <c r="L851" t="s">
        <v>35</v>
      </c>
      <c r="M851">
        <v>85</v>
      </c>
      <c r="N851">
        <v>1</v>
      </c>
      <c r="O851">
        <v>2</v>
      </c>
      <c r="P851" t="s">
        <v>36</v>
      </c>
      <c r="Q851">
        <v>3</v>
      </c>
      <c r="R851" t="s">
        <v>37</v>
      </c>
      <c r="S851">
        <v>5346</v>
      </c>
      <c r="T851">
        <v>9489</v>
      </c>
      <c r="U851">
        <v>8</v>
      </c>
      <c r="V851" t="s">
        <v>38</v>
      </c>
      <c r="W851">
        <v>13</v>
      </c>
      <c r="X851">
        <v>3</v>
      </c>
      <c r="Y851">
        <v>2</v>
      </c>
      <c r="Z851">
        <v>0</v>
      </c>
      <c r="AA851">
        <v>7</v>
      </c>
      <c r="AB851" t="str">
        <f>IF(Table2[[#This Row],[TotalWorkingYears]]&lt;=5,"Early (0-5)",IF(Table2[[#This Row],[TotalWorkingYears]]&lt;=15,"Mid (6-15)","Senior (16+)"))</f>
        <v>Mid (6-15)</v>
      </c>
      <c r="AC851">
        <v>2</v>
      </c>
      <c r="AD851">
        <v>2</v>
      </c>
      <c r="AE851" t="s">
        <v>64</v>
      </c>
      <c r="AF851">
        <v>3</v>
      </c>
      <c r="AG851">
        <v>1</v>
      </c>
      <c r="AH851">
        <v>3</v>
      </c>
    </row>
    <row r="852" spans="1:34" x14ac:dyDescent="0.3">
      <c r="A852" t="s">
        <v>59</v>
      </c>
      <c r="B852">
        <v>0</v>
      </c>
      <c r="C852" t="s">
        <v>50</v>
      </c>
      <c r="D852">
        <v>862</v>
      </c>
      <c r="E852" t="s">
        <v>33</v>
      </c>
      <c r="F852">
        <v>2</v>
      </c>
      <c r="G852" t="str">
        <f>IF(Table2[[#This Row],[DistanceFromHome]]&lt;=5, "short", IF(Table2[[#This Row],[DistanceFromHome]]&lt;=15, "medium", "long"))</f>
        <v>short</v>
      </c>
      <c r="H852">
        <v>1</v>
      </c>
      <c r="I852" t="s">
        <v>34</v>
      </c>
      <c r="J852">
        <v>1190</v>
      </c>
      <c r="K852">
        <v>3</v>
      </c>
      <c r="L852" t="s">
        <v>35</v>
      </c>
      <c r="M852">
        <v>76</v>
      </c>
      <c r="N852">
        <v>3</v>
      </c>
      <c r="O852">
        <v>1</v>
      </c>
      <c r="P852" t="s">
        <v>52</v>
      </c>
      <c r="Q852">
        <v>1</v>
      </c>
      <c r="R852" t="s">
        <v>47</v>
      </c>
      <c r="S852">
        <v>2827</v>
      </c>
      <c r="T852">
        <v>14947</v>
      </c>
      <c r="U852">
        <v>1</v>
      </c>
      <c r="V852" t="s">
        <v>38</v>
      </c>
      <c r="W852">
        <v>12</v>
      </c>
      <c r="X852">
        <v>3</v>
      </c>
      <c r="Y852">
        <v>3</v>
      </c>
      <c r="Z852">
        <v>3</v>
      </c>
      <c r="AA852">
        <v>1</v>
      </c>
      <c r="AB852" t="str">
        <f>IF(Table2[[#This Row],[TotalWorkingYears]]&lt;=5,"Early (0-5)",IF(Table2[[#This Row],[TotalWorkingYears]]&lt;=15,"Mid (6-15)","Senior (16+)"))</f>
        <v>Early (0-5)</v>
      </c>
      <c r="AC852">
        <v>3</v>
      </c>
      <c r="AD852">
        <v>3</v>
      </c>
      <c r="AE852" t="s">
        <v>63</v>
      </c>
      <c r="AF852">
        <v>0</v>
      </c>
      <c r="AG852">
        <v>0</v>
      </c>
      <c r="AH852">
        <v>0</v>
      </c>
    </row>
    <row r="853" spans="1:34" x14ac:dyDescent="0.3">
      <c r="A853" t="s">
        <v>58</v>
      </c>
      <c r="B853">
        <v>0</v>
      </c>
      <c r="C853" t="s">
        <v>32</v>
      </c>
      <c r="D853">
        <v>718</v>
      </c>
      <c r="E853" t="s">
        <v>40</v>
      </c>
      <c r="F853">
        <v>4</v>
      </c>
      <c r="G853" t="str">
        <f>IF(Table2[[#This Row],[DistanceFromHome]]&lt;=5, "short", IF(Table2[[#This Row],[DistanceFromHome]]&lt;=15, "medium", "long"))</f>
        <v>short</v>
      </c>
      <c r="H853">
        <v>4</v>
      </c>
      <c r="I853" t="s">
        <v>55</v>
      </c>
      <c r="J853">
        <v>1191</v>
      </c>
      <c r="K853">
        <v>4</v>
      </c>
      <c r="L853" t="s">
        <v>35</v>
      </c>
      <c r="M853">
        <v>92</v>
      </c>
      <c r="N853">
        <v>3</v>
      </c>
      <c r="O853">
        <v>5</v>
      </c>
      <c r="P853" t="s">
        <v>51</v>
      </c>
      <c r="Q853">
        <v>1</v>
      </c>
      <c r="R853" t="s">
        <v>47</v>
      </c>
      <c r="S853">
        <v>19943</v>
      </c>
      <c r="T853">
        <v>18575</v>
      </c>
      <c r="U853">
        <v>4</v>
      </c>
      <c r="V853" t="s">
        <v>38</v>
      </c>
      <c r="W853">
        <v>13</v>
      </c>
      <c r="X853">
        <v>3</v>
      </c>
      <c r="Y853">
        <v>4</v>
      </c>
      <c r="Z853">
        <v>1</v>
      </c>
      <c r="AA853">
        <v>28</v>
      </c>
      <c r="AB853" t="str">
        <f>IF(Table2[[#This Row],[TotalWorkingYears]]&lt;=5,"Early (0-5)",IF(Table2[[#This Row],[TotalWorkingYears]]&lt;=15,"Mid (6-15)","Senior (16+)"))</f>
        <v>Senior (16+)</v>
      </c>
      <c r="AC853">
        <v>2</v>
      </c>
      <c r="AD853">
        <v>3</v>
      </c>
      <c r="AE853" t="s">
        <v>64</v>
      </c>
      <c r="AF853">
        <v>2</v>
      </c>
      <c r="AG853">
        <v>4</v>
      </c>
      <c r="AH853">
        <v>2</v>
      </c>
    </row>
    <row r="854" spans="1:34" x14ac:dyDescent="0.3">
      <c r="A854" t="s">
        <v>59</v>
      </c>
      <c r="B854">
        <v>0</v>
      </c>
      <c r="C854" t="s">
        <v>32</v>
      </c>
      <c r="D854">
        <v>1401</v>
      </c>
      <c r="E854" t="s">
        <v>40</v>
      </c>
      <c r="F854">
        <v>6</v>
      </c>
      <c r="G854" t="str">
        <f>IF(Table2[[#This Row],[DistanceFromHome]]&lt;=5, "short", IF(Table2[[#This Row],[DistanceFromHome]]&lt;=15, "medium", "long"))</f>
        <v>medium</v>
      </c>
      <c r="H854">
        <v>1</v>
      </c>
      <c r="I854" t="s">
        <v>46</v>
      </c>
      <c r="J854">
        <v>1192</v>
      </c>
      <c r="K854">
        <v>2</v>
      </c>
      <c r="L854" t="s">
        <v>35</v>
      </c>
      <c r="M854">
        <v>54</v>
      </c>
      <c r="N854">
        <v>3</v>
      </c>
      <c r="O854">
        <v>1</v>
      </c>
      <c r="P854" t="s">
        <v>45</v>
      </c>
      <c r="Q854">
        <v>4</v>
      </c>
      <c r="R854" t="s">
        <v>43</v>
      </c>
      <c r="S854">
        <v>3131</v>
      </c>
      <c r="T854">
        <v>26342</v>
      </c>
      <c r="U854">
        <v>1</v>
      </c>
      <c r="V854" t="s">
        <v>38</v>
      </c>
      <c r="W854">
        <v>13</v>
      </c>
      <c r="X854">
        <v>3</v>
      </c>
      <c r="Y854">
        <v>1</v>
      </c>
      <c r="Z854">
        <v>1</v>
      </c>
      <c r="AA854">
        <v>10</v>
      </c>
      <c r="AB854" t="str">
        <f>IF(Table2[[#This Row],[TotalWorkingYears]]&lt;=5,"Early (0-5)",IF(Table2[[#This Row],[TotalWorkingYears]]&lt;=15,"Mid (6-15)","Senior (16+)"))</f>
        <v>Mid (6-15)</v>
      </c>
      <c r="AC854">
        <v>5</v>
      </c>
      <c r="AD854">
        <v>3</v>
      </c>
      <c r="AE854" t="s">
        <v>62</v>
      </c>
      <c r="AF854">
        <v>8</v>
      </c>
      <c r="AG854">
        <v>0</v>
      </c>
      <c r="AH854">
        <v>8</v>
      </c>
    </row>
    <row r="855" spans="1:34" x14ac:dyDescent="0.3">
      <c r="A855" t="s">
        <v>60</v>
      </c>
      <c r="B855">
        <v>0</v>
      </c>
      <c r="C855" t="s">
        <v>32</v>
      </c>
      <c r="D855">
        <v>645</v>
      </c>
      <c r="E855" t="s">
        <v>40</v>
      </c>
      <c r="F855">
        <v>9</v>
      </c>
      <c r="G855" t="str">
        <f>IF(Table2[[#This Row],[DistanceFromHome]]&lt;=5, "short", IF(Table2[[#This Row],[DistanceFromHome]]&lt;=15, "medium", "long"))</f>
        <v>medium</v>
      </c>
      <c r="H855">
        <v>2</v>
      </c>
      <c r="I855" t="s">
        <v>34</v>
      </c>
      <c r="J855">
        <v>1193</v>
      </c>
      <c r="K855">
        <v>3</v>
      </c>
      <c r="L855" t="s">
        <v>41</v>
      </c>
      <c r="M855">
        <v>54</v>
      </c>
      <c r="N855">
        <v>3</v>
      </c>
      <c r="O855">
        <v>1</v>
      </c>
      <c r="P855" t="s">
        <v>42</v>
      </c>
      <c r="Q855">
        <v>1</v>
      </c>
      <c r="R855" t="s">
        <v>37</v>
      </c>
      <c r="S855">
        <v>2552</v>
      </c>
      <c r="T855">
        <v>7172</v>
      </c>
      <c r="U855">
        <v>1</v>
      </c>
      <c r="V855" t="s">
        <v>38</v>
      </c>
      <c r="W855">
        <v>25</v>
      </c>
      <c r="X855">
        <v>4</v>
      </c>
      <c r="Y855">
        <v>3</v>
      </c>
      <c r="Z855">
        <v>0</v>
      </c>
      <c r="AA855">
        <v>1</v>
      </c>
      <c r="AB855" t="str">
        <f>IF(Table2[[#This Row],[TotalWorkingYears]]&lt;=5,"Early (0-5)",IF(Table2[[#This Row],[TotalWorkingYears]]&lt;=15,"Mid (6-15)","Senior (16+)"))</f>
        <v>Early (0-5)</v>
      </c>
      <c r="AC855">
        <v>4</v>
      </c>
      <c r="AD855">
        <v>3</v>
      </c>
      <c r="AE855" t="s">
        <v>63</v>
      </c>
      <c r="AF855">
        <v>1</v>
      </c>
      <c r="AG855">
        <v>0</v>
      </c>
      <c r="AH855">
        <v>0</v>
      </c>
    </row>
    <row r="856" spans="1:34" x14ac:dyDescent="0.3">
      <c r="A856" t="s">
        <v>57</v>
      </c>
      <c r="B856">
        <v>0</v>
      </c>
      <c r="C856" t="s">
        <v>32</v>
      </c>
      <c r="D856">
        <v>1457</v>
      </c>
      <c r="E856" t="s">
        <v>40</v>
      </c>
      <c r="F856">
        <v>7</v>
      </c>
      <c r="G856" t="str">
        <f>IF(Table2[[#This Row],[DistanceFromHome]]&lt;=5, "short", IF(Table2[[#This Row],[DistanceFromHome]]&lt;=15, "medium", "long"))</f>
        <v>medium</v>
      </c>
      <c r="H856">
        <v>3</v>
      </c>
      <c r="I856" t="s">
        <v>46</v>
      </c>
      <c r="J856">
        <v>1195</v>
      </c>
      <c r="K856">
        <v>1</v>
      </c>
      <c r="L856" t="s">
        <v>35</v>
      </c>
      <c r="M856">
        <v>83</v>
      </c>
      <c r="N856">
        <v>3</v>
      </c>
      <c r="O856">
        <v>1</v>
      </c>
      <c r="P856" t="s">
        <v>42</v>
      </c>
      <c r="Q856">
        <v>3</v>
      </c>
      <c r="R856" t="s">
        <v>43</v>
      </c>
      <c r="S856">
        <v>4477</v>
      </c>
      <c r="T856">
        <v>20100</v>
      </c>
      <c r="U856">
        <v>4</v>
      </c>
      <c r="V856" t="s">
        <v>31</v>
      </c>
      <c r="W856">
        <v>19</v>
      </c>
      <c r="X856">
        <v>3</v>
      </c>
      <c r="Y856">
        <v>3</v>
      </c>
      <c r="Z856">
        <v>1</v>
      </c>
      <c r="AA856">
        <v>7</v>
      </c>
      <c r="AB856" t="str">
        <f>IF(Table2[[#This Row],[TotalWorkingYears]]&lt;=5,"Early (0-5)",IF(Table2[[#This Row],[TotalWorkingYears]]&lt;=15,"Mid (6-15)","Senior (16+)"))</f>
        <v>Mid (6-15)</v>
      </c>
      <c r="AC856">
        <v>2</v>
      </c>
      <c r="AD856">
        <v>2</v>
      </c>
      <c r="AE856" t="s">
        <v>64</v>
      </c>
      <c r="AF856">
        <v>2</v>
      </c>
      <c r="AG856">
        <v>0</v>
      </c>
      <c r="AH856">
        <v>2</v>
      </c>
    </row>
    <row r="857" spans="1:34" x14ac:dyDescent="0.3">
      <c r="A857" t="s">
        <v>57</v>
      </c>
      <c r="B857">
        <v>0</v>
      </c>
      <c r="C857" t="s">
        <v>32</v>
      </c>
      <c r="D857">
        <v>977</v>
      </c>
      <c r="E857" t="s">
        <v>40</v>
      </c>
      <c r="F857">
        <v>1</v>
      </c>
      <c r="G857" t="str">
        <f>IF(Table2[[#This Row],[DistanceFromHome]]&lt;=5, "short", IF(Table2[[#This Row],[DistanceFromHome]]&lt;=15, "medium", "long"))</f>
        <v>short</v>
      </c>
      <c r="H857">
        <v>3</v>
      </c>
      <c r="I857" t="s">
        <v>34</v>
      </c>
      <c r="J857">
        <v>1196</v>
      </c>
      <c r="K857">
        <v>4</v>
      </c>
      <c r="L857" t="s">
        <v>35</v>
      </c>
      <c r="M857">
        <v>56</v>
      </c>
      <c r="N857">
        <v>2</v>
      </c>
      <c r="O857">
        <v>2</v>
      </c>
      <c r="P857" t="s">
        <v>48</v>
      </c>
      <c r="Q857">
        <v>4</v>
      </c>
      <c r="R857" t="s">
        <v>43</v>
      </c>
      <c r="S857">
        <v>6474</v>
      </c>
      <c r="T857">
        <v>9961</v>
      </c>
      <c r="U857">
        <v>1</v>
      </c>
      <c r="V857" t="s">
        <v>38</v>
      </c>
      <c r="W857">
        <v>13</v>
      </c>
      <c r="X857">
        <v>3</v>
      </c>
      <c r="Y857">
        <v>2</v>
      </c>
      <c r="Z857">
        <v>1</v>
      </c>
      <c r="AA857">
        <v>14</v>
      </c>
      <c r="AB857" t="str">
        <f>IF(Table2[[#This Row],[TotalWorkingYears]]&lt;=5,"Early (0-5)",IF(Table2[[#This Row],[TotalWorkingYears]]&lt;=15,"Mid (6-15)","Senior (16+)"))</f>
        <v>Mid (6-15)</v>
      </c>
      <c r="AC857">
        <v>2</v>
      </c>
      <c r="AD857">
        <v>2</v>
      </c>
      <c r="AE857" t="s">
        <v>65</v>
      </c>
      <c r="AF857">
        <v>8</v>
      </c>
      <c r="AG857">
        <v>3</v>
      </c>
      <c r="AH857">
        <v>11</v>
      </c>
    </row>
    <row r="858" spans="1:34" x14ac:dyDescent="0.3">
      <c r="A858" t="s">
        <v>60</v>
      </c>
      <c r="B858">
        <v>0</v>
      </c>
      <c r="C858" t="s">
        <v>32</v>
      </c>
      <c r="D858">
        <v>805</v>
      </c>
      <c r="E858" t="s">
        <v>40</v>
      </c>
      <c r="F858">
        <v>3</v>
      </c>
      <c r="G858" t="str">
        <f>IF(Table2[[#This Row],[DistanceFromHome]]&lt;=5, "short", IF(Table2[[#This Row],[DistanceFromHome]]&lt;=15, "medium", "long"))</f>
        <v>short</v>
      </c>
      <c r="H858">
        <v>3</v>
      </c>
      <c r="I858" t="s">
        <v>34</v>
      </c>
      <c r="J858">
        <v>1198</v>
      </c>
      <c r="K858">
        <v>1</v>
      </c>
      <c r="L858" t="s">
        <v>41</v>
      </c>
      <c r="M858">
        <v>87</v>
      </c>
      <c r="N858">
        <v>2</v>
      </c>
      <c r="O858">
        <v>1</v>
      </c>
      <c r="P858" t="s">
        <v>45</v>
      </c>
      <c r="Q858">
        <v>3</v>
      </c>
      <c r="R858" t="s">
        <v>37</v>
      </c>
      <c r="S858">
        <v>3033</v>
      </c>
      <c r="T858">
        <v>12828</v>
      </c>
      <c r="U858">
        <v>1</v>
      </c>
      <c r="V858" t="s">
        <v>38</v>
      </c>
      <c r="W858">
        <v>12</v>
      </c>
      <c r="X858">
        <v>3</v>
      </c>
      <c r="Y858">
        <v>1</v>
      </c>
      <c r="Z858">
        <v>0</v>
      </c>
      <c r="AA858">
        <v>2</v>
      </c>
      <c r="AB858" t="str">
        <f>IF(Table2[[#This Row],[TotalWorkingYears]]&lt;=5,"Early (0-5)",IF(Table2[[#This Row],[TotalWorkingYears]]&lt;=15,"Mid (6-15)","Senior (16+)"))</f>
        <v>Early (0-5)</v>
      </c>
      <c r="AC858">
        <v>2</v>
      </c>
      <c r="AD858">
        <v>2</v>
      </c>
      <c r="AE858" t="s">
        <v>63</v>
      </c>
      <c r="AF858">
        <v>2</v>
      </c>
      <c r="AG858">
        <v>1</v>
      </c>
      <c r="AH858">
        <v>2</v>
      </c>
    </row>
    <row r="859" spans="1:34" x14ac:dyDescent="0.3">
      <c r="A859" t="s">
        <v>57</v>
      </c>
      <c r="B859">
        <v>1</v>
      </c>
      <c r="C859" t="s">
        <v>32</v>
      </c>
      <c r="D859">
        <v>1097</v>
      </c>
      <c r="E859" t="s">
        <v>40</v>
      </c>
      <c r="F859">
        <v>10</v>
      </c>
      <c r="G859" t="str">
        <f>IF(Table2[[#This Row],[DistanceFromHome]]&lt;=5, "short", IF(Table2[[#This Row],[DistanceFromHome]]&lt;=15, "medium", "long"))</f>
        <v>medium</v>
      </c>
      <c r="H859">
        <v>4</v>
      </c>
      <c r="I859" t="s">
        <v>34</v>
      </c>
      <c r="J859">
        <v>1200</v>
      </c>
      <c r="K859">
        <v>3</v>
      </c>
      <c r="L859" t="s">
        <v>41</v>
      </c>
      <c r="M859">
        <v>96</v>
      </c>
      <c r="N859">
        <v>3</v>
      </c>
      <c r="O859">
        <v>1</v>
      </c>
      <c r="P859" t="s">
        <v>42</v>
      </c>
      <c r="Q859">
        <v>3</v>
      </c>
      <c r="R859" t="s">
        <v>37</v>
      </c>
      <c r="S859">
        <v>2936</v>
      </c>
      <c r="T859">
        <v>10826</v>
      </c>
      <c r="U859">
        <v>1</v>
      </c>
      <c r="V859" t="s">
        <v>31</v>
      </c>
      <c r="W859">
        <v>11</v>
      </c>
      <c r="X859">
        <v>3</v>
      </c>
      <c r="Y859">
        <v>3</v>
      </c>
      <c r="Z859">
        <v>0</v>
      </c>
      <c r="AA859">
        <v>6</v>
      </c>
      <c r="AB859" t="str">
        <f>IF(Table2[[#This Row],[TotalWorkingYears]]&lt;=5,"Early (0-5)",IF(Table2[[#This Row],[TotalWorkingYears]]&lt;=15,"Mid (6-15)","Senior (16+)"))</f>
        <v>Mid (6-15)</v>
      </c>
      <c r="AC859">
        <v>4</v>
      </c>
      <c r="AD859">
        <v>3</v>
      </c>
      <c r="AE859" t="s">
        <v>62</v>
      </c>
      <c r="AF859">
        <v>4</v>
      </c>
      <c r="AG859">
        <v>0</v>
      </c>
      <c r="AH859">
        <v>2</v>
      </c>
    </row>
    <row r="860" spans="1:34" x14ac:dyDescent="0.3">
      <c r="A860" t="s">
        <v>58</v>
      </c>
      <c r="B860">
        <v>0</v>
      </c>
      <c r="C860" t="s">
        <v>32</v>
      </c>
      <c r="D860">
        <v>1223</v>
      </c>
      <c r="E860" t="s">
        <v>40</v>
      </c>
      <c r="F860">
        <v>7</v>
      </c>
      <c r="G860" t="str">
        <f>IF(Table2[[#This Row],[DistanceFromHome]]&lt;=5, "short", IF(Table2[[#This Row],[DistanceFromHome]]&lt;=15, "medium", "long"))</f>
        <v>medium</v>
      </c>
      <c r="H860">
        <v>2</v>
      </c>
      <c r="I860" t="s">
        <v>46</v>
      </c>
      <c r="J860">
        <v>1201</v>
      </c>
      <c r="K860">
        <v>4</v>
      </c>
      <c r="L860" t="s">
        <v>35</v>
      </c>
      <c r="M860">
        <v>50</v>
      </c>
      <c r="N860">
        <v>3</v>
      </c>
      <c r="O860">
        <v>5</v>
      </c>
      <c r="P860" t="s">
        <v>51</v>
      </c>
      <c r="Q860">
        <v>3</v>
      </c>
      <c r="R860" t="s">
        <v>47</v>
      </c>
      <c r="S860">
        <v>18606</v>
      </c>
      <c r="T860">
        <v>18640</v>
      </c>
      <c r="U860">
        <v>3</v>
      </c>
      <c r="V860" t="s">
        <v>38</v>
      </c>
      <c r="W860">
        <v>18</v>
      </c>
      <c r="X860">
        <v>3</v>
      </c>
      <c r="Y860">
        <v>2</v>
      </c>
      <c r="Z860">
        <v>1</v>
      </c>
      <c r="AA860">
        <v>26</v>
      </c>
      <c r="AB860" t="str">
        <f>IF(Table2[[#This Row],[TotalWorkingYears]]&lt;=5,"Early (0-5)",IF(Table2[[#This Row],[TotalWorkingYears]]&lt;=15,"Mid (6-15)","Senior (16+)"))</f>
        <v>Senior (16+)</v>
      </c>
      <c r="AC860">
        <v>6</v>
      </c>
      <c r="AD860">
        <v>3</v>
      </c>
      <c r="AE860" t="s">
        <v>62</v>
      </c>
      <c r="AF860">
        <v>7</v>
      </c>
      <c r="AG860">
        <v>4</v>
      </c>
      <c r="AH860">
        <v>7</v>
      </c>
    </row>
    <row r="861" spans="1:34" x14ac:dyDescent="0.3">
      <c r="A861" t="s">
        <v>59</v>
      </c>
      <c r="B861">
        <v>0</v>
      </c>
      <c r="C861" t="s">
        <v>32</v>
      </c>
      <c r="D861">
        <v>942</v>
      </c>
      <c r="E861" t="s">
        <v>40</v>
      </c>
      <c r="F861">
        <v>15</v>
      </c>
      <c r="G861" t="str">
        <f>IF(Table2[[#This Row],[DistanceFromHome]]&lt;=5, "short", IF(Table2[[#This Row],[DistanceFromHome]]&lt;=15, "medium", "long"))</f>
        <v>medium</v>
      </c>
      <c r="H861">
        <v>1</v>
      </c>
      <c r="I861" t="s">
        <v>34</v>
      </c>
      <c r="J861">
        <v>1202</v>
      </c>
      <c r="K861">
        <v>2</v>
      </c>
      <c r="L861" t="s">
        <v>35</v>
      </c>
      <c r="M861">
        <v>69</v>
      </c>
      <c r="N861">
        <v>1</v>
      </c>
      <c r="O861">
        <v>1</v>
      </c>
      <c r="P861" t="s">
        <v>42</v>
      </c>
      <c r="Q861">
        <v>4</v>
      </c>
      <c r="R861" t="s">
        <v>43</v>
      </c>
      <c r="S861">
        <v>2168</v>
      </c>
      <c r="T861">
        <v>26933</v>
      </c>
      <c r="U861">
        <v>0</v>
      </c>
      <c r="V861" t="s">
        <v>31</v>
      </c>
      <c r="W861">
        <v>18</v>
      </c>
      <c r="X861">
        <v>3</v>
      </c>
      <c r="Y861">
        <v>1</v>
      </c>
      <c r="Z861">
        <v>1</v>
      </c>
      <c r="AA861">
        <v>6</v>
      </c>
      <c r="AB861" t="str">
        <f>IF(Table2[[#This Row],[TotalWorkingYears]]&lt;=5,"Early (0-5)",IF(Table2[[#This Row],[TotalWorkingYears]]&lt;=15,"Mid (6-15)","Senior (16+)"))</f>
        <v>Mid (6-15)</v>
      </c>
      <c r="AC861">
        <v>2</v>
      </c>
      <c r="AD861">
        <v>2</v>
      </c>
      <c r="AE861" t="s">
        <v>64</v>
      </c>
      <c r="AF861">
        <v>4</v>
      </c>
      <c r="AG861">
        <v>1</v>
      </c>
      <c r="AH861">
        <v>3</v>
      </c>
    </row>
    <row r="862" spans="1:34" x14ac:dyDescent="0.3">
      <c r="A862" t="s">
        <v>60</v>
      </c>
      <c r="B862">
        <v>1</v>
      </c>
      <c r="C862" t="s">
        <v>39</v>
      </c>
      <c r="D862">
        <v>1256</v>
      </c>
      <c r="E862" t="s">
        <v>40</v>
      </c>
      <c r="F862">
        <v>3</v>
      </c>
      <c r="G862" t="str">
        <f>IF(Table2[[#This Row],[DistanceFromHome]]&lt;=5, "short", IF(Table2[[#This Row],[DistanceFromHome]]&lt;=15, "medium", "long"))</f>
        <v>short</v>
      </c>
      <c r="H862">
        <v>4</v>
      </c>
      <c r="I862" t="s">
        <v>34</v>
      </c>
      <c r="J862">
        <v>1203</v>
      </c>
      <c r="K862">
        <v>3</v>
      </c>
      <c r="L862" t="s">
        <v>41</v>
      </c>
      <c r="M862">
        <v>48</v>
      </c>
      <c r="N862">
        <v>2</v>
      </c>
      <c r="O862">
        <v>1</v>
      </c>
      <c r="P862" t="s">
        <v>42</v>
      </c>
      <c r="Q862">
        <v>4</v>
      </c>
      <c r="R862" t="s">
        <v>43</v>
      </c>
      <c r="S862">
        <v>2853</v>
      </c>
      <c r="T862">
        <v>4223</v>
      </c>
      <c r="U862">
        <v>0</v>
      </c>
      <c r="V862" t="s">
        <v>31</v>
      </c>
      <c r="W862">
        <v>11</v>
      </c>
      <c r="X862">
        <v>3</v>
      </c>
      <c r="Y862">
        <v>2</v>
      </c>
      <c r="Z862">
        <v>1</v>
      </c>
      <c r="AA862">
        <v>1</v>
      </c>
      <c r="AB862" t="str">
        <f>IF(Table2[[#This Row],[TotalWorkingYears]]&lt;=5,"Early (0-5)",IF(Table2[[#This Row],[TotalWorkingYears]]&lt;=15,"Mid (6-15)","Senior (16+)"))</f>
        <v>Early (0-5)</v>
      </c>
      <c r="AC862">
        <v>5</v>
      </c>
      <c r="AD862">
        <v>3</v>
      </c>
      <c r="AE862" t="s">
        <v>63</v>
      </c>
      <c r="AF862">
        <v>0</v>
      </c>
      <c r="AG862">
        <v>0</v>
      </c>
      <c r="AH862">
        <v>0</v>
      </c>
    </row>
    <row r="863" spans="1:34" x14ac:dyDescent="0.3">
      <c r="A863" t="s">
        <v>58</v>
      </c>
      <c r="B863">
        <v>0</v>
      </c>
      <c r="C863" t="s">
        <v>32</v>
      </c>
      <c r="D863">
        <v>1402</v>
      </c>
      <c r="E863" t="s">
        <v>33</v>
      </c>
      <c r="F863">
        <v>2</v>
      </c>
      <c r="G863" t="str">
        <f>IF(Table2[[#This Row],[DistanceFromHome]]&lt;=5, "short", IF(Table2[[#This Row],[DistanceFromHome]]&lt;=15, "medium", "long"))</f>
        <v>short</v>
      </c>
      <c r="H863">
        <v>3</v>
      </c>
      <c r="I863" t="s">
        <v>54</v>
      </c>
      <c r="J863">
        <v>1204</v>
      </c>
      <c r="K863">
        <v>3</v>
      </c>
      <c r="L863" t="s">
        <v>35</v>
      </c>
      <c r="M863">
        <v>69</v>
      </c>
      <c r="N863">
        <v>3</v>
      </c>
      <c r="O863">
        <v>4</v>
      </c>
      <c r="P863" t="s">
        <v>51</v>
      </c>
      <c r="Q863">
        <v>1</v>
      </c>
      <c r="R863" t="s">
        <v>43</v>
      </c>
      <c r="S863">
        <v>17048</v>
      </c>
      <c r="T863">
        <v>24097</v>
      </c>
      <c r="U863">
        <v>8</v>
      </c>
      <c r="V863" t="s">
        <v>38</v>
      </c>
      <c r="W863">
        <v>23</v>
      </c>
      <c r="X863">
        <v>4</v>
      </c>
      <c r="Y863">
        <v>1</v>
      </c>
      <c r="Z863">
        <v>0</v>
      </c>
      <c r="AA863">
        <v>28</v>
      </c>
      <c r="AB863" t="str">
        <f>IF(Table2[[#This Row],[TotalWorkingYears]]&lt;=5,"Early (0-5)",IF(Table2[[#This Row],[TotalWorkingYears]]&lt;=15,"Mid (6-15)","Senior (16+)"))</f>
        <v>Senior (16+)</v>
      </c>
      <c r="AC863">
        <v>2</v>
      </c>
      <c r="AD863">
        <v>3</v>
      </c>
      <c r="AE863" t="s">
        <v>65</v>
      </c>
      <c r="AF863">
        <v>15</v>
      </c>
      <c r="AG863">
        <v>15</v>
      </c>
      <c r="AH863">
        <v>9</v>
      </c>
    </row>
    <row r="864" spans="1:34" x14ac:dyDescent="0.3">
      <c r="A864" t="s">
        <v>57</v>
      </c>
      <c r="B864">
        <v>0</v>
      </c>
      <c r="C864" t="s">
        <v>50</v>
      </c>
      <c r="D864">
        <v>111</v>
      </c>
      <c r="E864" t="s">
        <v>40</v>
      </c>
      <c r="F864">
        <v>17</v>
      </c>
      <c r="G864" t="str">
        <f>IF(Table2[[#This Row],[DistanceFromHome]]&lt;=5, "short", IF(Table2[[#This Row],[DistanceFromHome]]&lt;=15, "medium", "long"))</f>
        <v>long</v>
      </c>
      <c r="H864">
        <v>3</v>
      </c>
      <c r="I864" t="s">
        <v>34</v>
      </c>
      <c r="J864">
        <v>1206</v>
      </c>
      <c r="K864">
        <v>4</v>
      </c>
      <c r="L864" t="s">
        <v>41</v>
      </c>
      <c r="M864">
        <v>74</v>
      </c>
      <c r="N864">
        <v>1</v>
      </c>
      <c r="O864">
        <v>1</v>
      </c>
      <c r="P864" t="s">
        <v>42</v>
      </c>
      <c r="Q864">
        <v>3</v>
      </c>
      <c r="R864" t="s">
        <v>37</v>
      </c>
      <c r="S864">
        <v>2290</v>
      </c>
      <c r="T864">
        <v>4279</v>
      </c>
      <c r="U864">
        <v>2</v>
      </c>
      <c r="V864" t="s">
        <v>38</v>
      </c>
      <c r="W864">
        <v>13</v>
      </c>
      <c r="X864">
        <v>3</v>
      </c>
      <c r="Y864">
        <v>4</v>
      </c>
      <c r="Z864">
        <v>0</v>
      </c>
      <c r="AA864">
        <v>6</v>
      </c>
      <c r="AB864" t="str">
        <f>IF(Table2[[#This Row],[TotalWorkingYears]]&lt;=5,"Early (0-5)",IF(Table2[[#This Row],[TotalWorkingYears]]&lt;=15,"Mid (6-15)","Senior (16+)"))</f>
        <v>Mid (6-15)</v>
      </c>
      <c r="AC864">
        <v>3</v>
      </c>
      <c r="AD864">
        <v>3</v>
      </c>
      <c r="AE864" t="s">
        <v>63</v>
      </c>
      <c r="AF864">
        <v>0</v>
      </c>
      <c r="AG864">
        <v>0</v>
      </c>
      <c r="AH864">
        <v>0</v>
      </c>
    </row>
    <row r="865" spans="1:34" x14ac:dyDescent="0.3">
      <c r="A865" t="s">
        <v>59</v>
      </c>
      <c r="B865">
        <v>0</v>
      </c>
      <c r="C865" t="s">
        <v>32</v>
      </c>
      <c r="D865">
        <v>147</v>
      </c>
      <c r="E865" t="s">
        <v>56</v>
      </c>
      <c r="F865">
        <v>2</v>
      </c>
      <c r="G865" t="str">
        <f>IF(Table2[[#This Row],[DistanceFromHome]]&lt;=5, "short", IF(Table2[[#This Row],[DistanceFromHome]]&lt;=15, "medium", "long"))</f>
        <v>short</v>
      </c>
      <c r="H865">
        <v>3</v>
      </c>
      <c r="I865" t="s">
        <v>56</v>
      </c>
      <c r="J865">
        <v>1207</v>
      </c>
      <c r="K865">
        <v>2</v>
      </c>
      <c r="L865" t="s">
        <v>41</v>
      </c>
      <c r="M865">
        <v>99</v>
      </c>
      <c r="N865">
        <v>3</v>
      </c>
      <c r="O865">
        <v>1</v>
      </c>
      <c r="P865" t="s">
        <v>56</v>
      </c>
      <c r="Q865">
        <v>3</v>
      </c>
      <c r="R865" t="s">
        <v>43</v>
      </c>
      <c r="S865">
        <v>3600</v>
      </c>
      <c r="T865">
        <v>8429</v>
      </c>
      <c r="U865">
        <v>1</v>
      </c>
      <c r="V865" t="s">
        <v>38</v>
      </c>
      <c r="W865">
        <v>13</v>
      </c>
      <c r="X865">
        <v>3</v>
      </c>
      <c r="Y865">
        <v>4</v>
      </c>
      <c r="Z865">
        <v>1</v>
      </c>
      <c r="AA865">
        <v>5</v>
      </c>
      <c r="AB865" t="str">
        <f>IF(Table2[[#This Row],[TotalWorkingYears]]&lt;=5,"Early (0-5)",IF(Table2[[#This Row],[TotalWorkingYears]]&lt;=15,"Mid (6-15)","Senior (16+)"))</f>
        <v>Early (0-5)</v>
      </c>
      <c r="AC865">
        <v>2</v>
      </c>
      <c r="AD865">
        <v>3</v>
      </c>
      <c r="AE865" t="s">
        <v>64</v>
      </c>
      <c r="AF865">
        <v>4</v>
      </c>
      <c r="AG865">
        <v>1</v>
      </c>
      <c r="AH865">
        <v>4</v>
      </c>
    </row>
    <row r="866" spans="1:34" x14ac:dyDescent="0.3">
      <c r="A866" t="s">
        <v>57</v>
      </c>
      <c r="B866">
        <v>1</v>
      </c>
      <c r="C866" t="s">
        <v>50</v>
      </c>
      <c r="D866">
        <v>906</v>
      </c>
      <c r="E866" t="s">
        <v>40</v>
      </c>
      <c r="F866">
        <v>5</v>
      </c>
      <c r="G866" t="str">
        <f>IF(Table2[[#This Row],[DistanceFromHome]]&lt;=5, "short", IF(Table2[[#This Row],[DistanceFromHome]]&lt;=15, "medium", "long"))</f>
        <v>short</v>
      </c>
      <c r="H866">
        <v>2</v>
      </c>
      <c r="I866" t="s">
        <v>34</v>
      </c>
      <c r="J866">
        <v>1210</v>
      </c>
      <c r="K866">
        <v>1</v>
      </c>
      <c r="L866" t="s">
        <v>41</v>
      </c>
      <c r="M866">
        <v>95</v>
      </c>
      <c r="N866">
        <v>2</v>
      </c>
      <c r="O866">
        <v>1</v>
      </c>
      <c r="P866" t="s">
        <v>42</v>
      </c>
      <c r="Q866">
        <v>1</v>
      </c>
      <c r="R866" t="s">
        <v>47</v>
      </c>
      <c r="S866">
        <v>2107</v>
      </c>
      <c r="T866">
        <v>20293</v>
      </c>
      <c r="U866">
        <v>6</v>
      </c>
      <c r="V866" t="s">
        <v>38</v>
      </c>
      <c r="W866">
        <v>17</v>
      </c>
      <c r="X866">
        <v>3</v>
      </c>
      <c r="Y866">
        <v>1</v>
      </c>
      <c r="Z866">
        <v>1</v>
      </c>
      <c r="AA866">
        <v>5</v>
      </c>
      <c r="AB866" t="str">
        <f>IF(Table2[[#This Row],[TotalWorkingYears]]&lt;=5,"Early (0-5)",IF(Table2[[#This Row],[TotalWorkingYears]]&lt;=15,"Mid (6-15)","Senior (16+)"))</f>
        <v>Early (0-5)</v>
      </c>
      <c r="AC866">
        <v>2</v>
      </c>
      <c r="AD866">
        <v>1</v>
      </c>
      <c r="AE866" t="s">
        <v>63</v>
      </c>
      <c r="AF866">
        <v>0</v>
      </c>
      <c r="AG866">
        <v>0</v>
      </c>
      <c r="AH866">
        <v>0</v>
      </c>
    </row>
    <row r="867" spans="1:34" x14ac:dyDescent="0.3">
      <c r="A867" t="s">
        <v>59</v>
      </c>
      <c r="B867">
        <v>0</v>
      </c>
      <c r="C867" t="s">
        <v>32</v>
      </c>
      <c r="D867">
        <v>1329</v>
      </c>
      <c r="E867" t="s">
        <v>33</v>
      </c>
      <c r="F867">
        <v>29</v>
      </c>
      <c r="G867" t="str">
        <f>IF(Table2[[#This Row],[DistanceFromHome]]&lt;=5, "short", IF(Table2[[#This Row],[DistanceFromHome]]&lt;=15, "medium", "long"))</f>
        <v>long</v>
      </c>
      <c r="H867">
        <v>4</v>
      </c>
      <c r="I867" t="s">
        <v>34</v>
      </c>
      <c r="J867">
        <v>1211</v>
      </c>
      <c r="K867">
        <v>3</v>
      </c>
      <c r="L867" t="s">
        <v>41</v>
      </c>
      <c r="M867">
        <v>61</v>
      </c>
      <c r="N867">
        <v>3</v>
      </c>
      <c r="O867">
        <v>2</v>
      </c>
      <c r="P867" t="s">
        <v>36</v>
      </c>
      <c r="Q867">
        <v>1</v>
      </c>
      <c r="R867" t="s">
        <v>47</v>
      </c>
      <c r="S867">
        <v>4115</v>
      </c>
      <c r="T867">
        <v>13192</v>
      </c>
      <c r="U867">
        <v>8</v>
      </c>
      <c r="V867" t="s">
        <v>38</v>
      </c>
      <c r="W867">
        <v>19</v>
      </c>
      <c r="X867">
        <v>3</v>
      </c>
      <c r="Y867">
        <v>3</v>
      </c>
      <c r="Z867">
        <v>3</v>
      </c>
      <c r="AA867">
        <v>8</v>
      </c>
      <c r="AB867" t="str">
        <f>IF(Table2[[#This Row],[TotalWorkingYears]]&lt;=5,"Early (0-5)",IF(Table2[[#This Row],[TotalWorkingYears]]&lt;=15,"Mid (6-15)","Senior (16+)"))</f>
        <v>Mid (6-15)</v>
      </c>
      <c r="AC867">
        <v>3</v>
      </c>
      <c r="AD867">
        <v>3</v>
      </c>
      <c r="AE867" t="s">
        <v>64</v>
      </c>
      <c r="AF867">
        <v>3</v>
      </c>
      <c r="AG867">
        <v>0</v>
      </c>
      <c r="AH867">
        <v>3</v>
      </c>
    </row>
    <row r="868" spans="1:34" x14ac:dyDescent="0.3">
      <c r="A868" t="s">
        <v>57</v>
      </c>
      <c r="B868">
        <v>0</v>
      </c>
      <c r="C868" t="s">
        <v>39</v>
      </c>
      <c r="D868">
        <v>1184</v>
      </c>
      <c r="E868" t="s">
        <v>33</v>
      </c>
      <c r="F868">
        <v>2</v>
      </c>
      <c r="G868" t="str">
        <f>IF(Table2[[#This Row],[DistanceFromHome]]&lt;=5, "short", IF(Table2[[#This Row],[DistanceFromHome]]&lt;=15, "medium", "long"))</f>
        <v>short</v>
      </c>
      <c r="H868">
        <v>4</v>
      </c>
      <c r="I868" t="s">
        <v>46</v>
      </c>
      <c r="J868">
        <v>1212</v>
      </c>
      <c r="K868">
        <v>2</v>
      </c>
      <c r="L868" t="s">
        <v>41</v>
      </c>
      <c r="M868">
        <v>62</v>
      </c>
      <c r="N868">
        <v>3</v>
      </c>
      <c r="O868">
        <v>2</v>
      </c>
      <c r="P868" t="s">
        <v>36</v>
      </c>
      <c r="Q868">
        <v>2</v>
      </c>
      <c r="R868" t="s">
        <v>43</v>
      </c>
      <c r="S868">
        <v>4327</v>
      </c>
      <c r="T868">
        <v>25440</v>
      </c>
      <c r="U868">
        <v>5</v>
      </c>
      <c r="V868" t="s">
        <v>38</v>
      </c>
      <c r="W868">
        <v>12</v>
      </c>
      <c r="X868">
        <v>3</v>
      </c>
      <c r="Y868">
        <v>4</v>
      </c>
      <c r="Z868">
        <v>3</v>
      </c>
      <c r="AA868">
        <v>5</v>
      </c>
      <c r="AB868" t="str">
        <f>IF(Table2[[#This Row],[TotalWorkingYears]]&lt;=5,"Early (0-5)",IF(Table2[[#This Row],[TotalWorkingYears]]&lt;=15,"Mid (6-15)","Senior (16+)"))</f>
        <v>Early (0-5)</v>
      </c>
      <c r="AC868">
        <v>2</v>
      </c>
      <c r="AD868">
        <v>3</v>
      </c>
      <c r="AE868" t="s">
        <v>63</v>
      </c>
      <c r="AF868">
        <v>0</v>
      </c>
      <c r="AG868">
        <v>0</v>
      </c>
      <c r="AH868">
        <v>0</v>
      </c>
    </row>
    <row r="869" spans="1:34" x14ac:dyDescent="0.3">
      <c r="A869" t="s">
        <v>58</v>
      </c>
      <c r="B869">
        <v>0</v>
      </c>
      <c r="C869" t="s">
        <v>39</v>
      </c>
      <c r="D869">
        <v>1421</v>
      </c>
      <c r="E869" t="s">
        <v>40</v>
      </c>
      <c r="F869">
        <v>2</v>
      </c>
      <c r="G869" t="str">
        <f>IF(Table2[[#This Row],[DistanceFromHome]]&lt;=5, "short", IF(Table2[[#This Row],[DistanceFromHome]]&lt;=15, "medium", "long"))</f>
        <v>short</v>
      </c>
      <c r="H869">
        <v>3</v>
      </c>
      <c r="I869" t="s">
        <v>46</v>
      </c>
      <c r="J869">
        <v>1215</v>
      </c>
      <c r="K869">
        <v>4</v>
      </c>
      <c r="L869" t="s">
        <v>35</v>
      </c>
      <c r="M869">
        <v>30</v>
      </c>
      <c r="N869">
        <v>3</v>
      </c>
      <c r="O869">
        <v>4</v>
      </c>
      <c r="P869" t="s">
        <v>51</v>
      </c>
      <c r="Q869">
        <v>1</v>
      </c>
      <c r="R869" t="s">
        <v>43</v>
      </c>
      <c r="S869">
        <v>17856</v>
      </c>
      <c r="T869">
        <v>9490</v>
      </c>
      <c r="U869">
        <v>2</v>
      </c>
      <c r="V869" t="s">
        <v>38</v>
      </c>
      <c r="W869">
        <v>22</v>
      </c>
      <c r="X869">
        <v>4</v>
      </c>
      <c r="Y869">
        <v>3</v>
      </c>
      <c r="Z869">
        <v>1</v>
      </c>
      <c r="AA869">
        <v>32</v>
      </c>
      <c r="AB869" t="str">
        <f>IF(Table2[[#This Row],[TotalWorkingYears]]&lt;=5,"Early (0-5)",IF(Table2[[#This Row],[TotalWorkingYears]]&lt;=15,"Mid (6-15)","Senior (16+)"))</f>
        <v>Senior (16+)</v>
      </c>
      <c r="AC869">
        <v>3</v>
      </c>
      <c r="AD869">
        <v>3</v>
      </c>
      <c r="AE869" t="s">
        <v>63</v>
      </c>
      <c r="AF869">
        <v>2</v>
      </c>
      <c r="AG869">
        <v>2</v>
      </c>
      <c r="AH869">
        <v>2</v>
      </c>
    </row>
    <row r="870" spans="1:34" x14ac:dyDescent="0.3">
      <c r="A870" t="s">
        <v>59</v>
      </c>
      <c r="B870">
        <v>0</v>
      </c>
      <c r="C870" t="s">
        <v>32</v>
      </c>
      <c r="D870">
        <v>1179</v>
      </c>
      <c r="E870" t="s">
        <v>40</v>
      </c>
      <c r="F870">
        <v>19</v>
      </c>
      <c r="G870" t="str">
        <f>IF(Table2[[#This Row],[DistanceFromHome]]&lt;=5, "short", IF(Table2[[#This Row],[DistanceFromHome]]&lt;=15, "medium", "long"))</f>
        <v>long</v>
      </c>
      <c r="H870">
        <v>4</v>
      </c>
      <c r="I870" t="s">
        <v>46</v>
      </c>
      <c r="J870">
        <v>1216</v>
      </c>
      <c r="K870">
        <v>4</v>
      </c>
      <c r="L870" t="s">
        <v>41</v>
      </c>
      <c r="M870">
        <v>78</v>
      </c>
      <c r="N870">
        <v>2</v>
      </c>
      <c r="O870">
        <v>1</v>
      </c>
      <c r="P870" t="s">
        <v>45</v>
      </c>
      <c r="Q870">
        <v>1</v>
      </c>
      <c r="R870" t="s">
        <v>43</v>
      </c>
      <c r="S870">
        <v>3196</v>
      </c>
      <c r="T870">
        <v>12449</v>
      </c>
      <c r="U870">
        <v>1</v>
      </c>
      <c r="V870" t="s">
        <v>38</v>
      </c>
      <c r="W870">
        <v>12</v>
      </c>
      <c r="X870">
        <v>3</v>
      </c>
      <c r="Y870">
        <v>3</v>
      </c>
      <c r="Z870">
        <v>3</v>
      </c>
      <c r="AA870">
        <v>6</v>
      </c>
      <c r="AB870" t="str">
        <f>IF(Table2[[#This Row],[TotalWorkingYears]]&lt;=5,"Early (0-5)",IF(Table2[[#This Row],[TotalWorkingYears]]&lt;=15,"Mid (6-15)","Senior (16+)"))</f>
        <v>Mid (6-15)</v>
      </c>
      <c r="AC870">
        <v>2</v>
      </c>
      <c r="AD870">
        <v>3</v>
      </c>
      <c r="AE870" t="s">
        <v>62</v>
      </c>
      <c r="AF870">
        <v>5</v>
      </c>
      <c r="AG870">
        <v>3</v>
      </c>
      <c r="AH870">
        <v>3</v>
      </c>
    </row>
    <row r="871" spans="1:34" x14ac:dyDescent="0.3">
      <c r="A871" t="s">
        <v>58</v>
      </c>
      <c r="B871">
        <v>0</v>
      </c>
      <c r="C871" t="s">
        <v>32</v>
      </c>
      <c r="D871">
        <v>1450</v>
      </c>
      <c r="E871" t="s">
        <v>40</v>
      </c>
      <c r="F871">
        <v>15</v>
      </c>
      <c r="G871" t="str">
        <f>IF(Table2[[#This Row],[DistanceFromHome]]&lt;=5, "short", IF(Table2[[#This Row],[DistanceFromHome]]&lt;=15, "medium", "long"))</f>
        <v>medium</v>
      </c>
      <c r="H871">
        <v>2</v>
      </c>
      <c r="I871" t="s">
        <v>34</v>
      </c>
      <c r="J871">
        <v>1217</v>
      </c>
      <c r="K871">
        <v>4</v>
      </c>
      <c r="L871" t="s">
        <v>41</v>
      </c>
      <c r="M871">
        <v>52</v>
      </c>
      <c r="N871">
        <v>3</v>
      </c>
      <c r="O871">
        <v>5</v>
      </c>
      <c r="P871" t="s">
        <v>53</v>
      </c>
      <c r="Q871">
        <v>2</v>
      </c>
      <c r="R871" t="s">
        <v>43</v>
      </c>
      <c r="S871">
        <v>19081</v>
      </c>
      <c r="T871">
        <v>10849</v>
      </c>
      <c r="U871">
        <v>5</v>
      </c>
      <c r="V871" t="s">
        <v>38</v>
      </c>
      <c r="W871">
        <v>11</v>
      </c>
      <c r="X871">
        <v>3</v>
      </c>
      <c r="Y871">
        <v>1</v>
      </c>
      <c r="Z871">
        <v>1</v>
      </c>
      <c r="AA871">
        <v>25</v>
      </c>
      <c r="AB871" t="str">
        <f>IF(Table2[[#This Row],[TotalWorkingYears]]&lt;=5,"Early (0-5)",IF(Table2[[#This Row],[TotalWorkingYears]]&lt;=15,"Mid (6-15)","Senior (16+)"))</f>
        <v>Senior (16+)</v>
      </c>
      <c r="AC871">
        <v>2</v>
      </c>
      <c r="AD871">
        <v>3</v>
      </c>
      <c r="AE871" t="s">
        <v>64</v>
      </c>
      <c r="AF871">
        <v>2</v>
      </c>
      <c r="AG871">
        <v>0</v>
      </c>
      <c r="AH871">
        <v>3</v>
      </c>
    </row>
    <row r="872" spans="1:34" x14ac:dyDescent="0.3">
      <c r="A872" t="s">
        <v>59</v>
      </c>
      <c r="B872">
        <v>0</v>
      </c>
      <c r="C872" t="s">
        <v>32</v>
      </c>
      <c r="D872">
        <v>1361</v>
      </c>
      <c r="E872" t="s">
        <v>33</v>
      </c>
      <c r="F872">
        <v>17</v>
      </c>
      <c r="G872" t="str">
        <f>IF(Table2[[#This Row],[DistanceFromHome]]&lt;=5, "short", IF(Table2[[#This Row],[DistanceFromHome]]&lt;=15, "medium", "long"))</f>
        <v>long</v>
      </c>
      <c r="H872">
        <v>4</v>
      </c>
      <c r="I872" t="s">
        <v>34</v>
      </c>
      <c r="J872">
        <v>1218</v>
      </c>
      <c r="K872">
        <v>3</v>
      </c>
      <c r="L872" t="s">
        <v>41</v>
      </c>
      <c r="M872">
        <v>94</v>
      </c>
      <c r="N872">
        <v>3</v>
      </c>
      <c r="O872">
        <v>2</v>
      </c>
      <c r="P872" t="s">
        <v>36</v>
      </c>
      <c r="Q872">
        <v>1</v>
      </c>
      <c r="R872" t="s">
        <v>43</v>
      </c>
      <c r="S872">
        <v>8966</v>
      </c>
      <c r="T872">
        <v>21026</v>
      </c>
      <c r="U872">
        <v>3</v>
      </c>
      <c r="V872" t="s">
        <v>31</v>
      </c>
      <c r="W872">
        <v>15</v>
      </c>
      <c r="X872">
        <v>3</v>
      </c>
      <c r="Y872">
        <v>4</v>
      </c>
      <c r="Z872">
        <v>3</v>
      </c>
      <c r="AA872">
        <v>15</v>
      </c>
      <c r="AB872" t="str">
        <f>IF(Table2[[#This Row],[TotalWorkingYears]]&lt;=5,"Early (0-5)",IF(Table2[[#This Row],[TotalWorkingYears]]&lt;=15,"Mid (6-15)","Senior (16+)"))</f>
        <v>Mid (6-15)</v>
      </c>
      <c r="AC872">
        <v>2</v>
      </c>
      <c r="AD872">
        <v>3</v>
      </c>
      <c r="AE872" t="s">
        <v>62</v>
      </c>
      <c r="AF872">
        <v>7</v>
      </c>
      <c r="AG872">
        <v>1</v>
      </c>
      <c r="AH872">
        <v>7</v>
      </c>
    </row>
    <row r="873" spans="1:34" x14ac:dyDescent="0.3">
      <c r="A873" t="s">
        <v>60</v>
      </c>
      <c r="B873">
        <v>1</v>
      </c>
      <c r="C873" t="s">
        <v>32</v>
      </c>
      <c r="D873">
        <v>984</v>
      </c>
      <c r="E873" t="s">
        <v>40</v>
      </c>
      <c r="F873">
        <v>17</v>
      </c>
      <c r="G873" t="str">
        <f>IF(Table2[[#This Row],[DistanceFromHome]]&lt;=5, "short", IF(Table2[[#This Row],[DistanceFromHome]]&lt;=15, "medium", "long"))</f>
        <v>long</v>
      </c>
      <c r="H873">
        <v>2</v>
      </c>
      <c r="I873" t="s">
        <v>34</v>
      </c>
      <c r="J873">
        <v>1219</v>
      </c>
      <c r="K873">
        <v>4</v>
      </c>
      <c r="L873" t="s">
        <v>35</v>
      </c>
      <c r="M873">
        <v>97</v>
      </c>
      <c r="N873">
        <v>3</v>
      </c>
      <c r="O873">
        <v>1</v>
      </c>
      <c r="P873" t="s">
        <v>45</v>
      </c>
      <c r="Q873">
        <v>2</v>
      </c>
      <c r="R873" t="s">
        <v>43</v>
      </c>
      <c r="S873">
        <v>2210</v>
      </c>
      <c r="T873">
        <v>3372</v>
      </c>
      <c r="U873">
        <v>1</v>
      </c>
      <c r="V873" t="s">
        <v>38</v>
      </c>
      <c r="W873">
        <v>13</v>
      </c>
      <c r="X873">
        <v>3</v>
      </c>
      <c r="Y873">
        <v>1</v>
      </c>
      <c r="Z873">
        <v>1</v>
      </c>
      <c r="AA873">
        <v>1</v>
      </c>
      <c r="AB873" t="str">
        <f>IF(Table2[[#This Row],[TotalWorkingYears]]&lt;=5,"Early (0-5)",IF(Table2[[#This Row],[TotalWorkingYears]]&lt;=15,"Mid (6-15)","Senior (16+)"))</f>
        <v>Early (0-5)</v>
      </c>
      <c r="AC873">
        <v>3</v>
      </c>
      <c r="AD873">
        <v>1</v>
      </c>
      <c r="AE873" t="s">
        <v>63</v>
      </c>
      <c r="AF873">
        <v>0</v>
      </c>
      <c r="AG873">
        <v>0</v>
      </c>
      <c r="AH873">
        <v>0</v>
      </c>
    </row>
    <row r="874" spans="1:34" x14ac:dyDescent="0.3">
      <c r="A874" t="s">
        <v>59</v>
      </c>
      <c r="B874">
        <v>0</v>
      </c>
      <c r="C874" t="s">
        <v>39</v>
      </c>
      <c r="D874">
        <v>1146</v>
      </c>
      <c r="E874" t="s">
        <v>33</v>
      </c>
      <c r="F874">
        <v>25</v>
      </c>
      <c r="G874" t="str">
        <f>IF(Table2[[#This Row],[DistanceFromHome]]&lt;=5, "short", IF(Table2[[#This Row],[DistanceFromHome]]&lt;=15, "medium", "long"))</f>
        <v>long</v>
      </c>
      <c r="H874">
        <v>3</v>
      </c>
      <c r="I874" t="s">
        <v>46</v>
      </c>
      <c r="J874">
        <v>1220</v>
      </c>
      <c r="K874">
        <v>2</v>
      </c>
      <c r="L874" t="s">
        <v>35</v>
      </c>
      <c r="M874">
        <v>82</v>
      </c>
      <c r="N874">
        <v>3</v>
      </c>
      <c r="O874">
        <v>2</v>
      </c>
      <c r="P874" t="s">
        <v>36</v>
      </c>
      <c r="Q874">
        <v>3</v>
      </c>
      <c r="R874" t="s">
        <v>43</v>
      </c>
      <c r="S874">
        <v>4539</v>
      </c>
      <c r="T874">
        <v>4905</v>
      </c>
      <c r="U874">
        <v>1</v>
      </c>
      <c r="V874" t="s">
        <v>38</v>
      </c>
      <c r="W874">
        <v>12</v>
      </c>
      <c r="X874">
        <v>3</v>
      </c>
      <c r="Y874">
        <v>1</v>
      </c>
      <c r="Z874">
        <v>1</v>
      </c>
      <c r="AA874">
        <v>10</v>
      </c>
      <c r="AB874" t="str">
        <f>IF(Table2[[#This Row],[TotalWorkingYears]]&lt;=5,"Early (0-5)",IF(Table2[[#This Row],[TotalWorkingYears]]&lt;=15,"Mid (6-15)","Senior (16+)"))</f>
        <v>Mid (6-15)</v>
      </c>
      <c r="AC874">
        <v>3</v>
      </c>
      <c r="AD874">
        <v>2</v>
      </c>
      <c r="AE874" t="s">
        <v>62</v>
      </c>
      <c r="AF874">
        <v>7</v>
      </c>
      <c r="AG874">
        <v>0</v>
      </c>
      <c r="AH874">
        <v>1</v>
      </c>
    </row>
    <row r="875" spans="1:34" x14ac:dyDescent="0.3">
      <c r="A875" t="s">
        <v>57</v>
      </c>
      <c r="B875">
        <v>0</v>
      </c>
      <c r="C875" t="s">
        <v>32</v>
      </c>
      <c r="D875">
        <v>917</v>
      </c>
      <c r="E875" t="s">
        <v>40</v>
      </c>
      <c r="F875">
        <v>6</v>
      </c>
      <c r="G875" t="str">
        <f>IF(Table2[[#This Row],[DistanceFromHome]]&lt;=5, "short", IF(Table2[[#This Row],[DistanceFromHome]]&lt;=15, "medium", "long"))</f>
        <v>medium</v>
      </c>
      <c r="H875">
        <v>4</v>
      </c>
      <c r="I875" t="s">
        <v>34</v>
      </c>
      <c r="J875">
        <v>1221</v>
      </c>
      <c r="K875">
        <v>3</v>
      </c>
      <c r="L875" t="s">
        <v>41</v>
      </c>
      <c r="M875">
        <v>60</v>
      </c>
      <c r="N875">
        <v>1</v>
      </c>
      <c r="O875">
        <v>1</v>
      </c>
      <c r="P875" t="s">
        <v>45</v>
      </c>
      <c r="Q875">
        <v>3</v>
      </c>
      <c r="R875" t="s">
        <v>47</v>
      </c>
      <c r="S875">
        <v>2741</v>
      </c>
      <c r="T875">
        <v>6865</v>
      </c>
      <c r="U875">
        <v>1</v>
      </c>
      <c r="V875" t="s">
        <v>38</v>
      </c>
      <c r="W875">
        <v>14</v>
      </c>
      <c r="X875">
        <v>3</v>
      </c>
      <c r="Y875">
        <v>3</v>
      </c>
      <c r="Z875">
        <v>1</v>
      </c>
      <c r="AA875">
        <v>7</v>
      </c>
      <c r="AB875" t="str">
        <f>IF(Table2[[#This Row],[TotalWorkingYears]]&lt;=5,"Early (0-5)",IF(Table2[[#This Row],[TotalWorkingYears]]&lt;=15,"Mid (6-15)","Senior (16+)"))</f>
        <v>Mid (6-15)</v>
      </c>
      <c r="AC875">
        <v>4</v>
      </c>
      <c r="AD875">
        <v>3</v>
      </c>
      <c r="AE875" t="s">
        <v>62</v>
      </c>
      <c r="AF875">
        <v>7</v>
      </c>
      <c r="AG875">
        <v>1</v>
      </c>
      <c r="AH875">
        <v>7</v>
      </c>
    </row>
    <row r="876" spans="1:34" x14ac:dyDescent="0.3">
      <c r="A876" t="s">
        <v>59</v>
      </c>
      <c r="B876">
        <v>0</v>
      </c>
      <c r="C876" t="s">
        <v>32</v>
      </c>
      <c r="D876">
        <v>853</v>
      </c>
      <c r="E876" t="s">
        <v>40</v>
      </c>
      <c r="F876">
        <v>7</v>
      </c>
      <c r="G876" t="str">
        <f>IF(Table2[[#This Row],[DistanceFromHome]]&lt;=5, "short", IF(Table2[[#This Row],[DistanceFromHome]]&lt;=15, "medium", "long"))</f>
        <v>medium</v>
      </c>
      <c r="H876">
        <v>4</v>
      </c>
      <c r="I876" t="s">
        <v>34</v>
      </c>
      <c r="J876">
        <v>1224</v>
      </c>
      <c r="K876">
        <v>3</v>
      </c>
      <c r="L876" t="s">
        <v>41</v>
      </c>
      <c r="M876">
        <v>49</v>
      </c>
      <c r="N876">
        <v>3</v>
      </c>
      <c r="O876">
        <v>2</v>
      </c>
      <c r="P876" t="s">
        <v>45</v>
      </c>
      <c r="Q876">
        <v>3</v>
      </c>
      <c r="R876" t="s">
        <v>47</v>
      </c>
      <c r="S876">
        <v>3491</v>
      </c>
      <c r="T876">
        <v>11309</v>
      </c>
      <c r="U876">
        <v>1</v>
      </c>
      <c r="V876" t="s">
        <v>38</v>
      </c>
      <c r="W876">
        <v>13</v>
      </c>
      <c r="X876">
        <v>3</v>
      </c>
      <c r="Y876">
        <v>1</v>
      </c>
      <c r="Z876">
        <v>3</v>
      </c>
      <c r="AA876">
        <v>10</v>
      </c>
      <c r="AB876" t="str">
        <f>IF(Table2[[#This Row],[TotalWorkingYears]]&lt;=5,"Early (0-5)",IF(Table2[[#This Row],[TotalWorkingYears]]&lt;=15,"Mid (6-15)","Senior (16+)"))</f>
        <v>Mid (6-15)</v>
      </c>
      <c r="AC876">
        <v>4</v>
      </c>
      <c r="AD876">
        <v>2</v>
      </c>
      <c r="AE876" t="s">
        <v>62</v>
      </c>
      <c r="AF876">
        <v>7</v>
      </c>
      <c r="AG876">
        <v>8</v>
      </c>
      <c r="AH876">
        <v>9</v>
      </c>
    </row>
    <row r="877" spans="1:34" x14ac:dyDescent="0.3">
      <c r="A877" t="s">
        <v>57</v>
      </c>
      <c r="B877">
        <v>0</v>
      </c>
      <c r="C877" t="s">
        <v>32</v>
      </c>
      <c r="D877">
        <v>200</v>
      </c>
      <c r="E877" t="s">
        <v>40</v>
      </c>
      <c r="F877">
        <v>29</v>
      </c>
      <c r="G877" t="str">
        <f>IF(Table2[[#This Row],[DistanceFromHome]]&lt;=5, "short", IF(Table2[[#This Row],[DistanceFromHome]]&lt;=15, "medium", "long"))</f>
        <v>long</v>
      </c>
      <c r="H877">
        <v>4</v>
      </c>
      <c r="I877" t="s">
        <v>44</v>
      </c>
      <c r="J877">
        <v>1225</v>
      </c>
      <c r="K877">
        <v>4</v>
      </c>
      <c r="L877" t="s">
        <v>41</v>
      </c>
      <c r="M877">
        <v>32</v>
      </c>
      <c r="N877">
        <v>3</v>
      </c>
      <c r="O877">
        <v>2</v>
      </c>
      <c r="P877" t="s">
        <v>42</v>
      </c>
      <c r="Q877">
        <v>4</v>
      </c>
      <c r="R877" t="s">
        <v>37</v>
      </c>
      <c r="S877">
        <v>4541</v>
      </c>
      <c r="T877">
        <v>7744</v>
      </c>
      <c r="U877">
        <v>1</v>
      </c>
      <c r="V877" t="s">
        <v>38</v>
      </c>
      <c r="W877">
        <v>25</v>
      </c>
      <c r="X877">
        <v>4</v>
      </c>
      <c r="Y877">
        <v>2</v>
      </c>
      <c r="Z877">
        <v>0</v>
      </c>
      <c r="AA877">
        <v>20</v>
      </c>
      <c r="AB877" t="str">
        <f>IF(Table2[[#This Row],[TotalWorkingYears]]&lt;=5,"Early (0-5)",IF(Table2[[#This Row],[TotalWorkingYears]]&lt;=15,"Mid (6-15)","Senior (16+)"))</f>
        <v>Senior (16+)</v>
      </c>
      <c r="AC877">
        <v>3</v>
      </c>
      <c r="AD877">
        <v>3</v>
      </c>
      <c r="AE877" t="s">
        <v>65</v>
      </c>
      <c r="AF877">
        <v>11</v>
      </c>
      <c r="AG877">
        <v>13</v>
      </c>
      <c r="AH877">
        <v>17</v>
      </c>
    </row>
    <row r="878" spans="1:34" x14ac:dyDescent="0.3">
      <c r="A878" t="s">
        <v>60</v>
      </c>
      <c r="B878">
        <v>0</v>
      </c>
      <c r="C878" t="s">
        <v>32</v>
      </c>
      <c r="D878">
        <v>654</v>
      </c>
      <c r="E878" t="s">
        <v>33</v>
      </c>
      <c r="F878">
        <v>21</v>
      </c>
      <c r="G878" t="str">
        <f>IF(Table2[[#This Row],[DistanceFromHome]]&lt;=5, "short", IF(Table2[[#This Row],[DistanceFromHome]]&lt;=15, "medium", "long"))</f>
        <v>long</v>
      </c>
      <c r="H878">
        <v>3</v>
      </c>
      <c r="I878" t="s">
        <v>54</v>
      </c>
      <c r="J878">
        <v>1226</v>
      </c>
      <c r="K878">
        <v>3</v>
      </c>
      <c r="L878" t="s">
        <v>41</v>
      </c>
      <c r="M878">
        <v>43</v>
      </c>
      <c r="N878">
        <v>4</v>
      </c>
      <c r="O878">
        <v>1</v>
      </c>
      <c r="P878" t="s">
        <v>52</v>
      </c>
      <c r="Q878">
        <v>4</v>
      </c>
      <c r="R878" t="s">
        <v>37</v>
      </c>
      <c r="S878">
        <v>2678</v>
      </c>
      <c r="T878">
        <v>5050</v>
      </c>
      <c r="U878">
        <v>1</v>
      </c>
      <c r="V878" t="s">
        <v>38</v>
      </c>
      <c r="W878">
        <v>17</v>
      </c>
      <c r="X878">
        <v>3</v>
      </c>
      <c r="Y878">
        <v>4</v>
      </c>
      <c r="Z878">
        <v>0</v>
      </c>
      <c r="AA878">
        <v>2</v>
      </c>
      <c r="AB878" t="str">
        <f>IF(Table2[[#This Row],[TotalWorkingYears]]&lt;=5,"Early (0-5)",IF(Table2[[#This Row],[TotalWorkingYears]]&lt;=15,"Mid (6-15)","Senior (16+)"))</f>
        <v>Early (0-5)</v>
      </c>
      <c r="AC878">
        <v>2</v>
      </c>
      <c r="AD878">
        <v>3</v>
      </c>
      <c r="AE878" t="s">
        <v>63</v>
      </c>
      <c r="AF878">
        <v>1</v>
      </c>
      <c r="AG878">
        <v>2</v>
      </c>
      <c r="AH878">
        <v>2</v>
      </c>
    </row>
    <row r="879" spans="1:34" x14ac:dyDescent="0.3">
      <c r="A879" t="s">
        <v>58</v>
      </c>
      <c r="B879">
        <v>0</v>
      </c>
      <c r="C879" t="s">
        <v>32</v>
      </c>
      <c r="D879">
        <v>150</v>
      </c>
      <c r="E879" t="s">
        <v>40</v>
      </c>
      <c r="F879">
        <v>2</v>
      </c>
      <c r="G879" t="str">
        <f>IF(Table2[[#This Row],[DistanceFromHome]]&lt;=5, "short", IF(Table2[[#This Row],[DistanceFromHome]]&lt;=15, "medium", "long"))</f>
        <v>short</v>
      </c>
      <c r="H879">
        <v>4</v>
      </c>
      <c r="I879" t="s">
        <v>55</v>
      </c>
      <c r="J879">
        <v>1228</v>
      </c>
      <c r="K879">
        <v>4</v>
      </c>
      <c r="L879" t="s">
        <v>41</v>
      </c>
      <c r="M879">
        <v>60</v>
      </c>
      <c r="N879">
        <v>3</v>
      </c>
      <c r="O879">
        <v>2</v>
      </c>
      <c r="P879" t="s">
        <v>48</v>
      </c>
      <c r="Q879">
        <v>4</v>
      </c>
      <c r="R879" t="s">
        <v>47</v>
      </c>
      <c r="S879">
        <v>7379</v>
      </c>
      <c r="T879">
        <v>17433</v>
      </c>
      <c r="U879">
        <v>2</v>
      </c>
      <c r="V879" t="s">
        <v>38</v>
      </c>
      <c r="W879">
        <v>11</v>
      </c>
      <c r="X879">
        <v>3</v>
      </c>
      <c r="Y879">
        <v>3</v>
      </c>
      <c r="Z879">
        <v>1</v>
      </c>
      <c r="AA879">
        <v>12</v>
      </c>
      <c r="AB879" t="str">
        <f>IF(Table2[[#This Row],[TotalWorkingYears]]&lt;=5,"Early (0-5)",IF(Table2[[#This Row],[TotalWorkingYears]]&lt;=15,"Mid (6-15)","Senior (16+)"))</f>
        <v>Mid (6-15)</v>
      </c>
      <c r="AC879">
        <v>3</v>
      </c>
      <c r="AD879">
        <v>2</v>
      </c>
      <c r="AE879" t="s">
        <v>62</v>
      </c>
      <c r="AF879">
        <v>3</v>
      </c>
      <c r="AG879">
        <v>1</v>
      </c>
      <c r="AH879">
        <v>4</v>
      </c>
    </row>
    <row r="880" spans="1:34" x14ac:dyDescent="0.3">
      <c r="A880" t="s">
        <v>57</v>
      </c>
      <c r="B880">
        <v>0</v>
      </c>
      <c r="C880" t="s">
        <v>50</v>
      </c>
      <c r="D880">
        <v>179</v>
      </c>
      <c r="E880" t="s">
        <v>56</v>
      </c>
      <c r="F880">
        <v>2</v>
      </c>
      <c r="G880" t="str">
        <f>IF(Table2[[#This Row],[DistanceFromHome]]&lt;=5, "short", IF(Table2[[#This Row],[DistanceFromHome]]&lt;=15, "medium", "long"))</f>
        <v>short</v>
      </c>
      <c r="H880">
        <v>5</v>
      </c>
      <c r="I880" t="s">
        <v>46</v>
      </c>
      <c r="J880">
        <v>1231</v>
      </c>
      <c r="K880">
        <v>4</v>
      </c>
      <c r="L880" t="s">
        <v>41</v>
      </c>
      <c r="M880">
        <v>79</v>
      </c>
      <c r="N880">
        <v>4</v>
      </c>
      <c r="O880">
        <v>2</v>
      </c>
      <c r="P880" t="s">
        <v>56</v>
      </c>
      <c r="Q880">
        <v>1</v>
      </c>
      <c r="R880" t="s">
        <v>43</v>
      </c>
      <c r="S880">
        <v>6272</v>
      </c>
      <c r="T880">
        <v>12858</v>
      </c>
      <c r="U880">
        <v>7</v>
      </c>
      <c r="V880" t="s">
        <v>38</v>
      </c>
      <c r="W880">
        <v>16</v>
      </c>
      <c r="X880">
        <v>3</v>
      </c>
      <c r="Y880">
        <v>1</v>
      </c>
      <c r="Z880">
        <v>1</v>
      </c>
      <c r="AA880">
        <v>10</v>
      </c>
      <c r="AB880" t="str">
        <f>IF(Table2[[#This Row],[TotalWorkingYears]]&lt;=5,"Early (0-5)",IF(Table2[[#This Row],[TotalWorkingYears]]&lt;=15,"Mid (6-15)","Senior (16+)"))</f>
        <v>Mid (6-15)</v>
      </c>
      <c r="AC880">
        <v>3</v>
      </c>
      <c r="AD880">
        <v>4</v>
      </c>
      <c r="AE880" t="s">
        <v>64</v>
      </c>
      <c r="AF880">
        <v>3</v>
      </c>
      <c r="AG880">
        <v>0</v>
      </c>
      <c r="AH880">
        <v>3</v>
      </c>
    </row>
    <row r="881" spans="1:34" x14ac:dyDescent="0.3">
      <c r="A881" t="s">
        <v>58</v>
      </c>
      <c r="B881">
        <v>0</v>
      </c>
      <c r="C881" t="s">
        <v>32</v>
      </c>
      <c r="D881">
        <v>696</v>
      </c>
      <c r="E881" t="s">
        <v>33</v>
      </c>
      <c r="F881">
        <v>7</v>
      </c>
      <c r="G881" t="str">
        <f>IF(Table2[[#This Row],[DistanceFromHome]]&lt;=5, "short", IF(Table2[[#This Row],[DistanceFromHome]]&lt;=15, "medium", "long"))</f>
        <v>medium</v>
      </c>
      <c r="H881">
        <v>4</v>
      </c>
      <c r="I881" t="s">
        <v>54</v>
      </c>
      <c r="J881">
        <v>1233</v>
      </c>
      <c r="K881">
        <v>2</v>
      </c>
      <c r="L881" t="s">
        <v>41</v>
      </c>
      <c r="M881">
        <v>52</v>
      </c>
      <c r="N881">
        <v>4</v>
      </c>
      <c r="O881">
        <v>2</v>
      </c>
      <c r="P881" t="s">
        <v>36</v>
      </c>
      <c r="Q881">
        <v>4</v>
      </c>
      <c r="R881" t="s">
        <v>47</v>
      </c>
      <c r="S881">
        <v>5220</v>
      </c>
      <c r="T881">
        <v>10893</v>
      </c>
      <c r="U881">
        <v>0</v>
      </c>
      <c r="V881" t="s">
        <v>31</v>
      </c>
      <c r="W881">
        <v>18</v>
      </c>
      <c r="X881">
        <v>3</v>
      </c>
      <c r="Y881">
        <v>2</v>
      </c>
      <c r="Z881">
        <v>1</v>
      </c>
      <c r="AA881">
        <v>12</v>
      </c>
      <c r="AB881" t="str">
        <f>IF(Table2[[#This Row],[TotalWorkingYears]]&lt;=5,"Early (0-5)",IF(Table2[[#This Row],[TotalWorkingYears]]&lt;=15,"Mid (6-15)","Senior (16+)"))</f>
        <v>Mid (6-15)</v>
      </c>
      <c r="AC881">
        <v>3</v>
      </c>
      <c r="AD881">
        <v>3</v>
      </c>
      <c r="AE881" t="s">
        <v>65</v>
      </c>
      <c r="AF881">
        <v>7</v>
      </c>
      <c r="AG881">
        <v>1</v>
      </c>
      <c r="AH881">
        <v>9</v>
      </c>
    </row>
    <row r="882" spans="1:34" x14ac:dyDescent="0.3">
      <c r="A882" t="s">
        <v>59</v>
      </c>
      <c r="B882">
        <v>0</v>
      </c>
      <c r="C882" t="s">
        <v>39</v>
      </c>
      <c r="D882">
        <v>116</v>
      </c>
      <c r="E882" t="s">
        <v>40</v>
      </c>
      <c r="F882">
        <v>13</v>
      </c>
      <c r="G882" t="str">
        <f>IF(Table2[[#This Row],[DistanceFromHome]]&lt;=5, "short", IF(Table2[[#This Row],[DistanceFromHome]]&lt;=15, "medium", "long"))</f>
        <v>medium</v>
      </c>
      <c r="H882">
        <v>3</v>
      </c>
      <c r="I882" t="s">
        <v>44</v>
      </c>
      <c r="J882">
        <v>1234</v>
      </c>
      <c r="K882">
        <v>3</v>
      </c>
      <c r="L882" t="s">
        <v>35</v>
      </c>
      <c r="M882">
        <v>77</v>
      </c>
      <c r="N882">
        <v>2</v>
      </c>
      <c r="O882">
        <v>1</v>
      </c>
      <c r="P882" t="s">
        <v>45</v>
      </c>
      <c r="Q882">
        <v>2</v>
      </c>
      <c r="R882" t="s">
        <v>43</v>
      </c>
      <c r="S882">
        <v>2743</v>
      </c>
      <c r="T882">
        <v>7331</v>
      </c>
      <c r="U882">
        <v>1</v>
      </c>
      <c r="V882" t="s">
        <v>38</v>
      </c>
      <c r="W882">
        <v>20</v>
      </c>
      <c r="X882">
        <v>4</v>
      </c>
      <c r="Y882">
        <v>3</v>
      </c>
      <c r="Z882">
        <v>1</v>
      </c>
      <c r="AA882">
        <v>2</v>
      </c>
      <c r="AB882" t="str">
        <f>IF(Table2[[#This Row],[TotalWorkingYears]]&lt;=5,"Early (0-5)",IF(Table2[[#This Row],[TotalWorkingYears]]&lt;=15,"Mid (6-15)","Senior (16+)"))</f>
        <v>Early (0-5)</v>
      </c>
      <c r="AC882">
        <v>2</v>
      </c>
      <c r="AD882">
        <v>3</v>
      </c>
      <c r="AE882" t="s">
        <v>63</v>
      </c>
      <c r="AF882">
        <v>2</v>
      </c>
      <c r="AG882">
        <v>2</v>
      </c>
      <c r="AH882">
        <v>2</v>
      </c>
    </row>
    <row r="883" spans="1:34" x14ac:dyDescent="0.3">
      <c r="A883" t="s">
        <v>59</v>
      </c>
      <c r="B883">
        <v>0</v>
      </c>
      <c r="C883" t="s">
        <v>39</v>
      </c>
      <c r="D883">
        <v>1316</v>
      </c>
      <c r="E883" t="s">
        <v>40</v>
      </c>
      <c r="F883">
        <v>2</v>
      </c>
      <c r="G883" t="str">
        <f>IF(Table2[[#This Row],[DistanceFromHome]]&lt;=5, "short", IF(Table2[[#This Row],[DistanceFromHome]]&lt;=15, "medium", "long"))</f>
        <v>short</v>
      </c>
      <c r="H883">
        <v>2</v>
      </c>
      <c r="I883" t="s">
        <v>34</v>
      </c>
      <c r="J883">
        <v>1235</v>
      </c>
      <c r="K883">
        <v>4</v>
      </c>
      <c r="L883" t="s">
        <v>35</v>
      </c>
      <c r="M883">
        <v>38</v>
      </c>
      <c r="N883">
        <v>3</v>
      </c>
      <c r="O883">
        <v>2</v>
      </c>
      <c r="P883" t="s">
        <v>42</v>
      </c>
      <c r="Q883">
        <v>3</v>
      </c>
      <c r="R883" t="s">
        <v>37</v>
      </c>
      <c r="S883">
        <v>4998</v>
      </c>
      <c r="T883">
        <v>2338</v>
      </c>
      <c r="U883">
        <v>4</v>
      </c>
      <c r="V883" t="s">
        <v>31</v>
      </c>
      <c r="W883">
        <v>14</v>
      </c>
      <c r="X883">
        <v>3</v>
      </c>
      <c r="Y883">
        <v>4</v>
      </c>
      <c r="Z883">
        <v>0</v>
      </c>
      <c r="AA883">
        <v>10</v>
      </c>
      <c r="AB883" t="str">
        <f>IF(Table2[[#This Row],[TotalWorkingYears]]&lt;=5,"Early (0-5)",IF(Table2[[#This Row],[TotalWorkingYears]]&lt;=15,"Mid (6-15)","Senior (16+)"))</f>
        <v>Mid (6-15)</v>
      </c>
      <c r="AC883">
        <v>2</v>
      </c>
      <c r="AD883">
        <v>3</v>
      </c>
      <c r="AE883" t="s">
        <v>62</v>
      </c>
      <c r="AF883">
        <v>7</v>
      </c>
      <c r="AG883">
        <v>0</v>
      </c>
      <c r="AH883">
        <v>7</v>
      </c>
    </row>
    <row r="884" spans="1:34" x14ac:dyDescent="0.3">
      <c r="A884" t="s">
        <v>57</v>
      </c>
      <c r="B884">
        <v>0</v>
      </c>
      <c r="C884" t="s">
        <v>32</v>
      </c>
      <c r="D884">
        <v>363</v>
      </c>
      <c r="E884" t="s">
        <v>40</v>
      </c>
      <c r="F884">
        <v>1</v>
      </c>
      <c r="G884" t="str">
        <f>IF(Table2[[#This Row],[DistanceFromHome]]&lt;=5, "short", IF(Table2[[#This Row],[DistanceFromHome]]&lt;=15, "medium", "long"))</f>
        <v>short</v>
      </c>
      <c r="H884">
        <v>3</v>
      </c>
      <c r="I884" t="s">
        <v>55</v>
      </c>
      <c r="J884">
        <v>1237</v>
      </c>
      <c r="K884">
        <v>3</v>
      </c>
      <c r="L884" t="s">
        <v>35</v>
      </c>
      <c r="M884">
        <v>77</v>
      </c>
      <c r="N884">
        <v>1</v>
      </c>
      <c r="O884">
        <v>3</v>
      </c>
      <c r="P884" t="s">
        <v>48</v>
      </c>
      <c r="Q884">
        <v>1</v>
      </c>
      <c r="R884" t="s">
        <v>47</v>
      </c>
      <c r="S884">
        <v>10252</v>
      </c>
      <c r="T884">
        <v>4235</v>
      </c>
      <c r="U884">
        <v>2</v>
      </c>
      <c r="V884" t="s">
        <v>31</v>
      </c>
      <c r="W884">
        <v>21</v>
      </c>
      <c r="X884">
        <v>4</v>
      </c>
      <c r="Y884">
        <v>3</v>
      </c>
      <c r="Z884">
        <v>1</v>
      </c>
      <c r="AA884">
        <v>17</v>
      </c>
      <c r="AB884" t="str">
        <f>IF(Table2[[#This Row],[TotalWorkingYears]]&lt;=5,"Early (0-5)",IF(Table2[[#This Row],[TotalWorkingYears]]&lt;=15,"Mid (6-15)","Senior (16+)"))</f>
        <v>Senior (16+)</v>
      </c>
      <c r="AC884">
        <v>2</v>
      </c>
      <c r="AD884">
        <v>3</v>
      </c>
      <c r="AE884" t="s">
        <v>62</v>
      </c>
      <c r="AF884">
        <v>7</v>
      </c>
      <c r="AG884">
        <v>7</v>
      </c>
      <c r="AH884">
        <v>7</v>
      </c>
    </row>
    <row r="885" spans="1:34" x14ac:dyDescent="0.3">
      <c r="A885" t="s">
        <v>59</v>
      </c>
      <c r="B885">
        <v>0</v>
      </c>
      <c r="C885" t="s">
        <v>32</v>
      </c>
      <c r="D885">
        <v>117</v>
      </c>
      <c r="E885" t="s">
        <v>40</v>
      </c>
      <c r="F885">
        <v>9</v>
      </c>
      <c r="G885" t="str">
        <f>IF(Table2[[#This Row],[DistanceFromHome]]&lt;=5, "short", IF(Table2[[#This Row],[DistanceFromHome]]&lt;=15, "medium", "long"))</f>
        <v>medium</v>
      </c>
      <c r="H885">
        <v>3</v>
      </c>
      <c r="I885" t="s">
        <v>46</v>
      </c>
      <c r="J885">
        <v>1238</v>
      </c>
      <c r="K885">
        <v>1</v>
      </c>
      <c r="L885" t="s">
        <v>41</v>
      </c>
      <c r="M885">
        <v>60</v>
      </c>
      <c r="N885">
        <v>3</v>
      </c>
      <c r="O885">
        <v>1</v>
      </c>
      <c r="P885" t="s">
        <v>42</v>
      </c>
      <c r="Q885">
        <v>4</v>
      </c>
      <c r="R885" t="s">
        <v>43</v>
      </c>
      <c r="S885">
        <v>2781</v>
      </c>
      <c r="T885">
        <v>6311</v>
      </c>
      <c r="U885">
        <v>0</v>
      </c>
      <c r="V885" t="s">
        <v>38</v>
      </c>
      <c r="W885">
        <v>13</v>
      </c>
      <c r="X885">
        <v>3</v>
      </c>
      <c r="Y885">
        <v>2</v>
      </c>
      <c r="Z885">
        <v>1</v>
      </c>
      <c r="AA885">
        <v>15</v>
      </c>
      <c r="AB885" t="str">
        <f>IF(Table2[[#This Row],[TotalWorkingYears]]&lt;=5,"Early (0-5)",IF(Table2[[#This Row],[TotalWorkingYears]]&lt;=15,"Mid (6-15)","Senior (16+)"))</f>
        <v>Mid (6-15)</v>
      </c>
      <c r="AC885">
        <v>5</v>
      </c>
      <c r="AD885">
        <v>3</v>
      </c>
      <c r="AE885" t="s">
        <v>65</v>
      </c>
      <c r="AF885">
        <v>10</v>
      </c>
      <c r="AG885">
        <v>4</v>
      </c>
      <c r="AH885">
        <v>10</v>
      </c>
    </row>
    <row r="886" spans="1:34" x14ac:dyDescent="0.3">
      <c r="A886" t="s">
        <v>57</v>
      </c>
      <c r="B886">
        <v>0</v>
      </c>
      <c r="C886" t="s">
        <v>32</v>
      </c>
      <c r="D886">
        <v>107</v>
      </c>
      <c r="E886" t="s">
        <v>33</v>
      </c>
      <c r="F886">
        <v>10</v>
      </c>
      <c r="G886" t="str">
        <f>IF(Table2[[#This Row],[DistanceFromHome]]&lt;=5, "short", IF(Table2[[#This Row],[DistanceFromHome]]&lt;=15, "medium", "long"))</f>
        <v>medium</v>
      </c>
      <c r="H886">
        <v>3</v>
      </c>
      <c r="I886" t="s">
        <v>55</v>
      </c>
      <c r="J886">
        <v>1239</v>
      </c>
      <c r="K886">
        <v>2</v>
      </c>
      <c r="L886" t="s">
        <v>35</v>
      </c>
      <c r="M886">
        <v>84</v>
      </c>
      <c r="N886">
        <v>2</v>
      </c>
      <c r="O886">
        <v>2</v>
      </c>
      <c r="P886" t="s">
        <v>36</v>
      </c>
      <c r="Q886">
        <v>2</v>
      </c>
      <c r="R886" t="s">
        <v>47</v>
      </c>
      <c r="S886">
        <v>6852</v>
      </c>
      <c r="T886">
        <v>11591</v>
      </c>
      <c r="U886">
        <v>7</v>
      </c>
      <c r="V886" t="s">
        <v>38</v>
      </c>
      <c r="W886">
        <v>12</v>
      </c>
      <c r="X886">
        <v>3</v>
      </c>
      <c r="Y886">
        <v>2</v>
      </c>
      <c r="Z886">
        <v>1</v>
      </c>
      <c r="AA886">
        <v>7</v>
      </c>
      <c r="AB886" t="str">
        <f>IF(Table2[[#This Row],[TotalWorkingYears]]&lt;=5,"Early (0-5)",IF(Table2[[#This Row],[TotalWorkingYears]]&lt;=15,"Mid (6-15)","Senior (16+)"))</f>
        <v>Mid (6-15)</v>
      </c>
      <c r="AC886">
        <v>2</v>
      </c>
      <c r="AD886">
        <v>4</v>
      </c>
      <c r="AE886" t="s">
        <v>64</v>
      </c>
      <c r="AF886">
        <v>1</v>
      </c>
      <c r="AG886">
        <v>1</v>
      </c>
      <c r="AH886">
        <v>3</v>
      </c>
    </row>
    <row r="887" spans="1:34" x14ac:dyDescent="0.3">
      <c r="A887" t="s">
        <v>60</v>
      </c>
      <c r="B887">
        <v>0</v>
      </c>
      <c r="C887" t="s">
        <v>32</v>
      </c>
      <c r="D887">
        <v>1356</v>
      </c>
      <c r="E887" t="s">
        <v>33</v>
      </c>
      <c r="F887">
        <v>10</v>
      </c>
      <c r="G887" t="str">
        <f>IF(Table2[[#This Row],[DistanceFromHome]]&lt;=5, "short", IF(Table2[[#This Row],[DistanceFromHome]]&lt;=15, "medium", "long"))</f>
        <v>medium</v>
      </c>
      <c r="H887">
        <v>4</v>
      </c>
      <c r="I887" t="s">
        <v>34</v>
      </c>
      <c r="J887">
        <v>1240</v>
      </c>
      <c r="K887">
        <v>3</v>
      </c>
      <c r="L887" t="s">
        <v>41</v>
      </c>
      <c r="M887">
        <v>57</v>
      </c>
      <c r="N887">
        <v>3</v>
      </c>
      <c r="O887">
        <v>2</v>
      </c>
      <c r="P887" t="s">
        <v>36</v>
      </c>
      <c r="Q887">
        <v>4</v>
      </c>
      <c r="R887" t="s">
        <v>37</v>
      </c>
      <c r="S887">
        <v>4950</v>
      </c>
      <c r="T887">
        <v>20623</v>
      </c>
      <c r="U887">
        <v>0</v>
      </c>
      <c r="V887" t="s">
        <v>38</v>
      </c>
      <c r="W887">
        <v>14</v>
      </c>
      <c r="X887">
        <v>3</v>
      </c>
      <c r="Y887">
        <v>2</v>
      </c>
      <c r="Z887">
        <v>0</v>
      </c>
      <c r="AA887">
        <v>5</v>
      </c>
      <c r="AB887" t="str">
        <f>IF(Table2[[#This Row],[TotalWorkingYears]]&lt;=5,"Early (0-5)",IF(Table2[[#This Row],[TotalWorkingYears]]&lt;=15,"Mid (6-15)","Senior (16+)"))</f>
        <v>Early (0-5)</v>
      </c>
      <c r="AC887">
        <v>4</v>
      </c>
      <c r="AD887">
        <v>3</v>
      </c>
      <c r="AE887" t="s">
        <v>64</v>
      </c>
      <c r="AF887">
        <v>3</v>
      </c>
      <c r="AG887">
        <v>1</v>
      </c>
      <c r="AH887">
        <v>1</v>
      </c>
    </row>
    <row r="888" spans="1:34" x14ac:dyDescent="0.3">
      <c r="A888" t="s">
        <v>59</v>
      </c>
      <c r="B888">
        <v>0</v>
      </c>
      <c r="C888" t="s">
        <v>32</v>
      </c>
      <c r="D888">
        <v>1465</v>
      </c>
      <c r="E888" t="s">
        <v>40</v>
      </c>
      <c r="F888">
        <v>1</v>
      </c>
      <c r="G888" t="str">
        <f>IF(Table2[[#This Row],[DistanceFromHome]]&lt;=5, "short", IF(Table2[[#This Row],[DistanceFromHome]]&lt;=15, "medium", "long"))</f>
        <v>short</v>
      </c>
      <c r="H888">
        <v>3</v>
      </c>
      <c r="I888" t="s">
        <v>46</v>
      </c>
      <c r="J888">
        <v>1241</v>
      </c>
      <c r="K888">
        <v>4</v>
      </c>
      <c r="L888" t="s">
        <v>41</v>
      </c>
      <c r="M888">
        <v>63</v>
      </c>
      <c r="N888">
        <v>3</v>
      </c>
      <c r="O888">
        <v>1</v>
      </c>
      <c r="P888" t="s">
        <v>42</v>
      </c>
      <c r="Q888">
        <v>2</v>
      </c>
      <c r="R888" t="s">
        <v>43</v>
      </c>
      <c r="S888">
        <v>3579</v>
      </c>
      <c r="T888">
        <v>9369</v>
      </c>
      <c r="U888">
        <v>0</v>
      </c>
      <c r="V888" t="s">
        <v>31</v>
      </c>
      <c r="W888">
        <v>21</v>
      </c>
      <c r="X888">
        <v>4</v>
      </c>
      <c r="Y888">
        <v>1</v>
      </c>
      <c r="Z888">
        <v>1</v>
      </c>
      <c r="AA888">
        <v>12</v>
      </c>
      <c r="AB888" t="str">
        <f>IF(Table2[[#This Row],[TotalWorkingYears]]&lt;=5,"Early (0-5)",IF(Table2[[#This Row],[TotalWorkingYears]]&lt;=15,"Mid (6-15)","Senior (16+)"))</f>
        <v>Mid (6-15)</v>
      </c>
      <c r="AC888">
        <v>2</v>
      </c>
      <c r="AD888">
        <v>3</v>
      </c>
      <c r="AE888" t="s">
        <v>65</v>
      </c>
      <c r="AF888">
        <v>9</v>
      </c>
      <c r="AG888">
        <v>5</v>
      </c>
      <c r="AH888">
        <v>7</v>
      </c>
    </row>
    <row r="889" spans="1:34" x14ac:dyDescent="0.3">
      <c r="A889" t="s">
        <v>57</v>
      </c>
      <c r="B889">
        <v>0</v>
      </c>
      <c r="C889" t="s">
        <v>39</v>
      </c>
      <c r="D889">
        <v>458</v>
      </c>
      <c r="E889" t="s">
        <v>40</v>
      </c>
      <c r="F889">
        <v>26</v>
      </c>
      <c r="G889" t="str">
        <f>IF(Table2[[#This Row],[DistanceFromHome]]&lt;=5, "short", IF(Table2[[#This Row],[DistanceFromHome]]&lt;=15, "medium", "long"))</f>
        <v>long</v>
      </c>
      <c r="H889">
        <v>5</v>
      </c>
      <c r="I889" t="s">
        <v>46</v>
      </c>
      <c r="J889">
        <v>1242</v>
      </c>
      <c r="K889">
        <v>1</v>
      </c>
      <c r="L889" t="s">
        <v>35</v>
      </c>
      <c r="M889">
        <v>60</v>
      </c>
      <c r="N889">
        <v>3</v>
      </c>
      <c r="O889">
        <v>3</v>
      </c>
      <c r="P889" t="s">
        <v>53</v>
      </c>
      <c r="Q889">
        <v>1</v>
      </c>
      <c r="R889" t="s">
        <v>43</v>
      </c>
      <c r="S889">
        <v>13191</v>
      </c>
      <c r="T889">
        <v>23281</v>
      </c>
      <c r="U889">
        <v>3</v>
      </c>
      <c r="V889" t="s">
        <v>31</v>
      </c>
      <c r="W889">
        <v>17</v>
      </c>
      <c r="X889">
        <v>3</v>
      </c>
      <c r="Y889">
        <v>3</v>
      </c>
      <c r="Z889">
        <v>0</v>
      </c>
      <c r="AA889">
        <v>20</v>
      </c>
      <c r="AB889" t="str">
        <f>IF(Table2[[#This Row],[TotalWorkingYears]]&lt;=5,"Early (0-5)",IF(Table2[[#This Row],[TotalWorkingYears]]&lt;=15,"Mid (6-15)","Senior (16+)"))</f>
        <v>Senior (16+)</v>
      </c>
      <c r="AC889">
        <v>6</v>
      </c>
      <c r="AD889">
        <v>3</v>
      </c>
      <c r="AE889" t="s">
        <v>63</v>
      </c>
      <c r="AF889">
        <v>0</v>
      </c>
      <c r="AG889">
        <v>0</v>
      </c>
      <c r="AH889">
        <v>0</v>
      </c>
    </row>
    <row r="890" spans="1:34" x14ac:dyDescent="0.3">
      <c r="A890" t="s">
        <v>59</v>
      </c>
      <c r="B890">
        <v>0</v>
      </c>
      <c r="C890" t="s">
        <v>50</v>
      </c>
      <c r="D890">
        <v>1212</v>
      </c>
      <c r="E890" t="s">
        <v>33</v>
      </c>
      <c r="F890">
        <v>8</v>
      </c>
      <c r="G890" t="str">
        <f>IF(Table2[[#This Row],[DistanceFromHome]]&lt;=5, "short", IF(Table2[[#This Row],[DistanceFromHome]]&lt;=15, "medium", "long"))</f>
        <v>medium</v>
      </c>
      <c r="H890">
        <v>2</v>
      </c>
      <c r="I890" t="s">
        <v>54</v>
      </c>
      <c r="J890">
        <v>1243</v>
      </c>
      <c r="K890">
        <v>3</v>
      </c>
      <c r="L890" t="s">
        <v>35</v>
      </c>
      <c r="M890">
        <v>78</v>
      </c>
      <c r="N890">
        <v>2</v>
      </c>
      <c r="O890">
        <v>3</v>
      </c>
      <c r="P890" t="s">
        <v>36</v>
      </c>
      <c r="Q890">
        <v>4</v>
      </c>
      <c r="R890" t="s">
        <v>43</v>
      </c>
      <c r="S890">
        <v>10377</v>
      </c>
      <c r="T890">
        <v>13755</v>
      </c>
      <c r="U890">
        <v>4</v>
      </c>
      <c r="V890" t="s">
        <v>31</v>
      </c>
      <c r="W890">
        <v>11</v>
      </c>
      <c r="X890">
        <v>3</v>
      </c>
      <c r="Y890">
        <v>2</v>
      </c>
      <c r="Z890">
        <v>1</v>
      </c>
      <c r="AA890">
        <v>16</v>
      </c>
      <c r="AB890" t="str">
        <f>IF(Table2[[#This Row],[TotalWorkingYears]]&lt;=5,"Early (0-5)",IF(Table2[[#This Row],[TotalWorkingYears]]&lt;=15,"Mid (6-15)","Senior (16+)"))</f>
        <v>Senior (16+)</v>
      </c>
      <c r="AC890">
        <v>6</v>
      </c>
      <c r="AD890">
        <v>2</v>
      </c>
      <c r="AE890" t="s">
        <v>65</v>
      </c>
      <c r="AF890">
        <v>2</v>
      </c>
      <c r="AG890">
        <v>4</v>
      </c>
      <c r="AH890">
        <v>12</v>
      </c>
    </row>
    <row r="891" spans="1:34" x14ac:dyDescent="0.3">
      <c r="A891" t="s">
        <v>59</v>
      </c>
      <c r="B891">
        <v>0</v>
      </c>
      <c r="C891" t="s">
        <v>32</v>
      </c>
      <c r="D891">
        <v>1103</v>
      </c>
      <c r="E891" t="s">
        <v>40</v>
      </c>
      <c r="F891">
        <v>14</v>
      </c>
      <c r="G891" t="str">
        <f>IF(Table2[[#This Row],[DistanceFromHome]]&lt;=5, "short", IF(Table2[[#This Row],[DistanceFromHome]]&lt;=15, "medium", "long"))</f>
        <v>medium</v>
      </c>
      <c r="H891">
        <v>3</v>
      </c>
      <c r="I891" t="s">
        <v>34</v>
      </c>
      <c r="J891">
        <v>1244</v>
      </c>
      <c r="K891">
        <v>1</v>
      </c>
      <c r="L891" t="s">
        <v>41</v>
      </c>
      <c r="M891">
        <v>42</v>
      </c>
      <c r="N891">
        <v>3</v>
      </c>
      <c r="O891">
        <v>1</v>
      </c>
      <c r="P891" t="s">
        <v>42</v>
      </c>
      <c r="Q891">
        <v>1</v>
      </c>
      <c r="R891" t="s">
        <v>43</v>
      </c>
      <c r="S891">
        <v>2235</v>
      </c>
      <c r="T891">
        <v>14377</v>
      </c>
      <c r="U891">
        <v>1</v>
      </c>
      <c r="V891" t="s">
        <v>31</v>
      </c>
      <c r="W891">
        <v>14</v>
      </c>
      <c r="X891">
        <v>3</v>
      </c>
      <c r="Y891">
        <v>4</v>
      </c>
      <c r="Z891">
        <v>2</v>
      </c>
      <c r="AA891">
        <v>9</v>
      </c>
      <c r="AB891" t="str">
        <f>IF(Table2[[#This Row],[TotalWorkingYears]]&lt;=5,"Early (0-5)",IF(Table2[[#This Row],[TotalWorkingYears]]&lt;=15,"Mid (6-15)","Senior (16+)"))</f>
        <v>Mid (6-15)</v>
      </c>
      <c r="AC891">
        <v>3</v>
      </c>
      <c r="AD891">
        <v>2</v>
      </c>
      <c r="AE891" t="s">
        <v>62</v>
      </c>
      <c r="AF891">
        <v>7</v>
      </c>
      <c r="AG891">
        <v>6</v>
      </c>
      <c r="AH891">
        <v>8</v>
      </c>
    </row>
    <row r="892" spans="1:34" x14ac:dyDescent="0.3">
      <c r="A892" t="s">
        <v>58</v>
      </c>
      <c r="B892">
        <v>0</v>
      </c>
      <c r="C892" t="s">
        <v>39</v>
      </c>
      <c r="D892">
        <v>966</v>
      </c>
      <c r="E892" t="s">
        <v>40</v>
      </c>
      <c r="F892">
        <v>1</v>
      </c>
      <c r="G892" t="str">
        <f>IF(Table2[[#This Row],[DistanceFromHome]]&lt;=5, "short", IF(Table2[[#This Row],[DistanceFromHome]]&lt;=15, "medium", "long"))</f>
        <v>short</v>
      </c>
      <c r="H892">
        <v>4</v>
      </c>
      <c r="I892" t="s">
        <v>34</v>
      </c>
      <c r="J892">
        <v>1245</v>
      </c>
      <c r="K892">
        <v>4</v>
      </c>
      <c r="L892" t="s">
        <v>35</v>
      </c>
      <c r="M892">
        <v>53</v>
      </c>
      <c r="N892">
        <v>3</v>
      </c>
      <c r="O892">
        <v>3</v>
      </c>
      <c r="P892" t="s">
        <v>48</v>
      </c>
      <c r="Q892">
        <v>3</v>
      </c>
      <c r="R892" t="s">
        <v>47</v>
      </c>
      <c r="S892">
        <v>10502</v>
      </c>
      <c r="T892">
        <v>9659</v>
      </c>
      <c r="U892">
        <v>7</v>
      </c>
      <c r="V892" t="s">
        <v>38</v>
      </c>
      <c r="W892">
        <v>17</v>
      </c>
      <c r="X892">
        <v>3</v>
      </c>
      <c r="Y892">
        <v>1</v>
      </c>
      <c r="Z892">
        <v>1</v>
      </c>
      <c r="AA892">
        <v>33</v>
      </c>
      <c r="AB892" t="str">
        <f>IF(Table2[[#This Row],[TotalWorkingYears]]&lt;=5,"Early (0-5)",IF(Table2[[#This Row],[TotalWorkingYears]]&lt;=15,"Mid (6-15)","Senior (16+)"))</f>
        <v>Senior (16+)</v>
      </c>
      <c r="AC892">
        <v>2</v>
      </c>
      <c r="AD892">
        <v>1</v>
      </c>
      <c r="AE892" t="s">
        <v>64</v>
      </c>
      <c r="AF892">
        <v>4</v>
      </c>
      <c r="AG892">
        <v>1</v>
      </c>
      <c r="AH892">
        <v>4</v>
      </c>
    </row>
    <row r="893" spans="1:34" x14ac:dyDescent="0.3">
      <c r="A893" t="s">
        <v>57</v>
      </c>
      <c r="B893">
        <v>0</v>
      </c>
      <c r="C893" t="s">
        <v>32</v>
      </c>
      <c r="D893">
        <v>1117</v>
      </c>
      <c r="E893" t="s">
        <v>40</v>
      </c>
      <c r="F893">
        <v>2</v>
      </c>
      <c r="G893" t="str">
        <f>IF(Table2[[#This Row],[DistanceFromHome]]&lt;=5, "short", IF(Table2[[#This Row],[DistanceFromHome]]&lt;=15, "medium", "long"))</f>
        <v>short</v>
      </c>
      <c r="H893">
        <v>1</v>
      </c>
      <c r="I893" t="s">
        <v>34</v>
      </c>
      <c r="J893">
        <v>1246</v>
      </c>
      <c r="K893">
        <v>1</v>
      </c>
      <c r="L893" t="s">
        <v>35</v>
      </c>
      <c r="M893">
        <v>72</v>
      </c>
      <c r="N893">
        <v>4</v>
      </c>
      <c r="O893">
        <v>1</v>
      </c>
      <c r="P893" t="s">
        <v>42</v>
      </c>
      <c r="Q893">
        <v>4</v>
      </c>
      <c r="R893" t="s">
        <v>43</v>
      </c>
      <c r="S893">
        <v>2011</v>
      </c>
      <c r="T893">
        <v>19982</v>
      </c>
      <c r="U893">
        <v>1</v>
      </c>
      <c r="V893" t="s">
        <v>38</v>
      </c>
      <c r="W893">
        <v>13</v>
      </c>
      <c r="X893">
        <v>3</v>
      </c>
      <c r="Y893">
        <v>4</v>
      </c>
      <c r="Z893">
        <v>1</v>
      </c>
      <c r="AA893">
        <v>10</v>
      </c>
      <c r="AB893" t="str">
        <f>IF(Table2[[#This Row],[TotalWorkingYears]]&lt;=5,"Early (0-5)",IF(Table2[[#This Row],[TotalWorkingYears]]&lt;=15,"Mid (6-15)","Senior (16+)"))</f>
        <v>Mid (6-15)</v>
      </c>
      <c r="AC893">
        <v>5</v>
      </c>
      <c r="AD893">
        <v>3</v>
      </c>
      <c r="AE893" t="s">
        <v>62</v>
      </c>
      <c r="AF893">
        <v>5</v>
      </c>
      <c r="AG893">
        <v>7</v>
      </c>
      <c r="AH893">
        <v>7</v>
      </c>
    </row>
    <row r="894" spans="1:34" x14ac:dyDescent="0.3">
      <c r="A894" t="s">
        <v>60</v>
      </c>
      <c r="B894">
        <v>1</v>
      </c>
      <c r="C894" t="s">
        <v>50</v>
      </c>
      <c r="D894">
        <v>504</v>
      </c>
      <c r="E894" t="s">
        <v>40</v>
      </c>
      <c r="F894">
        <v>10</v>
      </c>
      <c r="G894" t="str">
        <f>IF(Table2[[#This Row],[DistanceFromHome]]&lt;=5, "short", IF(Table2[[#This Row],[DistanceFromHome]]&lt;=15, "medium", "long"))</f>
        <v>medium</v>
      </c>
      <c r="H894">
        <v>3</v>
      </c>
      <c r="I894" t="s">
        <v>46</v>
      </c>
      <c r="J894">
        <v>1248</v>
      </c>
      <c r="K894">
        <v>1</v>
      </c>
      <c r="L894" t="s">
        <v>35</v>
      </c>
      <c r="M894">
        <v>96</v>
      </c>
      <c r="N894">
        <v>2</v>
      </c>
      <c r="O894">
        <v>1</v>
      </c>
      <c r="P894" t="s">
        <v>42</v>
      </c>
      <c r="Q894">
        <v>2</v>
      </c>
      <c r="R894" t="s">
        <v>37</v>
      </c>
      <c r="S894">
        <v>1859</v>
      </c>
      <c r="T894">
        <v>6148</v>
      </c>
      <c r="U894">
        <v>1</v>
      </c>
      <c r="V894" t="s">
        <v>31</v>
      </c>
      <c r="W894">
        <v>25</v>
      </c>
      <c r="X894">
        <v>4</v>
      </c>
      <c r="Y894">
        <v>2</v>
      </c>
      <c r="Z894">
        <v>0</v>
      </c>
      <c r="AA894">
        <v>1</v>
      </c>
      <c r="AB894" t="str">
        <f>IF(Table2[[#This Row],[TotalWorkingYears]]&lt;=5,"Early (0-5)",IF(Table2[[#This Row],[TotalWorkingYears]]&lt;=15,"Mid (6-15)","Senior (16+)"))</f>
        <v>Early (0-5)</v>
      </c>
      <c r="AC894">
        <v>2</v>
      </c>
      <c r="AD894">
        <v>4</v>
      </c>
      <c r="AE894" t="s">
        <v>63</v>
      </c>
      <c r="AF894">
        <v>1</v>
      </c>
      <c r="AG894">
        <v>0</v>
      </c>
      <c r="AH894">
        <v>0</v>
      </c>
    </row>
    <row r="895" spans="1:34" x14ac:dyDescent="0.3">
      <c r="A895" t="s">
        <v>59</v>
      </c>
      <c r="B895">
        <v>0</v>
      </c>
      <c r="C895" t="s">
        <v>32</v>
      </c>
      <c r="D895">
        <v>1010</v>
      </c>
      <c r="E895" t="s">
        <v>40</v>
      </c>
      <c r="F895">
        <v>1</v>
      </c>
      <c r="G895" t="str">
        <f>IF(Table2[[#This Row],[DistanceFromHome]]&lt;=5, "short", IF(Table2[[#This Row],[DistanceFromHome]]&lt;=15, "medium", "long"))</f>
        <v>short</v>
      </c>
      <c r="H895">
        <v>3</v>
      </c>
      <c r="I895" t="s">
        <v>34</v>
      </c>
      <c r="J895">
        <v>1249</v>
      </c>
      <c r="K895">
        <v>1</v>
      </c>
      <c r="L895" t="s">
        <v>35</v>
      </c>
      <c r="M895">
        <v>97</v>
      </c>
      <c r="N895">
        <v>3</v>
      </c>
      <c r="O895">
        <v>1</v>
      </c>
      <c r="P895" t="s">
        <v>42</v>
      </c>
      <c r="Q895">
        <v>4</v>
      </c>
      <c r="R895" t="s">
        <v>47</v>
      </c>
      <c r="S895">
        <v>3760</v>
      </c>
      <c r="T895">
        <v>5598</v>
      </c>
      <c r="U895">
        <v>1</v>
      </c>
      <c r="V895" t="s">
        <v>38</v>
      </c>
      <c r="W895">
        <v>15</v>
      </c>
      <c r="X895">
        <v>3</v>
      </c>
      <c r="Y895">
        <v>1</v>
      </c>
      <c r="Z895">
        <v>3</v>
      </c>
      <c r="AA895">
        <v>3</v>
      </c>
      <c r="AB895" t="str">
        <f>IF(Table2[[#This Row],[TotalWorkingYears]]&lt;=5,"Early (0-5)",IF(Table2[[#This Row],[TotalWorkingYears]]&lt;=15,"Mid (6-15)","Senior (16+)"))</f>
        <v>Early (0-5)</v>
      </c>
      <c r="AC895">
        <v>5</v>
      </c>
      <c r="AD895">
        <v>3</v>
      </c>
      <c r="AE895" t="s">
        <v>64</v>
      </c>
      <c r="AF895">
        <v>2</v>
      </c>
      <c r="AG895">
        <v>1</v>
      </c>
      <c r="AH895">
        <v>2</v>
      </c>
    </row>
    <row r="896" spans="1:34" x14ac:dyDescent="0.3">
      <c r="A896" t="s">
        <v>58</v>
      </c>
      <c r="B896">
        <v>0</v>
      </c>
      <c r="C896" t="s">
        <v>32</v>
      </c>
      <c r="D896">
        <v>685</v>
      </c>
      <c r="E896" t="s">
        <v>40</v>
      </c>
      <c r="F896">
        <v>3</v>
      </c>
      <c r="G896" t="str">
        <f>IF(Table2[[#This Row],[DistanceFromHome]]&lt;=5, "short", IF(Table2[[#This Row],[DistanceFromHome]]&lt;=15, "medium", "long"))</f>
        <v>short</v>
      </c>
      <c r="H896">
        <v>3</v>
      </c>
      <c r="I896" t="s">
        <v>34</v>
      </c>
      <c r="J896">
        <v>1250</v>
      </c>
      <c r="K896">
        <v>4</v>
      </c>
      <c r="L896" t="s">
        <v>41</v>
      </c>
      <c r="M896">
        <v>85</v>
      </c>
      <c r="N896">
        <v>3</v>
      </c>
      <c r="O896">
        <v>4</v>
      </c>
      <c r="P896" t="s">
        <v>53</v>
      </c>
      <c r="Q896">
        <v>4</v>
      </c>
      <c r="R896" t="s">
        <v>43</v>
      </c>
      <c r="S896">
        <v>17779</v>
      </c>
      <c r="T896">
        <v>23474</v>
      </c>
      <c r="U896">
        <v>3</v>
      </c>
      <c r="V896" t="s">
        <v>38</v>
      </c>
      <c r="W896">
        <v>14</v>
      </c>
      <c r="X896">
        <v>3</v>
      </c>
      <c r="Y896">
        <v>1</v>
      </c>
      <c r="Z896">
        <v>0</v>
      </c>
      <c r="AA896">
        <v>36</v>
      </c>
      <c r="AB896" t="str">
        <f>IF(Table2[[#This Row],[TotalWorkingYears]]&lt;=5,"Early (0-5)",IF(Table2[[#This Row],[TotalWorkingYears]]&lt;=15,"Mid (6-15)","Senior (16+)"))</f>
        <v>Senior (16+)</v>
      </c>
      <c r="AC896">
        <v>2</v>
      </c>
      <c r="AD896">
        <v>3</v>
      </c>
      <c r="AE896" t="s">
        <v>62</v>
      </c>
      <c r="AF896">
        <v>9</v>
      </c>
      <c r="AG896">
        <v>0</v>
      </c>
      <c r="AH896">
        <v>9</v>
      </c>
    </row>
    <row r="897" spans="1:34" x14ac:dyDescent="0.3">
      <c r="A897" t="s">
        <v>59</v>
      </c>
      <c r="B897">
        <v>0</v>
      </c>
      <c r="C897" t="s">
        <v>32</v>
      </c>
      <c r="D897">
        <v>1332</v>
      </c>
      <c r="E897" t="s">
        <v>40</v>
      </c>
      <c r="F897">
        <v>11</v>
      </c>
      <c r="G897" t="str">
        <f>IF(Table2[[#This Row],[DistanceFromHome]]&lt;=5, "short", IF(Table2[[#This Row],[DistanceFromHome]]&lt;=15, "medium", "long"))</f>
        <v>medium</v>
      </c>
      <c r="H897">
        <v>2</v>
      </c>
      <c r="I897" t="s">
        <v>46</v>
      </c>
      <c r="J897">
        <v>1251</v>
      </c>
      <c r="K897">
        <v>3</v>
      </c>
      <c r="L897" t="s">
        <v>41</v>
      </c>
      <c r="M897">
        <v>80</v>
      </c>
      <c r="N897">
        <v>3</v>
      </c>
      <c r="O897">
        <v>2</v>
      </c>
      <c r="P897" t="s">
        <v>49</v>
      </c>
      <c r="Q897">
        <v>1</v>
      </c>
      <c r="R897" t="s">
        <v>43</v>
      </c>
      <c r="S897">
        <v>6833</v>
      </c>
      <c r="T897">
        <v>17089</v>
      </c>
      <c r="U897">
        <v>1</v>
      </c>
      <c r="V897" t="s">
        <v>31</v>
      </c>
      <c r="W897">
        <v>12</v>
      </c>
      <c r="X897">
        <v>3</v>
      </c>
      <c r="Y897">
        <v>4</v>
      </c>
      <c r="Z897">
        <v>0</v>
      </c>
      <c r="AA897">
        <v>6</v>
      </c>
      <c r="AB897" t="str">
        <f>IF(Table2[[#This Row],[TotalWorkingYears]]&lt;=5,"Early (0-5)",IF(Table2[[#This Row],[TotalWorkingYears]]&lt;=15,"Mid (6-15)","Senior (16+)"))</f>
        <v>Mid (6-15)</v>
      </c>
      <c r="AC897">
        <v>2</v>
      </c>
      <c r="AD897">
        <v>2</v>
      </c>
      <c r="AE897" t="s">
        <v>62</v>
      </c>
      <c r="AF897">
        <v>5</v>
      </c>
      <c r="AG897">
        <v>0</v>
      </c>
      <c r="AH897">
        <v>1</v>
      </c>
    </row>
    <row r="898" spans="1:34" x14ac:dyDescent="0.3">
      <c r="A898" t="s">
        <v>59</v>
      </c>
      <c r="B898">
        <v>0</v>
      </c>
      <c r="C898" t="s">
        <v>32</v>
      </c>
      <c r="D898">
        <v>1062</v>
      </c>
      <c r="E898" t="s">
        <v>40</v>
      </c>
      <c r="F898">
        <v>24</v>
      </c>
      <c r="G898" t="str">
        <f>IF(Table2[[#This Row],[DistanceFromHome]]&lt;=5, "short", IF(Table2[[#This Row],[DistanceFromHome]]&lt;=15, "medium", "long"))</f>
        <v>long</v>
      </c>
      <c r="H898">
        <v>3</v>
      </c>
      <c r="I898" t="s">
        <v>46</v>
      </c>
      <c r="J898">
        <v>1252</v>
      </c>
      <c r="K898">
        <v>3</v>
      </c>
      <c r="L898" t="s">
        <v>35</v>
      </c>
      <c r="M898">
        <v>96</v>
      </c>
      <c r="N898">
        <v>2</v>
      </c>
      <c r="O898">
        <v>2</v>
      </c>
      <c r="P898" t="s">
        <v>49</v>
      </c>
      <c r="Q898">
        <v>1</v>
      </c>
      <c r="R898" t="s">
        <v>37</v>
      </c>
      <c r="S898">
        <v>6812</v>
      </c>
      <c r="T898">
        <v>17198</v>
      </c>
      <c r="U898">
        <v>1</v>
      </c>
      <c r="V898" t="s">
        <v>38</v>
      </c>
      <c r="W898">
        <v>19</v>
      </c>
      <c r="X898">
        <v>3</v>
      </c>
      <c r="Y898">
        <v>2</v>
      </c>
      <c r="Z898">
        <v>0</v>
      </c>
      <c r="AA898">
        <v>10</v>
      </c>
      <c r="AB898" t="str">
        <f>IF(Table2[[#This Row],[TotalWorkingYears]]&lt;=5,"Early (0-5)",IF(Table2[[#This Row],[TotalWorkingYears]]&lt;=15,"Mid (6-15)","Senior (16+)"))</f>
        <v>Mid (6-15)</v>
      </c>
      <c r="AC898">
        <v>2</v>
      </c>
      <c r="AD898">
        <v>3</v>
      </c>
      <c r="AE898" t="s">
        <v>62</v>
      </c>
      <c r="AF898">
        <v>9</v>
      </c>
      <c r="AG898">
        <v>1</v>
      </c>
      <c r="AH898">
        <v>8</v>
      </c>
    </row>
    <row r="899" spans="1:34" x14ac:dyDescent="0.3">
      <c r="A899" t="s">
        <v>58</v>
      </c>
      <c r="B899">
        <v>0</v>
      </c>
      <c r="C899" t="s">
        <v>32</v>
      </c>
      <c r="D899">
        <v>326</v>
      </c>
      <c r="E899" t="s">
        <v>33</v>
      </c>
      <c r="F899">
        <v>3</v>
      </c>
      <c r="G899" t="str">
        <f>IF(Table2[[#This Row],[DistanceFromHome]]&lt;=5, "short", IF(Table2[[#This Row],[DistanceFromHome]]&lt;=15, "medium", "long"))</f>
        <v>short</v>
      </c>
      <c r="H899">
        <v>3</v>
      </c>
      <c r="I899" t="s">
        <v>34</v>
      </c>
      <c r="J899">
        <v>1254</v>
      </c>
      <c r="K899">
        <v>3</v>
      </c>
      <c r="L899" t="s">
        <v>35</v>
      </c>
      <c r="M899">
        <v>48</v>
      </c>
      <c r="N899">
        <v>2</v>
      </c>
      <c r="O899">
        <v>2</v>
      </c>
      <c r="P899" t="s">
        <v>36</v>
      </c>
      <c r="Q899">
        <v>4</v>
      </c>
      <c r="R899" t="s">
        <v>37</v>
      </c>
      <c r="S899">
        <v>5171</v>
      </c>
      <c r="T899">
        <v>16490</v>
      </c>
      <c r="U899">
        <v>5</v>
      </c>
      <c r="V899" t="s">
        <v>38</v>
      </c>
      <c r="W899">
        <v>17</v>
      </c>
      <c r="X899">
        <v>3</v>
      </c>
      <c r="Y899">
        <v>4</v>
      </c>
      <c r="Z899">
        <v>0</v>
      </c>
      <c r="AA899">
        <v>13</v>
      </c>
      <c r="AB899" t="str">
        <f>IF(Table2[[#This Row],[TotalWorkingYears]]&lt;=5,"Early (0-5)",IF(Table2[[#This Row],[TotalWorkingYears]]&lt;=15,"Mid (6-15)","Senior (16+)"))</f>
        <v>Mid (6-15)</v>
      </c>
      <c r="AC899">
        <v>2</v>
      </c>
      <c r="AD899">
        <v>3</v>
      </c>
      <c r="AE899" t="s">
        <v>62</v>
      </c>
      <c r="AF899">
        <v>1</v>
      </c>
      <c r="AG899">
        <v>0</v>
      </c>
      <c r="AH899">
        <v>5</v>
      </c>
    </row>
    <row r="900" spans="1:34" x14ac:dyDescent="0.3">
      <c r="A900" t="s">
        <v>57</v>
      </c>
      <c r="B900">
        <v>0</v>
      </c>
      <c r="C900" t="s">
        <v>32</v>
      </c>
      <c r="D900">
        <v>920</v>
      </c>
      <c r="E900" t="s">
        <v>40</v>
      </c>
      <c r="F900">
        <v>3</v>
      </c>
      <c r="G900" t="str">
        <f>IF(Table2[[#This Row],[DistanceFromHome]]&lt;=5, "short", IF(Table2[[#This Row],[DistanceFromHome]]&lt;=15, "medium", "long"))</f>
        <v>short</v>
      </c>
      <c r="H900">
        <v>3</v>
      </c>
      <c r="I900" t="s">
        <v>34</v>
      </c>
      <c r="J900">
        <v>1255</v>
      </c>
      <c r="K900">
        <v>3</v>
      </c>
      <c r="L900" t="s">
        <v>41</v>
      </c>
      <c r="M900">
        <v>96</v>
      </c>
      <c r="N900">
        <v>1</v>
      </c>
      <c r="O900">
        <v>5</v>
      </c>
      <c r="P900" t="s">
        <v>53</v>
      </c>
      <c r="Q900">
        <v>4</v>
      </c>
      <c r="R900" t="s">
        <v>43</v>
      </c>
      <c r="S900">
        <v>19740</v>
      </c>
      <c r="T900">
        <v>18625</v>
      </c>
      <c r="U900">
        <v>3</v>
      </c>
      <c r="V900" t="s">
        <v>38</v>
      </c>
      <c r="W900">
        <v>14</v>
      </c>
      <c r="X900">
        <v>3</v>
      </c>
      <c r="Y900">
        <v>2</v>
      </c>
      <c r="Z900">
        <v>1</v>
      </c>
      <c r="AA900">
        <v>25</v>
      </c>
      <c r="AB900" t="str">
        <f>IF(Table2[[#This Row],[TotalWorkingYears]]&lt;=5,"Early (0-5)",IF(Table2[[#This Row],[TotalWorkingYears]]&lt;=15,"Mid (6-15)","Senior (16+)"))</f>
        <v>Senior (16+)</v>
      </c>
      <c r="AC900">
        <v>2</v>
      </c>
      <c r="AD900">
        <v>3</v>
      </c>
      <c r="AE900" t="s">
        <v>62</v>
      </c>
      <c r="AF900">
        <v>7</v>
      </c>
      <c r="AG900">
        <v>0</v>
      </c>
      <c r="AH900">
        <v>7</v>
      </c>
    </row>
    <row r="901" spans="1:34" x14ac:dyDescent="0.3">
      <c r="A901" t="s">
        <v>58</v>
      </c>
      <c r="B901">
        <v>0</v>
      </c>
      <c r="C901" t="s">
        <v>32</v>
      </c>
      <c r="D901">
        <v>1098</v>
      </c>
      <c r="E901" t="s">
        <v>40</v>
      </c>
      <c r="F901">
        <v>4</v>
      </c>
      <c r="G901" t="str">
        <f>IF(Table2[[#This Row],[DistanceFromHome]]&lt;=5, "short", IF(Table2[[#This Row],[DistanceFromHome]]&lt;=15, "medium", "long"))</f>
        <v>short</v>
      </c>
      <c r="H901">
        <v>2</v>
      </c>
      <c r="I901" t="s">
        <v>46</v>
      </c>
      <c r="J901">
        <v>1256</v>
      </c>
      <c r="K901">
        <v>1</v>
      </c>
      <c r="L901" t="s">
        <v>41</v>
      </c>
      <c r="M901">
        <v>85</v>
      </c>
      <c r="N901">
        <v>2</v>
      </c>
      <c r="O901">
        <v>5</v>
      </c>
      <c r="P901" t="s">
        <v>51</v>
      </c>
      <c r="Q901">
        <v>3</v>
      </c>
      <c r="R901" t="s">
        <v>43</v>
      </c>
      <c r="S901">
        <v>18711</v>
      </c>
      <c r="T901">
        <v>12124</v>
      </c>
      <c r="U901">
        <v>2</v>
      </c>
      <c r="V901" t="s">
        <v>38</v>
      </c>
      <c r="W901">
        <v>13</v>
      </c>
      <c r="X901">
        <v>3</v>
      </c>
      <c r="Y901">
        <v>3</v>
      </c>
      <c r="Z901">
        <v>1</v>
      </c>
      <c r="AA901">
        <v>23</v>
      </c>
      <c r="AB901" t="str">
        <f>IF(Table2[[#This Row],[TotalWorkingYears]]&lt;=5,"Early (0-5)",IF(Table2[[#This Row],[TotalWorkingYears]]&lt;=15,"Mid (6-15)","Senior (16+)"))</f>
        <v>Senior (16+)</v>
      </c>
      <c r="AC901">
        <v>2</v>
      </c>
      <c r="AD901">
        <v>4</v>
      </c>
      <c r="AE901" t="s">
        <v>63</v>
      </c>
      <c r="AF901">
        <v>0</v>
      </c>
      <c r="AG901">
        <v>0</v>
      </c>
      <c r="AH901">
        <v>0</v>
      </c>
    </row>
    <row r="902" spans="1:34" x14ac:dyDescent="0.3">
      <c r="A902" t="s">
        <v>57</v>
      </c>
      <c r="B902">
        <v>0</v>
      </c>
      <c r="C902" t="s">
        <v>39</v>
      </c>
      <c r="D902">
        <v>469</v>
      </c>
      <c r="E902" t="s">
        <v>40</v>
      </c>
      <c r="F902">
        <v>3</v>
      </c>
      <c r="G902" t="str">
        <f>IF(Table2[[#This Row],[DistanceFromHome]]&lt;=5, "short", IF(Table2[[#This Row],[DistanceFromHome]]&lt;=15, "medium", "long"))</f>
        <v>short</v>
      </c>
      <c r="H902">
        <v>3</v>
      </c>
      <c r="I902" t="s">
        <v>55</v>
      </c>
      <c r="J902">
        <v>1257</v>
      </c>
      <c r="K902">
        <v>3</v>
      </c>
      <c r="L902" t="s">
        <v>41</v>
      </c>
      <c r="M902">
        <v>46</v>
      </c>
      <c r="N902">
        <v>3</v>
      </c>
      <c r="O902">
        <v>1</v>
      </c>
      <c r="P902" t="s">
        <v>42</v>
      </c>
      <c r="Q902">
        <v>2</v>
      </c>
      <c r="R902" t="s">
        <v>43</v>
      </c>
      <c r="S902">
        <v>3692</v>
      </c>
      <c r="T902">
        <v>9256</v>
      </c>
      <c r="U902">
        <v>1</v>
      </c>
      <c r="V902" t="s">
        <v>38</v>
      </c>
      <c r="W902">
        <v>12</v>
      </c>
      <c r="X902">
        <v>3</v>
      </c>
      <c r="Y902">
        <v>3</v>
      </c>
      <c r="Z902">
        <v>0</v>
      </c>
      <c r="AA902">
        <v>12</v>
      </c>
      <c r="AB902" t="str">
        <f>IF(Table2[[#This Row],[TotalWorkingYears]]&lt;=5,"Early (0-5)",IF(Table2[[#This Row],[TotalWorkingYears]]&lt;=15,"Mid (6-15)","Senior (16+)"))</f>
        <v>Mid (6-15)</v>
      </c>
      <c r="AC902">
        <v>2</v>
      </c>
      <c r="AD902">
        <v>2</v>
      </c>
      <c r="AE902" t="s">
        <v>65</v>
      </c>
      <c r="AF902">
        <v>10</v>
      </c>
      <c r="AG902">
        <v>0</v>
      </c>
      <c r="AH902">
        <v>7</v>
      </c>
    </row>
    <row r="903" spans="1:34" x14ac:dyDescent="0.3">
      <c r="A903" t="s">
        <v>58</v>
      </c>
      <c r="B903">
        <v>0</v>
      </c>
      <c r="C903" t="s">
        <v>32</v>
      </c>
      <c r="D903">
        <v>969</v>
      </c>
      <c r="E903" t="s">
        <v>40</v>
      </c>
      <c r="F903">
        <v>2</v>
      </c>
      <c r="G903" t="str">
        <f>IF(Table2[[#This Row],[DistanceFromHome]]&lt;=5, "short", IF(Table2[[#This Row],[DistanceFromHome]]&lt;=15, "medium", "long"))</f>
        <v>short</v>
      </c>
      <c r="H903">
        <v>2</v>
      </c>
      <c r="I903" t="s">
        <v>55</v>
      </c>
      <c r="J903">
        <v>1258</v>
      </c>
      <c r="K903">
        <v>4</v>
      </c>
      <c r="L903" t="s">
        <v>41</v>
      </c>
      <c r="M903">
        <v>76</v>
      </c>
      <c r="N903">
        <v>4</v>
      </c>
      <c r="O903">
        <v>1</v>
      </c>
      <c r="P903" t="s">
        <v>45</v>
      </c>
      <c r="Q903">
        <v>2</v>
      </c>
      <c r="R903" t="s">
        <v>37</v>
      </c>
      <c r="S903">
        <v>2559</v>
      </c>
      <c r="T903">
        <v>16620</v>
      </c>
      <c r="U903">
        <v>5</v>
      </c>
      <c r="V903" t="s">
        <v>38</v>
      </c>
      <c r="W903">
        <v>11</v>
      </c>
      <c r="X903">
        <v>3</v>
      </c>
      <c r="Y903">
        <v>3</v>
      </c>
      <c r="Z903">
        <v>0</v>
      </c>
      <c r="AA903">
        <v>7</v>
      </c>
      <c r="AB903" t="str">
        <f>IF(Table2[[#This Row],[TotalWorkingYears]]&lt;=5,"Early (0-5)",IF(Table2[[#This Row],[TotalWorkingYears]]&lt;=15,"Mid (6-15)","Senior (16+)"))</f>
        <v>Mid (6-15)</v>
      </c>
      <c r="AC903">
        <v>4</v>
      </c>
      <c r="AD903">
        <v>2</v>
      </c>
      <c r="AE903" t="s">
        <v>63</v>
      </c>
      <c r="AF903">
        <v>0</v>
      </c>
      <c r="AG903">
        <v>0</v>
      </c>
      <c r="AH903">
        <v>0</v>
      </c>
    </row>
    <row r="904" spans="1:34" x14ac:dyDescent="0.3">
      <c r="A904" t="s">
        <v>59</v>
      </c>
      <c r="B904">
        <v>0</v>
      </c>
      <c r="C904" t="s">
        <v>32</v>
      </c>
      <c r="D904">
        <v>1167</v>
      </c>
      <c r="E904" t="s">
        <v>40</v>
      </c>
      <c r="F904">
        <v>4</v>
      </c>
      <c r="G904" t="str">
        <f>IF(Table2[[#This Row],[DistanceFromHome]]&lt;=5, "short", IF(Table2[[#This Row],[DistanceFromHome]]&lt;=15, "medium", "long"))</f>
        <v>short</v>
      </c>
      <c r="H904">
        <v>2</v>
      </c>
      <c r="I904" t="s">
        <v>34</v>
      </c>
      <c r="J904">
        <v>1259</v>
      </c>
      <c r="K904">
        <v>1</v>
      </c>
      <c r="L904" t="s">
        <v>41</v>
      </c>
      <c r="M904">
        <v>76</v>
      </c>
      <c r="N904">
        <v>3</v>
      </c>
      <c r="O904">
        <v>1</v>
      </c>
      <c r="P904" t="s">
        <v>42</v>
      </c>
      <c r="Q904">
        <v>3</v>
      </c>
      <c r="R904" t="s">
        <v>47</v>
      </c>
      <c r="S904">
        <v>2517</v>
      </c>
      <c r="T904">
        <v>3208</v>
      </c>
      <c r="U904">
        <v>1</v>
      </c>
      <c r="V904" t="s">
        <v>38</v>
      </c>
      <c r="W904">
        <v>11</v>
      </c>
      <c r="X904">
        <v>3</v>
      </c>
      <c r="Y904">
        <v>2</v>
      </c>
      <c r="Z904">
        <v>3</v>
      </c>
      <c r="AA904">
        <v>5</v>
      </c>
      <c r="AB904" t="str">
        <f>IF(Table2[[#This Row],[TotalWorkingYears]]&lt;=5,"Early (0-5)",IF(Table2[[#This Row],[TotalWorkingYears]]&lt;=15,"Mid (6-15)","Senior (16+)"))</f>
        <v>Early (0-5)</v>
      </c>
      <c r="AC904">
        <v>2</v>
      </c>
      <c r="AD904">
        <v>3</v>
      </c>
      <c r="AE904" t="s">
        <v>64</v>
      </c>
      <c r="AF904">
        <v>3</v>
      </c>
      <c r="AG904">
        <v>0</v>
      </c>
      <c r="AH904">
        <v>3</v>
      </c>
    </row>
    <row r="905" spans="1:34" x14ac:dyDescent="0.3">
      <c r="A905" t="s">
        <v>59</v>
      </c>
      <c r="B905">
        <v>0</v>
      </c>
      <c r="C905" t="s">
        <v>32</v>
      </c>
      <c r="D905">
        <v>1329</v>
      </c>
      <c r="E905" t="s">
        <v>40</v>
      </c>
      <c r="F905">
        <v>7</v>
      </c>
      <c r="G905" t="str">
        <f>IF(Table2[[#This Row],[DistanceFromHome]]&lt;=5, "short", IF(Table2[[#This Row],[DistanceFromHome]]&lt;=15, "medium", "long"))</f>
        <v>medium</v>
      </c>
      <c r="H905">
        <v>3</v>
      </c>
      <c r="I905" t="s">
        <v>34</v>
      </c>
      <c r="J905">
        <v>1260</v>
      </c>
      <c r="K905">
        <v>3</v>
      </c>
      <c r="L905" t="s">
        <v>41</v>
      </c>
      <c r="M905">
        <v>82</v>
      </c>
      <c r="N905">
        <v>3</v>
      </c>
      <c r="O905">
        <v>2</v>
      </c>
      <c r="P905" t="s">
        <v>49</v>
      </c>
      <c r="Q905">
        <v>4</v>
      </c>
      <c r="R905" t="s">
        <v>47</v>
      </c>
      <c r="S905">
        <v>6623</v>
      </c>
      <c r="T905">
        <v>4204</v>
      </c>
      <c r="U905">
        <v>1</v>
      </c>
      <c r="V905" t="s">
        <v>31</v>
      </c>
      <c r="W905">
        <v>11</v>
      </c>
      <c r="X905">
        <v>3</v>
      </c>
      <c r="Y905">
        <v>2</v>
      </c>
      <c r="Z905">
        <v>2</v>
      </c>
      <c r="AA905">
        <v>6</v>
      </c>
      <c r="AB905" t="str">
        <f>IF(Table2[[#This Row],[TotalWorkingYears]]&lt;=5,"Early (0-5)",IF(Table2[[#This Row],[TotalWorkingYears]]&lt;=15,"Mid (6-15)","Senior (16+)"))</f>
        <v>Mid (6-15)</v>
      </c>
      <c r="AC905">
        <v>2</v>
      </c>
      <c r="AD905">
        <v>3</v>
      </c>
      <c r="AE905" t="s">
        <v>62</v>
      </c>
      <c r="AF905">
        <v>0</v>
      </c>
      <c r="AG905">
        <v>1</v>
      </c>
      <c r="AH905">
        <v>0</v>
      </c>
    </row>
    <row r="906" spans="1:34" x14ac:dyDescent="0.3">
      <c r="A906" t="s">
        <v>58</v>
      </c>
      <c r="B906">
        <v>0</v>
      </c>
      <c r="C906" t="s">
        <v>32</v>
      </c>
      <c r="D906">
        <v>715</v>
      </c>
      <c r="E906" t="s">
        <v>40</v>
      </c>
      <c r="F906">
        <v>1</v>
      </c>
      <c r="G906" t="str">
        <f>IF(Table2[[#This Row],[DistanceFromHome]]&lt;=5, "short", IF(Table2[[#This Row],[DistanceFromHome]]&lt;=15, "medium", "long"))</f>
        <v>short</v>
      </c>
      <c r="H906">
        <v>3</v>
      </c>
      <c r="I906" t="s">
        <v>34</v>
      </c>
      <c r="J906">
        <v>1263</v>
      </c>
      <c r="K906">
        <v>4</v>
      </c>
      <c r="L906" t="s">
        <v>41</v>
      </c>
      <c r="M906">
        <v>76</v>
      </c>
      <c r="N906">
        <v>2</v>
      </c>
      <c r="O906">
        <v>5</v>
      </c>
      <c r="P906" t="s">
        <v>53</v>
      </c>
      <c r="Q906">
        <v>4</v>
      </c>
      <c r="R906" t="s">
        <v>37</v>
      </c>
      <c r="S906">
        <v>18265</v>
      </c>
      <c r="T906">
        <v>8733</v>
      </c>
      <c r="U906">
        <v>6</v>
      </c>
      <c r="V906" t="s">
        <v>38</v>
      </c>
      <c r="W906">
        <v>12</v>
      </c>
      <c r="X906">
        <v>3</v>
      </c>
      <c r="Y906">
        <v>3</v>
      </c>
      <c r="Z906">
        <v>0</v>
      </c>
      <c r="AA906">
        <v>25</v>
      </c>
      <c r="AB906" t="str">
        <f>IF(Table2[[#This Row],[TotalWorkingYears]]&lt;=5,"Early (0-5)",IF(Table2[[#This Row],[TotalWorkingYears]]&lt;=15,"Mid (6-15)","Senior (16+)"))</f>
        <v>Senior (16+)</v>
      </c>
      <c r="AC906">
        <v>3</v>
      </c>
      <c r="AD906">
        <v>4</v>
      </c>
      <c r="AE906" t="s">
        <v>63</v>
      </c>
      <c r="AF906">
        <v>0</v>
      </c>
      <c r="AG906">
        <v>0</v>
      </c>
      <c r="AH906">
        <v>0</v>
      </c>
    </row>
    <row r="907" spans="1:34" x14ac:dyDescent="0.3">
      <c r="A907" t="s">
        <v>59</v>
      </c>
      <c r="B907">
        <v>0</v>
      </c>
      <c r="C907" t="s">
        <v>32</v>
      </c>
      <c r="D907">
        <v>694</v>
      </c>
      <c r="E907" t="s">
        <v>40</v>
      </c>
      <c r="F907">
        <v>1</v>
      </c>
      <c r="G907" t="str">
        <f>IF(Table2[[#This Row],[DistanceFromHome]]&lt;=5, "short", IF(Table2[[#This Row],[DistanceFromHome]]&lt;=15, "medium", "long"))</f>
        <v>short</v>
      </c>
      <c r="H907">
        <v>3</v>
      </c>
      <c r="I907" t="s">
        <v>34</v>
      </c>
      <c r="J907">
        <v>1264</v>
      </c>
      <c r="K907">
        <v>4</v>
      </c>
      <c r="L907" t="s">
        <v>35</v>
      </c>
      <c r="M907">
        <v>87</v>
      </c>
      <c r="N907">
        <v>2</v>
      </c>
      <c r="O907">
        <v>4</v>
      </c>
      <c r="P907" t="s">
        <v>53</v>
      </c>
      <c r="Q907">
        <v>4</v>
      </c>
      <c r="R907" t="s">
        <v>47</v>
      </c>
      <c r="S907">
        <v>16124</v>
      </c>
      <c r="T907">
        <v>3423</v>
      </c>
      <c r="U907">
        <v>3</v>
      </c>
      <c r="V907" t="s">
        <v>38</v>
      </c>
      <c r="W907">
        <v>14</v>
      </c>
      <c r="X907">
        <v>3</v>
      </c>
      <c r="Y907">
        <v>2</v>
      </c>
      <c r="Z907">
        <v>2</v>
      </c>
      <c r="AA907">
        <v>9</v>
      </c>
      <c r="AB907" t="str">
        <f>IF(Table2[[#This Row],[TotalWorkingYears]]&lt;=5,"Early (0-5)",IF(Table2[[#This Row],[TotalWorkingYears]]&lt;=15,"Mid (6-15)","Senior (16+)"))</f>
        <v>Mid (6-15)</v>
      </c>
      <c r="AC907">
        <v>2</v>
      </c>
      <c r="AD907">
        <v>2</v>
      </c>
      <c r="AE907" t="s">
        <v>62</v>
      </c>
      <c r="AF907">
        <v>7</v>
      </c>
      <c r="AG907">
        <v>1</v>
      </c>
      <c r="AH907">
        <v>7</v>
      </c>
    </row>
    <row r="908" spans="1:34" x14ac:dyDescent="0.3">
      <c r="A908" t="s">
        <v>59</v>
      </c>
      <c r="B908">
        <v>0</v>
      </c>
      <c r="C908" t="s">
        <v>32</v>
      </c>
      <c r="D908">
        <v>1320</v>
      </c>
      <c r="E908" t="s">
        <v>40</v>
      </c>
      <c r="F908">
        <v>20</v>
      </c>
      <c r="G908" t="str">
        <f>IF(Table2[[#This Row],[DistanceFromHome]]&lt;=5, "short", IF(Table2[[#This Row],[DistanceFromHome]]&lt;=15, "medium", "long"))</f>
        <v>long</v>
      </c>
      <c r="H908">
        <v>3</v>
      </c>
      <c r="I908" t="s">
        <v>55</v>
      </c>
      <c r="J908">
        <v>1265</v>
      </c>
      <c r="K908">
        <v>3</v>
      </c>
      <c r="L908" t="s">
        <v>35</v>
      </c>
      <c r="M908">
        <v>89</v>
      </c>
      <c r="N908">
        <v>4</v>
      </c>
      <c r="O908">
        <v>1</v>
      </c>
      <c r="P908" t="s">
        <v>42</v>
      </c>
      <c r="Q908">
        <v>3</v>
      </c>
      <c r="R908" t="s">
        <v>43</v>
      </c>
      <c r="S908">
        <v>2585</v>
      </c>
      <c r="T908">
        <v>21643</v>
      </c>
      <c r="U908">
        <v>0</v>
      </c>
      <c r="V908" t="s">
        <v>38</v>
      </c>
      <c r="W908">
        <v>17</v>
      </c>
      <c r="X908">
        <v>3</v>
      </c>
      <c r="Y908">
        <v>4</v>
      </c>
      <c r="Z908">
        <v>0</v>
      </c>
      <c r="AA908">
        <v>2</v>
      </c>
      <c r="AB908" t="str">
        <f>IF(Table2[[#This Row],[TotalWorkingYears]]&lt;=5,"Early (0-5)",IF(Table2[[#This Row],[TotalWorkingYears]]&lt;=15,"Mid (6-15)","Senior (16+)"))</f>
        <v>Early (0-5)</v>
      </c>
      <c r="AC908">
        <v>5</v>
      </c>
      <c r="AD908">
        <v>2</v>
      </c>
      <c r="AE908" t="s">
        <v>63</v>
      </c>
      <c r="AF908">
        <v>0</v>
      </c>
      <c r="AG908">
        <v>0</v>
      </c>
      <c r="AH908">
        <v>0</v>
      </c>
    </row>
    <row r="909" spans="1:34" x14ac:dyDescent="0.3">
      <c r="A909" t="s">
        <v>57</v>
      </c>
      <c r="B909">
        <v>0</v>
      </c>
      <c r="C909" t="s">
        <v>32</v>
      </c>
      <c r="D909">
        <v>1099</v>
      </c>
      <c r="E909" t="s">
        <v>33</v>
      </c>
      <c r="F909">
        <v>5</v>
      </c>
      <c r="G909" t="str">
        <f>IF(Table2[[#This Row],[DistanceFromHome]]&lt;=5, "short", IF(Table2[[#This Row],[DistanceFromHome]]&lt;=15, "medium", "long"))</f>
        <v>short</v>
      </c>
      <c r="H909">
        <v>3</v>
      </c>
      <c r="I909" t="s">
        <v>54</v>
      </c>
      <c r="J909">
        <v>1267</v>
      </c>
      <c r="K909">
        <v>2</v>
      </c>
      <c r="L909" t="s">
        <v>41</v>
      </c>
      <c r="M909">
        <v>88</v>
      </c>
      <c r="N909">
        <v>3</v>
      </c>
      <c r="O909">
        <v>5</v>
      </c>
      <c r="P909" t="s">
        <v>51</v>
      </c>
      <c r="Q909">
        <v>2</v>
      </c>
      <c r="R909" t="s">
        <v>43</v>
      </c>
      <c r="S909">
        <v>18213</v>
      </c>
      <c r="T909">
        <v>8751</v>
      </c>
      <c r="U909">
        <v>7</v>
      </c>
      <c r="V909" t="s">
        <v>38</v>
      </c>
      <c r="W909">
        <v>11</v>
      </c>
      <c r="X909">
        <v>3</v>
      </c>
      <c r="Y909">
        <v>3</v>
      </c>
      <c r="Z909">
        <v>1</v>
      </c>
      <c r="AA909">
        <v>26</v>
      </c>
      <c r="AB909" t="str">
        <f>IF(Table2[[#This Row],[TotalWorkingYears]]&lt;=5,"Early (0-5)",IF(Table2[[#This Row],[TotalWorkingYears]]&lt;=15,"Mid (6-15)","Senior (16+)"))</f>
        <v>Senior (16+)</v>
      </c>
      <c r="AC909">
        <v>5</v>
      </c>
      <c r="AD909">
        <v>3</v>
      </c>
      <c r="AE909" t="s">
        <v>65</v>
      </c>
      <c r="AF909">
        <v>9</v>
      </c>
      <c r="AG909">
        <v>3</v>
      </c>
      <c r="AH909">
        <v>10</v>
      </c>
    </row>
    <row r="910" spans="1:34" x14ac:dyDescent="0.3">
      <c r="A910" t="s">
        <v>59</v>
      </c>
      <c r="B910">
        <v>0</v>
      </c>
      <c r="C910" t="s">
        <v>32</v>
      </c>
      <c r="D910">
        <v>536</v>
      </c>
      <c r="E910" t="s">
        <v>33</v>
      </c>
      <c r="F910">
        <v>10</v>
      </c>
      <c r="G910" t="str">
        <f>IF(Table2[[#This Row],[DistanceFromHome]]&lt;=5, "short", IF(Table2[[#This Row],[DistanceFromHome]]&lt;=15, "medium", "long"))</f>
        <v>medium</v>
      </c>
      <c r="H910">
        <v>5</v>
      </c>
      <c r="I910" t="s">
        <v>54</v>
      </c>
      <c r="J910">
        <v>1268</v>
      </c>
      <c r="K910">
        <v>4</v>
      </c>
      <c r="L910" t="s">
        <v>41</v>
      </c>
      <c r="M910">
        <v>82</v>
      </c>
      <c r="N910">
        <v>4</v>
      </c>
      <c r="O910">
        <v>3</v>
      </c>
      <c r="P910" t="s">
        <v>36</v>
      </c>
      <c r="Q910">
        <v>3</v>
      </c>
      <c r="R910" t="s">
        <v>47</v>
      </c>
      <c r="S910">
        <v>8380</v>
      </c>
      <c r="T910">
        <v>21708</v>
      </c>
      <c r="U910">
        <v>0</v>
      </c>
      <c r="V910" t="s">
        <v>31</v>
      </c>
      <c r="W910">
        <v>14</v>
      </c>
      <c r="X910">
        <v>3</v>
      </c>
      <c r="Y910">
        <v>4</v>
      </c>
      <c r="Z910">
        <v>2</v>
      </c>
      <c r="AA910">
        <v>10</v>
      </c>
      <c r="AB910" t="str">
        <f>IF(Table2[[#This Row],[TotalWorkingYears]]&lt;=5,"Early (0-5)",IF(Table2[[#This Row],[TotalWorkingYears]]&lt;=15,"Mid (6-15)","Senior (16+)"))</f>
        <v>Mid (6-15)</v>
      </c>
      <c r="AC910">
        <v>3</v>
      </c>
      <c r="AD910">
        <v>3</v>
      </c>
      <c r="AE910" t="s">
        <v>62</v>
      </c>
      <c r="AF910">
        <v>8</v>
      </c>
      <c r="AG910">
        <v>0</v>
      </c>
      <c r="AH910">
        <v>8</v>
      </c>
    </row>
    <row r="911" spans="1:34" x14ac:dyDescent="0.3">
      <c r="A911" t="s">
        <v>60</v>
      </c>
      <c r="B911">
        <v>0</v>
      </c>
      <c r="C911" t="s">
        <v>32</v>
      </c>
      <c r="D911">
        <v>265</v>
      </c>
      <c r="E911" t="s">
        <v>40</v>
      </c>
      <c r="F911">
        <v>25</v>
      </c>
      <c r="G911" t="str">
        <f>IF(Table2[[#This Row],[DistanceFromHome]]&lt;=5, "short", IF(Table2[[#This Row],[DistanceFromHome]]&lt;=15, "medium", "long"))</f>
        <v>long</v>
      </c>
      <c r="H911">
        <v>3</v>
      </c>
      <c r="I911" t="s">
        <v>34</v>
      </c>
      <c r="J911">
        <v>1269</v>
      </c>
      <c r="K911">
        <v>2</v>
      </c>
      <c r="L911" t="s">
        <v>35</v>
      </c>
      <c r="M911">
        <v>57</v>
      </c>
      <c r="N911">
        <v>4</v>
      </c>
      <c r="O911">
        <v>1</v>
      </c>
      <c r="P911" t="s">
        <v>42</v>
      </c>
      <c r="Q911">
        <v>4</v>
      </c>
      <c r="R911" t="s">
        <v>37</v>
      </c>
      <c r="S911">
        <v>2994</v>
      </c>
      <c r="T911">
        <v>21221</v>
      </c>
      <c r="U911">
        <v>1</v>
      </c>
      <c r="V911" t="s">
        <v>31</v>
      </c>
      <c r="W911">
        <v>12</v>
      </c>
      <c r="X911">
        <v>3</v>
      </c>
      <c r="Y911">
        <v>4</v>
      </c>
      <c r="Z911">
        <v>0</v>
      </c>
      <c r="AA911">
        <v>1</v>
      </c>
      <c r="AB911" t="str">
        <f>IF(Table2[[#This Row],[TotalWorkingYears]]&lt;=5,"Early (0-5)",IF(Table2[[#This Row],[TotalWorkingYears]]&lt;=15,"Mid (6-15)","Senior (16+)"))</f>
        <v>Early (0-5)</v>
      </c>
      <c r="AC911">
        <v>2</v>
      </c>
      <c r="AD911">
        <v>3</v>
      </c>
      <c r="AE911" t="s">
        <v>63</v>
      </c>
      <c r="AF911">
        <v>0</v>
      </c>
      <c r="AG911">
        <v>0</v>
      </c>
      <c r="AH911">
        <v>1</v>
      </c>
    </row>
    <row r="912" spans="1:34" x14ac:dyDescent="0.3">
      <c r="A912" t="s">
        <v>60</v>
      </c>
      <c r="B912">
        <v>0</v>
      </c>
      <c r="C912" t="s">
        <v>32</v>
      </c>
      <c r="D912">
        <v>373</v>
      </c>
      <c r="E912" t="s">
        <v>40</v>
      </c>
      <c r="F912">
        <v>1</v>
      </c>
      <c r="G912" t="str">
        <f>IF(Table2[[#This Row],[DistanceFromHome]]&lt;=5, "short", IF(Table2[[#This Row],[DistanceFromHome]]&lt;=15, "medium", "long"))</f>
        <v>short</v>
      </c>
      <c r="H912">
        <v>2</v>
      </c>
      <c r="I912" t="s">
        <v>34</v>
      </c>
      <c r="J912">
        <v>1270</v>
      </c>
      <c r="K912">
        <v>4</v>
      </c>
      <c r="L912" t="s">
        <v>41</v>
      </c>
      <c r="M912">
        <v>47</v>
      </c>
      <c r="N912">
        <v>3</v>
      </c>
      <c r="O912">
        <v>1</v>
      </c>
      <c r="P912" t="s">
        <v>42</v>
      </c>
      <c r="Q912">
        <v>3</v>
      </c>
      <c r="R912" t="s">
        <v>43</v>
      </c>
      <c r="S912">
        <v>1223</v>
      </c>
      <c r="T912">
        <v>16901</v>
      </c>
      <c r="U912">
        <v>1</v>
      </c>
      <c r="V912" t="s">
        <v>38</v>
      </c>
      <c r="W912">
        <v>22</v>
      </c>
      <c r="X912">
        <v>4</v>
      </c>
      <c r="Y912">
        <v>4</v>
      </c>
      <c r="Z912">
        <v>1</v>
      </c>
      <c r="AA912">
        <v>1</v>
      </c>
      <c r="AB912" t="str">
        <f>IF(Table2[[#This Row],[TotalWorkingYears]]&lt;=5,"Early (0-5)",IF(Table2[[#This Row],[TotalWorkingYears]]&lt;=15,"Mid (6-15)","Senior (16+)"))</f>
        <v>Early (0-5)</v>
      </c>
      <c r="AC912">
        <v>2</v>
      </c>
      <c r="AD912">
        <v>3</v>
      </c>
      <c r="AE912" t="s">
        <v>63</v>
      </c>
      <c r="AF912">
        <v>0</v>
      </c>
      <c r="AG912">
        <v>0</v>
      </c>
      <c r="AH912">
        <v>1</v>
      </c>
    </row>
    <row r="913" spans="1:34" x14ac:dyDescent="0.3">
      <c r="A913" t="s">
        <v>60</v>
      </c>
      <c r="B913">
        <v>1</v>
      </c>
      <c r="C913" t="s">
        <v>39</v>
      </c>
      <c r="D913">
        <v>599</v>
      </c>
      <c r="E913" t="s">
        <v>33</v>
      </c>
      <c r="F913">
        <v>24</v>
      </c>
      <c r="G913" t="str">
        <f>IF(Table2[[#This Row],[DistanceFromHome]]&lt;=5, "short", IF(Table2[[#This Row],[DistanceFromHome]]&lt;=15, "medium", "long"))</f>
        <v>long</v>
      </c>
      <c r="H913">
        <v>1</v>
      </c>
      <c r="I913" t="s">
        <v>34</v>
      </c>
      <c r="J913">
        <v>1273</v>
      </c>
      <c r="K913">
        <v>3</v>
      </c>
      <c r="L913" t="s">
        <v>41</v>
      </c>
      <c r="M913">
        <v>73</v>
      </c>
      <c r="N913">
        <v>1</v>
      </c>
      <c r="O913">
        <v>1</v>
      </c>
      <c r="P913" t="s">
        <v>52</v>
      </c>
      <c r="Q913">
        <v>4</v>
      </c>
      <c r="R913" t="s">
        <v>37</v>
      </c>
      <c r="S913">
        <v>1118</v>
      </c>
      <c r="T913">
        <v>8040</v>
      </c>
      <c r="U913">
        <v>1</v>
      </c>
      <c r="V913" t="s">
        <v>31</v>
      </c>
      <c r="W913">
        <v>14</v>
      </c>
      <c r="X913">
        <v>3</v>
      </c>
      <c r="Y913">
        <v>4</v>
      </c>
      <c r="Z913">
        <v>0</v>
      </c>
      <c r="AA913">
        <v>1</v>
      </c>
      <c r="AB913" t="str">
        <f>IF(Table2[[#This Row],[TotalWorkingYears]]&lt;=5,"Early (0-5)",IF(Table2[[#This Row],[TotalWorkingYears]]&lt;=15,"Mid (6-15)","Senior (16+)"))</f>
        <v>Early (0-5)</v>
      </c>
      <c r="AC913">
        <v>4</v>
      </c>
      <c r="AD913">
        <v>3</v>
      </c>
      <c r="AE913" t="s">
        <v>63</v>
      </c>
      <c r="AF913">
        <v>0</v>
      </c>
      <c r="AG913">
        <v>1</v>
      </c>
      <c r="AH913">
        <v>0</v>
      </c>
    </row>
    <row r="914" spans="1:34" x14ac:dyDescent="0.3">
      <c r="A914" t="s">
        <v>59</v>
      </c>
      <c r="B914">
        <v>0</v>
      </c>
      <c r="C914" t="s">
        <v>32</v>
      </c>
      <c r="D914">
        <v>583</v>
      </c>
      <c r="E914" t="s">
        <v>40</v>
      </c>
      <c r="F914">
        <v>4</v>
      </c>
      <c r="G914" t="str">
        <f>IF(Table2[[#This Row],[DistanceFromHome]]&lt;=5, "short", IF(Table2[[#This Row],[DistanceFromHome]]&lt;=15, "medium", "long"))</f>
        <v>short</v>
      </c>
      <c r="H914">
        <v>2</v>
      </c>
      <c r="I914" t="s">
        <v>34</v>
      </c>
      <c r="J914">
        <v>1275</v>
      </c>
      <c r="K914">
        <v>3</v>
      </c>
      <c r="L914" t="s">
        <v>41</v>
      </c>
      <c r="M914">
        <v>53</v>
      </c>
      <c r="N914">
        <v>3</v>
      </c>
      <c r="O914">
        <v>1</v>
      </c>
      <c r="P914" t="s">
        <v>42</v>
      </c>
      <c r="Q914">
        <v>4</v>
      </c>
      <c r="R914" t="s">
        <v>37</v>
      </c>
      <c r="S914">
        <v>2875</v>
      </c>
      <c r="T914">
        <v>9973</v>
      </c>
      <c r="U914">
        <v>1</v>
      </c>
      <c r="V914" t="s">
        <v>31</v>
      </c>
      <c r="W914">
        <v>20</v>
      </c>
      <c r="X914">
        <v>4</v>
      </c>
      <c r="Y914">
        <v>2</v>
      </c>
      <c r="Z914">
        <v>0</v>
      </c>
      <c r="AA914">
        <v>8</v>
      </c>
      <c r="AB914" t="str">
        <f>IF(Table2[[#This Row],[TotalWorkingYears]]&lt;=5,"Early (0-5)",IF(Table2[[#This Row],[TotalWorkingYears]]&lt;=15,"Mid (6-15)","Senior (16+)"))</f>
        <v>Mid (6-15)</v>
      </c>
      <c r="AC914">
        <v>2</v>
      </c>
      <c r="AD914">
        <v>2</v>
      </c>
      <c r="AE914" t="s">
        <v>62</v>
      </c>
      <c r="AF914">
        <v>5</v>
      </c>
      <c r="AG914">
        <v>2</v>
      </c>
      <c r="AH914">
        <v>2</v>
      </c>
    </row>
    <row r="915" spans="1:34" x14ac:dyDescent="0.3">
      <c r="A915" t="s">
        <v>57</v>
      </c>
      <c r="B915">
        <v>1</v>
      </c>
      <c r="C915" t="s">
        <v>32</v>
      </c>
      <c r="D915">
        <v>1449</v>
      </c>
      <c r="E915" t="s">
        <v>33</v>
      </c>
      <c r="F915">
        <v>2</v>
      </c>
      <c r="G915" t="str">
        <f>IF(Table2[[#This Row],[DistanceFromHome]]&lt;=5, "short", IF(Table2[[#This Row],[DistanceFromHome]]&lt;=15, "medium", "long"))</f>
        <v>short</v>
      </c>
      <c r="H915">
        <v>3</v>
      </c>
      <c r="I915" t="s">
        <v>54</v>
      </c>
      <c r="J915">
        <v>1277</v>
      </c>
      <c r="K915">
        <v>1</v>
      </c>
      <c r="L915" t="s">
        <v>35</v>
      </c>
      <c r="M915">
        <v>94</v>
      </c>
      <c r="N915">
        <v>1</v>
      </c>
      <c r="O915">
        <v>5</v>
      </c>
      <c r="P915" t="s">
        <v>51</v>
      </c>
      <c r="Q915">
        <v>2</v>
      </c>
      <c r="R915" t="s">
        <v>37</v>
      </c>
      <c r="S915">
        <v>18824</v>
      </c>
      <c r="T915">
        <v>2493</v>
      </c>
      <c r="U915">
        <v>2</v>
      </c>
      <c r="V915" t="s">
        <v>31</v>
      </c>
      <c r="W915">
        <v>16</v>
      </c>
      <c r="X915">
        <v>3</v>
      </c>
      <c r="Y915">
        <v>1</v>
      </c>
      <c r="Z915">
        <v>0</v>
      </c>
      <c r="AA915">
        <v>26</v>
      </c>
      <c r="AB915" t="str">
        <f>IF(Table2[[#This Row],[TotalWorkingYears]]&lt;=5,"Early (0-5)",IF(Table2[[#This Row],[TotalWorkingYears]]&lt;=15,"Mid (6-15)","Senior (16+)"))</f>
        <v>Senior (16+)</v>
      </c>
      <c r="AC915">
        <v>2</v>
      </c>
      <c r="AD915">
        <v>3</v>
      </c>
      <c r="AE915" t="s">
        <v>65</v>
      </c>
      <c r="AF915">
        <v>10</v>
      </c>
      <c r="AG915">
        <v>1</v>
      </c>
      <c r="AH915">
        <v>11</v>
      </c>
    </row>
    <row r="916" spans="1:34" x14ac:dyDescent="0.3">
      <c r="A916" t="s">
        <v>58</v>
      </c>
      <c r="B916">
        <v>0</v>
      </c>
      <c r="C916" t="s">
        <v>50</v>
      </c>
      <c r="D916">
        <v>177</v>
      </c>
      <c r="E916" t="s">
        <v>40</v>
      </c>
      <c r="F916">
        <v>8</v>
      </c>
      <c r="G916" t="str">
        <f>IF(Table2[[#This Row],[DistanceFromHome]]&lt;=5, "short", IF(Table2[[#This Row],[DistanceFromHome]]&lt;=15, "medium", "long"))</f>
        <v>medium</v>
      </c>
      <c r="H916">
        <v>1</v>
      </c>
      <c r="I916" t="s">
        <v>46</v>
      </c>
      <c r="J916">
        <v>1278</v>
      </c>
      <c r="K916">
        <v>4</v>
      </c>
      <c r="L916" t="s">
        <v>41</v>
      </c>
      <c r="M916">
        <v>37</v>
      </c>
      <c r="N916">
        <v>2</v>
      </c>
      <c r="O916">
        <v>4</v>
      </c>
      <c r="P916" t="s">
        <v>49</v>
      </c>
      <c r="Q916">
        <v>2</v>
      </c>
      <c r="R916" t="s">
        <v>47</v>
      </c>
      <c r="S916">
        <v>13577</v>
      </c>
      <c r="T916">
        <v>25592</v>
      </c>
      <c r="U916">
        <v>1</v>
      </c>
      <c r="V916" t="s">
        <v>31</v>
      </c>
      <c r="W916">
        <v>15</v>
      </c>
      <c r="X916">
        <v>3</v>
      </c>
      <c r="Y916">
        <v>4</v>
      </c>
      <c r="Z916">
        <v>1</v>
      </c>
      <c r="AA916">
        <v>34</v>
      </c>
      <c r="AB916" t="str">
        <f>IF(Table2[[#This Row],[TotalWorkingYears]]&lt;=5,"Early (0-5)",IF(Table2[[#This Row],[TotalWorkingYears]]&lt;=15,"Mid (6-15)","Senior (16+)"))</f>
        <v>Senior (16+)</v>
      </c>
      <c r="AC916">
        <v>3</v>
      </c>
      <c r="AD916">
        <v>3</v>
      </c>
      <c r="AE916" t="s">
        <v>65</v>
      </c>
      <c r="AF916">
        <v>9</v>
      </c>
      <c r="AG916">
        <v>15</v>
      </c>
      <c r="AH916">
        <v>0</v>
      </c>
    </row>
    <row r="917" spans="1:34" x14ac:dyDescent="0.3">
      <c r="A917" t="s">
        <v>60</v>
      </c>
      <c r="B917">
        <v>1</v>
      </c>
      <c r="C917" t="s">
        <v>39</v>
      </c>
      <c r="D917">
        <v>251</v>
      </c>
      <c r="E917" t="s">
        <v>40</v>
      </c>
      <c r="F917">
        <v>10</v>
      </c>
      <c r="G917" t="str">
        <f>IF(Table2[[#This Row],[DistanceFromHome]]&lt;=5, "short", IF(Table2[[#This Row],[DistanceFromHome]]&lt;=15, "medium", "long"))</f>
        <v>medium</v>
      </c>
      <c r="H917">
        <v>2</v>
      </c>
      <c r="I917" t="s">
        <v>34</v>
      </c>
      <c r="J917">
        <v>1279</v>
      </c>
      <c r="K917">
        <v>1</v>
      </c>
      <c r="L917" t="s">
        <v>35</v>
      </c>
      <c r="M917">
        <v>45</v>
      </c>
      <c r="N917">
        <v>2</v>
      </c>
      <c r="O917">
        <v>1</v>
      </c>
      <c r="P917" t="s">
        <v>45</v>
      </c>
      <c r="Q917">
        <v>3</v>
      </c>
      <c r="R917" t="s">
        <v>37</v>
      </c>
      <c r="S917">
        <v>2625</v>
      </c>
      <c r="T917">
        <v>25308</v>
      </c>
      <c r="U917">
        <v>1</v>
      </c>
      <c r="V917" t="s">
        <v>38</v>
      </c>
      <c r="W917">
        <v>20</v>
      </c>
      <c r="X917">
        <v>4</v>
      </c>
      <c r="Y917">
        <v>3</v>
      </c>
      <c r="Z917">
        <v>0</v>
      </c>
      <c r="AA917">
        <v>2</v>
      </c>
      <c r="AB917" t="str">
        <f>IF(Table2[[#This Row],[TotalWorkingYears]]&lt;=5,"Early (0-5)",IF(Table2[[#This Row],[TotalWorkingYears]]&lt;=15,"Mid (6-15)","Senior (16+)"))</f>
        <v>Early (0-5)</v>
      </c>
      <c r="AC917">
        <v>2</v>
      </c>
      <c r="AD917">
        <v>1</v>
      </c>
      <c r="AE917" t="s">
        <v>63</v>
      </c>
      <c r="AF917">
        <v>2</v>
      </c>
      <c r="AG917">
        <v>2</v>
      </c>
      <c r="AH917">
        <v>2</v>
      </c>
    </row>
    <row r="918" spans="1:34" x14ac:dyDescent="0.3">
      <c r="A918" t="s">
        <v>58</v>
      </c>
      <c r="B918">
        <v>0</v>
      </c>
      <c r="C918" t="s">
        <v>32</v>
      </c>
      <c r="D918">
        <v>168</v>
      </c>
      <c r="E918" t="s">
        <v>33</v>
      </c>
      <c r="F918">
        <v>4</v>
      </c>
      <c r="G918" t="str">
        <f>IF(Table2[[#This Row],[DistanceFromHome]]&lt;=5, "short", IF(Table2[[#This Row],[DistanceFromHome]]&lt;=15, "medium", "long"))</f>
        <v>short</v>
      </c>
      <c r="H918">
        <v>2</v>
      </c>
      <c r="I918" t="s">
        <v>54</v>
      </c>
      <c r="J918">
        <v>1280</v>
      </c>
      <c r="K918">
        <v>4</v>
      </c>
      <c r="L918" t="s">
        <v>35</v>
      </c>
      <c r="M918">
        <v>33</v>
      </c>
      <c r="N918">
        <v>2</v>
      </c>
      <c r="O918">
        <v>5</v>
      </c>
      <c r="P918" t="s">
        <v>51</v>
      </c>
      <c r="Q918">
        <v>2</v>
      </c>
      <c r="R918" t="s">
        <v>43</v>
      </c>
      <c r="S918">
        <v>18789</v>
      </c>
      <c r="T918">
        <v>9946</v>
      </c>
      <c r="U918">
        <v>2</v>
      </c>
      <c r="V918" t="s">
        <v>38</v>
      </c>
      <c r="W918">
        <v>14</v>
      </c>
      <c r="X918">
        <v>3</v>
      </c>
      <c r="Y918">
        <v>3</v>
      </c>
      <c r="Z918">
        <v>1</v>
      </c>
      <c r="AA918">
        <v>26</v>
      </c>
      <c r="AB918" t="str">
        <f>IF(Table2[[#This Row],[TotalWorkingYears]]&lt;=5,"Early (0-5)",IF(Table2[[#This Row],[TotalWorkingYears]]&lt;=15,"Mid (6-15)","Senior (16+)"))</f>
        <v>Senior (16+)</v>
      </c>
      <c r="AC918">
        <v>2</v>
      </c>
      <c r="AD918">
        <v>3</v>
      </c>
      <c r="AE918" t="s">
        <v>65</v>
      </c>
      <c r="AF918">
        <v>4</v>
      </c>
      <c r="AG918">
        <v>0</v>
      </c>
      <c r="AH918">
        <v>8</v>
      </c>
    </row>
    <row r="919" spans="1:34" x14ac:dyDescent="0.3">
      <c r="A919" t="s">
        <v>59</v>
      </c>
      <c r="B919">
        <v>0</v>
      </c>
      <c r="C919" t="s">
        <v>32</v>
      </c>
      <c r="D919">
        <v>131</v>
      </c>
      <c r="E919" t="s">
        <v>33</v>
      </c>
      <c r="F919">
        <v>2</v>
      </c>
      <c r="G919" t="str">
        <f>IF(Table2[[#This Row],[DistanceFromHome]]&lt;=5, "short", IF(Table2[[#This Row],[DistanceFromHome]]&lt;=15, "medium", "long"))</f>
        <v>short</v>
      </c>
      <c r="H919">
        <v>3</v>
      </c>
      <c r="I919" t="s">
        <v>54</v>
      </c>
      <c r="J919">
        <v>1281</v>
      </c>
      <c r="K919">
        <v>3</v>
      </c>
      <c r="L919" t="s">
        <v>35</v>
      </c>
      <c r="M919">
        <v>86</v>
      </c>
      <c r="N919">
        <v>3</v>
      </c>
      <c r="O919">
        <v>2</v>
      </c>
      <c r="P919" t="s">
        <v>36</v>
      </c>
      <c r="Q919">
        <v>1</v>
      </c>
      <c r="R919" t="s">
        <v>37</v>
      </c>
      <c r="S919">
        <v>4538</v>
      </c>
      <c r="T919">
        <v>6039</v>
      </c>
      <c r="U919">
        <v>0</v>
      </c>
      <c r="V919" t="s">
        <v>31</v>
      </c>
      <c r="W919">
        <v>12</v>
      </c>
      <c r="X919">
        <v>3</v>
      </c>
      <c r="Y919">
        <v>4</v>
      </c>
      <c r="Z919">
        <v>0</v>
      </c>
      <c r="AA919">
        <v>4</v>
      </c>
      <c r="AB919" t="str">
        <f>IF(Table2[[#This Row],[TotalWorkingYears]]&lt;=5,"Early (0-5)",IF(Table2[[#This Row],[TotalWorkingYears]]&lt;=15,"Mid (6-15)","Senior (16+)"))</f>
        <v>Early (0-5)</v>
      </c>
      <c r="AC919">
        <v>3</v>
      </c>
      <c r="AD919">
        <v>3</v>
      </c>
      <c r="AE919" t="s">
        <v>64</v>
      </c>
      <c r="AF919">
        <v>2</v>
      </c>
      <c r="AG919">
        <v>0</v>
      </c>
      <c r="AH919">
        <v>2</v>
      </c>
    </row>
    <row r="920" spans="1:34" x14ac:dyDescent="0.3">
      <c r="A920" t="s">
        <v>58</v>
      </c>
      <c r="B920">
        <v>0</v>
      </c>
      <c r="C920" t="s">
        <v>39</v>
      </c>
      <c r="D920">
        <v>237</v>
      </c>
      <c r="E920" t="s">
        <v>33</v>
      </c>
      <c r="F920">
        <v>9</v>
      </c>
      <c r="G920" t="str">
        <f>IF(Table2[[#This Row],[DistanceFromHome]]&lt;=5, "short", IF(Table2[[#This Row],[DistanceFromHome]]&lt;=15, "medium", "long"))</f>
        <v>medium</v>
      </c>
      <c r="H920">
        <v>3</v>
      </c>
      <c r="I920" t="s">
        <v>34</v>
      </c>
      <c r="J920">
        <v>1282</v>
      </c>
      <c r="K920">
        <v>4</v>
      </c>
      <c r="L920" t="s">
        <v>41</v>
      </c>
      <c r="M920">
        <v>83</v>
      </c>
      <c r="N920">
        <v>3</v>
      </c>
      <c r="O920">
        <v>5</v>
      </c>
      <c r="P920" t="s">
        <v>51</v>
      </c>
      <c r="Q920">
        <v>2</v>
      </c>
      <c r="R920" t="s">
        <v>47</v>
      </c>
      <c r="S920">
        <v>19847</v>
      </c>
      <c r="T920">
        <v>19196</v>
      </c>
      <c r="U920">
        <v>4</v>
      </c>
      <c r="V920" t="s">
        <v>31</v>
      </c>
      <c r="W920">
        <v>24</v>
      </c>
      <c r="X920">
        <v>4</v>
      </c>
      <c r="Y920">
        <v>1</v>
      </c>
      <c r="Z920">
        <v>1</v>
      </c>
      <c r="AA920">
        <v>31</v>
      </c>
      <c r="AB920" t="str">
        <f>IF(Table2[[#This Row],[TotalWorkingYears]]&lt;=5,"Early (0-5)",IF(Table2[[#This Row],[TotalWorkingYears]]&lt;=15,"Mid (6-15)","Senior (16+)"))</f>
        <v>Senior (16+)</v>
      </c>
      <c r="AC920">
        <v>5</v>
      </c>
      <c r="AD920">
        <v>2</v>
      </c>
      <c r="AE920" t="s">
        <v>65</v>
      </c>
      <c r="AF920">
        <v>10</v>
      </c>
      <c r="AG920">
        <v>11</v>
      </c>
      <c r="AH920">
        <v>10</v>
      </c>
    </row>
    <row r="921" spans="1:34" x14ac:dyDescent="0.3">
      <c r="A921" t="s">
        <v>58</v>
      </c>
      <c r="B921">
        <v>0</v>
      </c>
      <c r="C921" t="s">
        <v>32</v>
      </c>
      <c r="D921">
        <v>1429</v>
      </c>
      <c r="E921" t="s">
        <v>40</v>
      </c>
      <c r="F921">
        <v>18</v>
      </c>
      <c r="G921" t="str">
        <f>IF(Table2[[#This Row],[DistanceFromHome]]&lt;=5, "short", IF(Table2[[#This Row],[DistanceFromHome]]&lt;=15, "medium", "long"))</f>
        <v>long</v>
      </c>
      <c r="H921">
        <v>4</v>
      </c>
      <c r="I921" t="s">
        <v>46</v>
      </c>
      <c r="J921">
        <v>1283</v>
      </c>
      <c r="K921">
        <v>4</v>
      </c>
      <c r="L921" t="s">
        <v>41</v>
      </c>
      <c r="M921">
        <v>67</v>
      </c>
      <c r="N921">
        <v>3</v>
      </c>
      <c r="O921">
        <v>3</v>
      </c>
      <c r="P921" t="s">
        <v>48</v>
      </c>
      <c r="Q921">
        <v>4</v>
      </c>
      <c r="R921" t="s">
        <v>37</v>
      </c>
      <c r="S921">
        <v>10512</v>
      </c>
      <c r="T921">
        <v>20002</v>
      </c>
      <c r="U921">
        <v>6</v>
      </c>
      <c r="V921" t="s">
        <v>38</v>
      </c>
      <c r="W921">
        <v>12</v>
      </c>
      <c r="X921">
        <v>3</v>
      </c>
      <c r="Y921">
        <v>4</v>
      </c>
      <c r="Z921">
        <v>0</v>
      </c>
      <c r="AA921">
        <v>25</v>
      </c>
      <c r="AB921" t="str">
        <f>IF(Table2[[#This Row],[TotalWorkingYears]]&lt;=5,"Early (0-5)",IF(Table2[[#This Row],[TotalWorkingYears]]&lt;=15,"Mid (6-15)","Senior (16+)"))</f>
        <v>Senior (16+)</v>
      </c>
      <c r="AC921">
        <v>6</v>
      </c>
      <c r="AD921">
        <v>2</v>
      </c>
      <c r="AE921" t="s">
        <v>62</v>
      </c>
      <c r="AF921">
        <v>7</v>
      </c>
      <c r="AG921">
        <v>5</v>
      </c>
      <c r="AH921">
        <v>4</v>
      </c>
    </row>
    <row r="922" spans="1:34" x14ac:dyDescent="0.3">
      <c r="A922" t="s">
        <v>59</v>
      </c>
      <c r="B922">
        <v>0</v>
      </c>
      <c r="C922" t="s">
        <v>39</v>
      </c>
      <c r="D922">
        <v>135</v>
      </c>
      <c r="E922" t="s">
        <v>40</v>
      </c>
      <c r="F922">
        <v>19</v>
      </c>
      <c r="G922" t="str">
        <f>IF(Table2[[#This Row],[DistanceFromHome]]&lt;=5, "short", IF(Table2[[#This Row],[DistanceFromHome]]&lt;=15, "medium", "long"))</f>
        <v>long</v>
      </c>
      <c r="H922">
        <v>3</v>
      </c>
      <c r="I922" t="s">
        <v>46</v>
      </c>
      <c r="J922">
        <v>1285</v>
      </c>
      <c r="K922">
        <v>3</v>
      </c>
      <c r="L922" t="s">
        <v>35</v>
      </c>
      <c r="M922">
        <v>46</v>
      </c>
      <c r="N922">
        <v>3</v>
      </c>
      <c r="O922">
        <v>2</v>
      </c>
      <c r="P922" t="s">
        <v>45</v>
      </c>
      <c r="Q922">
        <v>2</v>
      </c>
      <c r="R922" t="s">
        <v>47</v>
      </c>
      <c r="S922">
        <v>4444</v>
      </c>
      <c r="T922">
        <v>22534</v>
      </c>
      <c r="U922">
        <v>4</v>
      </c>
      <c r="V922" t="s">
        <v>38</v>
      </c>
      <c r="W922">
        <v>13</v>
      </c>
      <c r="X922">
        <v>3</v>
      </c>
      <c r="Y922">
        <v>3</v>
      </c>
      <c r="Z922">
        <v>2</v>
      </c>
      <c r="AA922">
        <v>15</v>
      </c>
      <c r="AB922" t="str">
        <f>IF(Table2[[#This Row],[TotalWorkingYears]]&lt;=5,"Early (0-5)",IF(Table2[[#This Row],[TotalWorkingYears]]&lt;=15,"Mid (6-15)","Senior (16+)"))</f>
        <v>Mid (6-15)</v>
      </c>
      <c r="AC922">
        <v>2</v>
      </c>
      <c r="AD922">
        <v>4</v>
      </c>
      <c r="AE922" t="s">
        <v>65</v>
      </c>
      <c r="AF922">
        <v>8</v>
      </c>
      <c r="AG922">
        <v>5</v>
      </c>
      <c r="AH922">
        <v>10</v>
      </c>
    </row>
    <row r="923" spans="1:34" x14ac:dyDescent="0.3">
      <c r="A923" t="s">
        <v>59</v>
      </c>
      <c r="B923">
        <v>0</v>
      </c>
      <c r="C923" t="s">
        <v>39</v>
      </c>
      <c r="D923">
        <v>791</v>
      </c>
      <c r="E923" t="s">
        <v>40</v>
      </c>
      <c r="F923">
        <v>1</v>
      </c>
      <c r="G923" t="str">
        <f>IF(Table2[[#This Row],[DistanceFromHome]]&lt;=5, "short", IF(Table2[[#This Row],[DistanceFromHome]]&lt;=15, "medium", "long"))</f>
        <v>short</v>
      </c>
      <c r="H923">
        <v>4</v>
      </c>
      <c r="I923" t="s">
        <v>46</v>
      </c>
      <c r="J923">
        <v>1286</v>
      </c>
      <c r="K923">
        <v>4</v>
      </c>
      <c r="L923" t="s">
        <v>41</v>
      </c>
      <c r="M923">
        <v>44</v>
      </c>
      <c r="N923">
        <v>3</v>
      </c>
      <c r="O923">
        <v>1</v>
      </c>
      <c r="P923" t="s">
        <v>45</v>
      </c>
      <c r="Q923">
        <v>3</v>
      </c>
      <c r="R923" t="s">
        <v>37</v>
      </c>
      <c r="S923">
        <v>2154</v>
      </c>
      <c r="T923">
        <v>6842</v>
      </c>
      <c r="U923">
        <v>0</v>
      </c>
      <c r="V923" t="s">
        <v>31</v>
      </c>
      <c r="W923">
        <v>11</v>
      </c>
      <c r="X923">
        <v>3</v>
      </c>
      <c r="Y923">
        <v>3</v>
      </c>
      <c r="Z923">
        <v>0</v>
      </c>
      <c r="AA923">
        <v>5</v>
      </c>
      <c r="AB923" t="str">
        <f>IF(Table2[[#This Row],[TotalWorkingYears]]&lt;=5,"Early (0-5)",IF(Table2[[#This Row],[TotalWorkingYears]]&lt;=15,"Mid (6-15)","Senior (16+)"))</f>
        <v>Early (0-5)</v>
      </c>
      <c r="AC923">
        <v>2</v>
      </c>
      <c r="AD923">
        <v>2</v>
      </c>
      <c r="AE923" t="s">
        <v>64</v>
      </c>
      <c r="AF923">
        <v>2</v>
      </c>
      <c r="AG923">
        <v>0</v>
      </c>
      <c r="AH923">
        <v>2</v>
      </c>
    </row>
    <row r="924" spans="1:34" x14ac:dyDescent="0.3">
      <c r="A924" t="s">
        <v>57</v>
      </c>
      <c r="B924">
        <v>0</v>
      </c>
      <c r="C924" t="s">
        <v>32</v>
      </c>
      <c r="D924">
        <v>1199</v>
      </c>
      <c r="E924" t="s">
        <v>40</v>
      </c>
      <c r="F924">
        <v>4</v>
      </c>
      <c r="G924" t="str">
        <f>IF(Table2[[#This Row],[DistanceFromHome]]&lt;=5, "short", IF(Table2[[#This Row],[DistanceFromHome]]&lt;=15, "medium", "long"))</f>
        <v>short</v>
      </c>
      <c r="H924">
        <v>2</v>
      </c>
      <c r="I924" t="s">
        <v>34</v>
      </c>
      <c r="J924">
        <v>1288</v>
      </c>
      <c r="K924">
        <v>3</v>
      </c>
      <c r="L924" t="s">
        <v>41</v>
      </c>
      <c r="M924">
        <v>92</v>
      </c>
      <c r="N924">
        <v>4</v>
      </c>
      <c r="O924">
        <v>5</v>
      </c>
      <c r="P924" t="s">
        <v>51</v>
      </c>
      <c r="Q924">
        <v>1</v>
      </c>
      <c r="R924" t="s">
        <v>47</v>
      </c>
      <c r="S924">
        <v>19190</v>
      </c>
      <c r="T924">
        <v>17477</v>
      </c>
      <c r="U924">
        <v>1</v>
      </c>
      <c r="V924" t="s">
        <v>38</v>
      </c>
      <c r="W924">
        <v>14</v>
      </c>
      <c r="X924">
        <v>3</v>
      </c>
      <c r="Y924">
        <v>4</v>
      </c>
      <c r="Z924">
        <v>2</v>
      </c>
      <c r="AA924">
        <v>26</v>
      </c>
      <c r="AB924" t="str">
        <f>IF(Table2[[#This Row],[TotalWorkingYears]]&lt;=5,"Early (0-5)",IF(Table2[[#This Row],[TotalWorkingYears]]&lt;=15,"Mid (6-15)","Senior (16+)"))</f>
        <v>Senior (16+)</v>
      </c>
      <c r="AC924">
        <v>4</v>
      </c>
      <c r="AD924">
        <v>2</v>
      </c>
      <c r="AE924" t="s">
        <v>65</v>
      </c>
      <c r="AF924">
        <v>9</v>
      </c>
      <c r="AG924">
        <v>14</v>
      </c>
      <c r="AH924">
        <v>13</v>
      </c>
    </row>
    <row r="925" spans="1:34" x14ac:dyDescent="0.3">
      <c r="A925" t="s">
        <v>59</v>
      </c>
      <c r="B925">
        <v>0</v>
      </c>
      <c r="C925" t="s">
        <v>39</v>
      </c>
      <c r="D925">
        <v>648</v>
      </c>
      <c r="E925" t="s">
        <v>56</v>
      </c>
      <c r="F925">
        <v>11</v>
      </c>
      <c r="G925" t="str">
        <f>IF(Table2[[#This Row],[DistanceFromHome]]&lt;=5, "short", IF(Table2[[#This Row],[DistanceFromHome]]&lt;=15, "medium", "long"))</f>
        <v>medium</v>
      </c>
      <c r="H925">
        <v>3</v>
      </c>
      <c r="I925" t="s">
        <v>34</v>
      </c>
      <c r="J925">
        <v>1289</v>
      </c>
      <c r="K925">
        <v>3</v>
      </c>
      <c r="L925" t="s">
        <v>41</v>
      </c>
      <c r="M925">
        <v>56</v>
      </c>
      <c r="N925">
        <v>2</v>
      </c>
      <c r="O925">
        <v>2</v>
      </c>
      <c r="P925" t="s">
        <v>56</v>
      </c>
      <c r="Q925">
        <v>2</v>
      </c>
      <c r="R925" t="s">
        <v>43</v>
      </c>
      <c r="S925">
        <v>4490</v>
      </c>
      <c r="T925">
        <v>21833</v>
      </c>
      <c r="U925">
        <v>4</v>
      </c>
      <c r="V925" t="s">
        <v>38</v>
      </c>
      <c r="W925">
        <v>11</v>
      </c>
      <c r="X925">
        <v>3</v>
      </c>
      <c r="Y925">
        <v>4</v>
      </c>
      <c r="Z925">
        <v>2</v>
      </c>
      <c r="AA925">
        <v>14</v>
      </c>
      <c r="AB925" t="str">
        <f>IF(Table2[[#This Row],[TotalWorkingYears]]&lt;=5,"Early (0-5)",IF(Table2[[#This Row],[TotalWorkingYears]]&lt;=15,"Mid (6-15)","Senior (16+)"))</f>
        <v>Mid (6-15)</v>
      </c>
      <c r="AC925">
        <v>5</v>
      </c>
      <c r="AD925">
        <v>4</v>
      </c>
      <c r="AE925" t="s">
        <v>62</v>
      </c>
      <c r="AF925">
        <v>9</v>
      </c>
      <c r="AG925">
        <v>1</v>
      </c>
      <c r="AH925">
        <v>8</v>
      </c>
    </row>
    <row r="926" spans="1:34" x14ac:dyDescent="0.3">
      <c r="A926" t="s">
        <v>59</v>
      </c>
      <c r="B926">
        <v>0</v>
      </c>
      <c r="C926" t="s">
        <v>32</v>
      </c>
      <c r="D926">
        <v>735</v>
      </c>
      <c r="E926" t="s">
        <v>40</v>
      </c>
      <c r="F926">
        <v>6</v>
      </c>
      <c r="G926" t="str">
        <f>IF(Table2[[#This Row],[DistanceFromHome]]&lt;=5, "short", IF(Table2[[#This Row],[DistanceFromHome]]&lt;=15, "medium", "long"))</f>
        <v>medium</v>
      </c>
      <c r="H926">
        <v>1</v>
      </c>
      <c r="I926" t="s">
        <v>34</v>
      </c>
      <c r="J926">
        <v>1291</v>
      </c>
      <c r="K926">
        <v>3</v>
      </c>
      <c r="L926" t="s">
        <v>41</v>
      </c>
      <c r="M926">
        <v>66</v>
      </c>
      <c r="N926">
        <v>3</v>
      </c>
      <c r="O926">
        <v>1</v>
      </c>
      <c r="P926" t="s">
        <v>42</v>
      </c>
      <c r="Q926">
        <v>3</v>
      </c>
      <c r="R926" t="s">
        <v>43</v>
      </c>
      <c r="S926">
        <v>3506</v>
      </c>
      <c r="T926">
        <v>6020</v>
      </c>
      <c r="U926">
        <v>0</v>
      </c>
      <c r="V926" t="s">
        <v>31</v>
      </c>
      <c r="W926">
        <v>14</v>
      </c>
      <c r="X926">
        <v>3</v>
      </c>
      <c r="Y926">
        <v>4</v>
      </c>
      <c r="Z926">
        <v>0</v>
      </c>
      <c r="AA926">
        <v>4</v>
      </c>
      <c r="AB926" t="str">
        <f>IF(Table2[[#This Row],[TotalWorkingYears]]&lt;=5,"Early (0-5)",IF(Table2[[#This Row],[TotalWorkingYears]]&lt;=15,"Mid (6-15)","Senior (16+)"))</f>
        <v>Early (0-5)</v>
      </c>
      <c r="AC926">
        <v>3</v>
      </c>
      <c r="AD926">
        <v>3</v>
      </c>
      <c r="AE926" t="s">
        <v>64</v>
      </c>
      <c r="AF926">
        <v>2</v>
      </c>
      <c r="AG926">
        <v>2</v>
      </c>
      <c r="AH926">
        <v>2</v>
      </c>
    </row>
    <row r="927" spans="1:34" x14ac:dyDescent="0.3">
      <c r="A927" t="s">
        <v>57</v>
      </c>
      <c r="B927">
        <v>0</v>
      </c>
      <c r="C927" t="s">
        <v>32</v>
      </c>
      <c r="D927">
        <v>603</v>
      </c>
      <c r="E927" t="s">
        <v>40</v>
      </c>
      <c r="F927">
        <v>7</v>
      </c>
      <c r="G927" t="str">
        <f>IF(Table2[[#This Row],[DistanceFromHome]]&lt;=5, "short", IF(Table2[[#This Row],[DistanceFromHome]]&lt;=15, "medium", "long"))</f>
        <v>medium</v>
      </c>
      <c r="H927">
        <v>4</v>
      </c>
      <c r="I927" t="s">
        <v>46</v>
      </c>
      <c r="J927">
        <v>1292</v>
      </c>
      <c r="K927">
        <v>2</v>
      </c>
      <c r="L927" t="s">
        <v>35</v>
      </c>
      <c r="M927">
        <v>78</v>
      </c>
      <c r="N927">
        <v>4</v>
      </c>
      <c r="O927">
        <v>2</v>
      </c>
      <c r="P927" t="s">
        <v>42</v>
      </c>
      <c r="Q927">
        <v>2</v>
      </c>
      <c r="R927" t="s">
        <v>43</v>
      </c>
      <c r="S927">
        <v>2372</v>
      </c>
      <c r="T927">
        <v>5628</v>
      </c>
      <c r="U927">
        <v>6</v>
      </c>
      <c r="V927" t="s">
        <v>31</v>
      </c>
      <c r="W927">
        <v>16</v>
      </c>
      <c r="X927">
        <v>3</v>
      </c>
      <c r="Y927">
        <v>4</v>
      </c>
      <c r="Z927">
        <v>0</v>
      </c>
      <c r="AA927">
        <v>18</v>
      </c>
      <c r="AB927" t="str">
        <f>IF(Table2[[#This Row],[TotalWorkingYears]]&lt;=5,"Early (0-5)",IF(Table2[[#This Row],[TotalWorkingYears]]&lt;=15,"Mid (6-15)","Senior (16+)"))</f>
        <v>Senior (16+)</v>
      </c>
      <c r="AC927">
        <v>2</v>
      </c>
      <c r="AD927">
        <v>3</v>
      </c>
      <c r="AE927" t="s">
        <v>63</v>
      </c>
      <c r="AF927">
        <v>0</v>
      </c>
      <c r="AG927">
        <v>0</v>
      </c>
      <c r="AH927">
        <v>0</v>
      </c>
    </row>
    <row r="928" spans="1:34" x14ac:dyDescent="0.3">
      <c r="A928" t="s">
        <v>57</v>
      </c>
      <c r="B928">
        <v>0</v>
      </c>
      <c r="C928" t="s">
        <v>32</v>
      </c>
      <c r="D928">
        <v>531</v>
      </c>
      <c r="E928" t="s">
        <v>33</v>
      </c>
      <c r="F928">
        <v>4</v>
      </c>
      <c r="G928" t="str">
        <f>IF(Table2[[#This Row],[DistanceFromHome]]&lt;=5, "short", IF(Table2[[#This Row],[DistanceFromHome]]&lt;=15, "medium", "long"))</f>
        <v>short</v>
      </c>
      <c r="H928">
        <v>4</v>
      </c>
      <c r="I928" t="s">
        <v>54</v>
      </c>
      <c r="J928">
        <v>1293</v>
      </c>
      <c r="K928">
        <v>4</v>
      </c>
      <c r="L928" t="s">
        <v>35</v>
      </c>
      <c r="M928">
        <v>56</v>
      </c>
      <c r="N928">
        <v>2</v>
      </c>
      <c r="O928">
        <v>3</v>
      </c>
      <c r="P928" t="s">
        <v>36</v>
      </c>
      <c r="Q928">
        <v>4</v>
      </c>
      <c r="R928" t="s">
        <v>37</v>
      </c>
      <c r="S928">
        <v>10231</v>
      </c>
      <c r="T928">
        <v>20364</v>
      </c>
      <c r="U928">
        <v>3</v>
      </c>
      <c r="V928" t="s">
        <v>38</v>
      </c>
      <c r="W928">
        <v>14</v>
      </c>
      <c r="X928">
        <v>3</v>
      </c>
      <c r="Y928">
        <v>4</v>
      </c>
      <c r="Z928">
        <v>0</v>
      </c>
      <c r="AA928">
        <v>23</v>
      </c>
      <c r="AB928" t="str">
        <f>IF(Table2[[#This Row],[TotalWorkingYears]]&lt;=5,"Early (0-5)",IF(Table2[[#This Row],[TotalWorkingYears]]&lt;=15,"Mid (6-15)","Senior (16+)"))</f>
        <v>Senior (16+)</v>
      </c>
      <c r="AC928">
        <v>3</v>
      </c>
      <c r="AD928">
        <v>4</v>
      </c>
      <c r="AE928" t="s">
        <v>65</v>
      </c>
      <c r="AF928">
        <v>7</v>
      </c>
      <c r="AG928">
        <v>15</v>
      </c>
      <c r="AH928">
        <v>17</v>
      </c>
    </row>
    <row r="929" spans="1:34" x14ac:dyDescent="0.3">
      <c r="A929" t="s">
        <v>57</v>
      </c>
      <c r="B929">
        <v>0</v>
      </c>
      <c r="C929" t="s">
        <v>32</v>
      </c>
      <c r="D929">
        <v>429</v>
      </c>
      <c r="E929" t="s">
        <v>40</v>
      </c>
      <c r="F929">
        <v>2</v>
      </c>
      <c r="G929" t="str">
        <f>IF(Table2[[#This Row],[DistanceFromHome]]&lt;=5, "short", IF(Table2[[#This Row],[DistanceFromHome]]&lt;=15, "medium", "long"))</f>
        <v>short</v>
      </c>
      <c r="H929">
        <v>4</v>
      </c>
      <c r="I929" t="s">
        <v>34</v>
      </c>
      <c r="J929">
        <v>1294</v>
      </c>
      <c r="K929">
        <v>3</v>
      </c>
      <c r="L929" t="s">
        <v>35</v>
      </c>
      <c r="M929">
        <v>53</v>
      </c>
      <c r="N929">
        <v>3</v>
      </c>
      <c r="O929">
        <v>2</v>
      </c>
      <c r="P929" t="s">
        <v>48</v>
      </c>
      <c r="Q929">
        <v>2</v>
      </c>
      <c r="R929" t="s">
        <v>37</v>
      </c>
      <c r="S929">
        <v>5410</v>
      </c>
      <c r="T929">
        <v>2323</v>
      </c>
      <c r="U929">
        <v>9</v>
      </c>
      <c r="V929" t="s">
        <v>31</v>
      </c>
      <c r="W929">
        <v>11</v>
      </c>
      <c r="X929">
        <v>3</v>
      </c>
      <c r="Y929">
        <v>4</v>
      </c>
      <c r="Z929">
        <v>0</v>
      </c>
      <c r="AA929">
        <v>18</v>
      </c>
      <c r="AB929" t="str">
        <f>IF(Table2[[#This Row],[TotalWorkingYears]]&lt;=5,"Early (0-5)",IF(Table2[[#This Row],[TotalWorkingYears]]&lt;=15,"Mid (6-15)","Senior (16+)"))</f>
        <v>Senior (16+)</v>
      </c>
      <c r="AC929">
        <v>2</v>
      </c>
      <c r="AD929">
        <v>3</v>
      </c>
      <c r="AE929" t="s">
        <v>65</v>
      </c>
      <c r="AF929">
        <v>14</v>
      </c>
      <c r="AG929">
        <v>5</v>
      </c>
      <c r="AH929">
        <v>12</v>
      </c>
    </row>
    <row r="930" spans="1:34" x14ac:dyDescent="0.3">
      <c r="A930" t="s">
        <v>57</v>
      </c>
      <c r="B930">
        <v>1</v>
      </c>
      <c r="C930" t="s">
        <v>32</v>
      </c>
      <c r="D930">
        <v>621</v>
      </c>
      <c r="E930" t="s">
        <v>40</v>
      </c>
      <c r="F930">
        <v>15</v>
      </c>
      <c r="G930" t="str">
        <f>IF(Table2[[#This Row],[DistanceFromHome]]&lt;=5, "short", IF(Table2[[#This Row],[DistanceFromHome]]&lt;=15, "medium", "long"))</f>
        <v>medium</v>
      </c>
      <c r="H930">
        <v>3</v>
      </c>
      <c r="I930" t="s">
        <v>46</v>
      </c>
      <c r="J930">
        <v>1295</v>
      </c>
      <c r="K930">
        <v>1</v>
      </c>
      <c r="L930" t="s">
        <v>35</v>
      </c>
      <c r="M930">
        <v>73</v>
      </c>
      <c r="N930">
        <v>3</v>
      </c>
      <c r="O930">
        <v>3</v>
      </c>
      <c r="P930" t="s">
        <v>49</v>
      </c>
      <c r="Q930">
        <v>4</v>
      </c>
      <c r="R930" t="s">
        <v>43</v>
      </c>
      <c r="S930">
        <v>7978</v>
      </c>
      <c r="T930">
        <v>14075</v>
      </c>
      <c r="U930">
        <v>1</v>
      </c>
      <c r="V930" t="s">
        <v>38</v>
      </c>
      <c r="W930">
        <v>11</v>
      </c>
      <c r="X930">
        <v>3</v>
      </c>
      <c r="Y930">
        <v>4</v>
      </c>
      <c r="Z930">
        <v>1</v>
      </c>
      <c r="AA930">
        <v>10</v>
      </c>
      <c r="AB930" t="str">
        <f>IF(Table2[[#This Row],[TotalWorkingYears]]&lt;=5,"Early (0-5)",IF(Table2[[#This Row],[TotalWorkingYears]]&lt;=15,"Mid (6-15)","Senior (16+)"))</f>
        <v>Mid (6-15)</v>
      </c>
      <c r="AC930">
        <v>2</v>
      </c>
      <c r="AD930">
        <v>3</v>
      </c>
      <c r="AE930" t="s">
        <v>62</v>
      </c>
      <c r="AF930">
        <v>7</v>
      </c>
      <c r="AG930">
        <v>0</v>
      </c>
      <c r="AH930">
        <v>5</v>
      </c>
    </row>
    <row r="931" spans="1:34" x14ac:dyDescent="0.3">
      <c r="A931" t="s">
        <v>59</v>
      </c>
      <c r="B931">
        <v>0</v>
      </c>
      <c r="C931" t="s">
        <v>39</v>
      </c>
      <c r="D931">
        <v>193</v>
      </c>
      <c r="E931" t="s">
        <v>40</v>
      </c>
      <c r="F931">
        <v>2</v>
      </c>
      <c r="G931" t="str">
        <f>IF(Table2[[#This Row],[DistanceFromHome]]&lt;=5, "short", IF(Table2[[#This Row],[DistanceFromHome]]&lt;=15, "medium", "long"))</f>
        <v>short</v>
      </c>
      <c r="H931">
        <v>3</v>
      </c>
      <c r="I931" t="s">
        <v>34</v>
      </c>
      <c r="J931">
        <v>1296</v>
      </c>
      <c r="K931">
        <v>4</v>
      </c>
      <c r="L931" t="s">
        <v>41</v>
      </c>
      <c r="M931">
        <v>52</v>
      </c>
      <c r="N931">
        <v>2</v>
      </c>
      <c r="O931">
        <v>1</v>
      </c>
      <c r="P931" t="s">
        <v>45</v>
      </c>
      <c r="Q931">
        <v>4</v>
      </c>
      <c r="R931" t="s">
        <v>43</v>
      </c>
      <c r="S931">
        <v>3867</v>
      </c>
      <c r="T931">
        <v>14222</v>
      </c>
      <c r="U931">
        <v>1</v>
      </c>
      <c r="V931" t="s">
        <v>31</v>
      </c>
      <c r="W931">
        <v>12</v>
      </c>
      <c r="X931">
        <v>3</v>
      </c>
      <c r="Y931">
        <v>2</v>
      </c>
      <c r="Z931">
        <v>1</v>
      </c>
      <c r="AA931">
        <v>2</v>
      </c>
      <c r="AB931" t="str">
        <f>IF(Table2[[#This Row],[TotalWorkingYears]]&lt;=5,"Early (0-5)",IF(Table2[[#This Row],[TotalWorkingYears]]&lt;=15,"Mid (6-15)","Senior (16+)"))</f>
        <v>Early (0-5)</v>
      </c>
      <c r="AC931">
        <v>2</v>
      </c>
      <c r="AD931">
        <v>3</v>
      </c>
      <c r="AE931" t="s">
        <v>63</v>
      </c>
      <c r="AF931">
        <v>2</v>
      </c>
      <c r="AG931">
        <v>2</v>
      </c>
      <c r="AH931">
        <v>2</v>
      </c>
    </row>
    <row r="932" spans="1:34" x14ac:dyDescent="0.3">
      <c r="A932" t="s">
        <v>58</v>
      </c>
      <c r="B932">
        <v>0</v>
      </c>
      <c r="C932" t="s">
        <v>39</v>
      </c>
      <c r="D932">
        <v>968</v>
      </c>
      <c r="E932" t="s">
        <v>40</v>
      </c>
      <c r="F932">
        <v>6</v>
      </c>
      <c r="G932" t="str">
        <f>IF(Table2[[#This Row],[DistanceFromHome]]&lt;=5, "short", IF(Table2[[#This Row],[DistanceFromHome]]&lt;=15, "medium", "long"))</f>
        <v>medium</v>
      </c>
      <c r="H932">
        <v>2</v>
      </c>
      <c r="I932" t="s">
        <v>46</v>
      </c>
      <c r="J932">
        <v>1297</v>
      </c>
      <c r="K932">
        <v>2</v>
      </c>
      <c r="L932" t="s">
        <v>35</v>
      </c>
      <c r="M932">
        <v>40</v>
      </c>
      <c r="N932">
        <v>2</v>
      </c>
      <c r="O932">
        <v>1</v>
      </c>
      <c r="P932" t="s">
        <v>45</v>
      </c>
      <c r="Q932">
        <v>3</v>
      </c>
      <c r="R932" t="s">
        <v>37</v>
      </c>
      <c r="S932">
        <v>2838</v>
      </c>
      <c r="T932">
        <v>4257</v>
      </c>
      <c r="U932">
        <v>0</v>
      </c>
      <c r="V932" t="s">
        <v>38</v>
      </c>
      <c r="W932">
        <v>14</v>
      </c>
      <c r="X932">
        <v>3</v>
      </c>
      <c r="Y932">
        <v>2</v>
      </c>
      <c r="Z932">
        <v>0</v>
      </c>
      <c r="AA932">
        <v>8</v>
      </c>
      <c r="AB932" t="str">
        <f>IF(Table2[[#This Row],[TotalWorkingYears]]&lt;=5,"Early (0-5)",IF(Table2[[#This Row],[TotalWorkingYears]]&lt;=15,"Mid (6-15)","Senior (16+)"))</f>
        <v>Mid (6-15)</v>
      </c>
      <c r="AC932">
        <v>6</v>
      </c>
      <c r="AD932">
        <v>2</v>
      </c>
      <c r="AE932" t="s">
        <v>62</v>
      </c>
      <c r="AF932">
        <v>0</v>
      </c>
      <c r="AG932">
        <v>7</v>
      </c>
      <c r="AH932">
        <v>7</v>
      </c>
    </row>
    <row r="933" spans="1:34" x14ac:dyDescent="0.3">
      <c r="A933" t="s">
        <v>59</v>
      </c>
      <c r="B933">
        <v>0</v>
      </c>
      <c r="C933" t="s">
        <v>50</v>
      </c>
      <c r="D933">
        <v>879</v>
      </c>
      <c r="E933" t="s">
        <v>40</v>
      </c>
      <c r="F933">
        <v>9</v>
      </c>
      <c r="G933" t="str">
        <f>IF(Table2[[#This Row],[DistanceFromHome]]&lt;=5, "short", IF(Table2[[#This Row],[DistanceFromHome]]&lt;=15, "medium", "long"))</f>
        <v>medium</v>
      </c>
      <c r="H933">
        <v>2</v>
      </c>
      <c r="I933" t="s">
        <v>46</v>
      </c>
      <c r="J933">
        <v>1298</v>
      </c>
      <c r="K933">
        <v>3</v>
      </c>
      <c r="L933" t="s">
        <v>35</v>
      </c>
      <c r="M933">
        <v>72</v>
      </c>
      <c r="N933">
        <v>3</v>
      </c>
      <c r="O933">
        <v>2</v>
      </c>
      <c r="P933" t="s">
        <v>48</v>
      </c>
      <c r="Q933">
        <v>3</v>
      </c>
      <c r="R933" t="s">
        <v>37</v>
      </c>
      <c r="S933">
        <v>4695</v>
      </c>
      <c r="T933">
        <v>12858</v>
      </c>
      <c r="U933">
        <v>7</v>
      </c>
      <c r="V933" t="s">
        <v>31</v>
      </c>
      <c r="W933">
        <v>18</v>
      </c>
      <c r="X933">
        <v>3</v>
      </c>
      <c r="Y933">
        <v>3</v>
      </c>
      <c r="Z933">
        <v>0</v>
      </c>
      <c r="AA933">
        <v>10</v>
      </c>
      <c r="AB933" t="str">
        <f>IF(Table2[[#This Row],[TotalWorkingYears]]&lt;=5,"Early (0-5)",IF(Table2[[#This Row],[TotalWorkingYears]]&lt;=15,"Mid (6-15)","Senior (16+)"))</f>
        <v>Mid (6-15)</v>
      </c>
      <c r="AC933">
        <v>3</v>
      </c>
      <c r="AD933">
        <v>3</v>
      </c>
      <c r="AE933" t="s">
        <v>62</v>
      </c>
      <c r="AF933">
        <v>4</v>
      </c>
      <c r="AG933">
        <v>1</v>
      </c>
      <c r="AH933">
        <v>7</v>
      </c>
    </row>
    <row r="934" spans="1:34" x14ac:dyDescent="0.3">
      <c r="A934" t="s">
        <v>59</v>
      </c>
      <c r="B934">
        <v>1</v>
      </c>
      <c r="C934" t="s">
        <v>32</v>
      </c>
      <c r="D934">
        <v>806</v>
      </c>
      <c r="E934" t="s">
        <v>40</v>
      </c>
      <c r="F934">
        <v>7</v>
      </c>
      <c r="G934" t="str">
        <f>IF(Table2[[#This Row],[DistanceFromHome]]&lt;=5, "short", IF(Table2[[#This Row],[DistanceFromHome]]&lt;=15, "medium", "long"))</f>
        <v>medium</v>
      </c>
      <c r="H934">
        <v>3</v>
      </c>
      <c r="I934" t="s">
        <v>55</v>
      </c>
      <c r="J934">
        <v>1299</v>
      </c>
      <c r="K934">
        <v>2</v>
      </c>
      <c r="L934" t="s">
        <v>35</v>
      </c>
      <c r="M934">
        <v>39</v>
      </c>
      <c r="N934">
        <v>3</v>
      </c>
      <c r="O934">
        <v>1</v>
      </c>
      <c r="P934" t="s">
        <v>45</v>
      </c>
      <c r="Q934">
        <v>3</v>
      </c>
      <c r="R934" t="s">
        <v>47</v>
      </c>
      <c r="S934">
        <v>3339</v>
      </c>
      <c r="T934">
        <v>17285</v>
      </c>
      <c r="U934">
        <v>3</v>
      </c>
      <c r="V934" t="s">
        <v>31</v>
      </c>
      <c r="W934">
        <v>13</v>
      </c>
      <c r="X934">
        <v>3</v>
      </c>
      <c r="Y934">
        <v>1</v>
      </c>
      <c r="Z934">
        <v>2</v>
      </c>
      <c r="AA934">
        <v>10</v>
      </c>
      <c r="AB934" t="str">
        <f>IF(Table2[[#This Row],[TotalWorkingYears]]&lt;=5,"Early (0-5)",IF(Table2[[#This Row],[TotalWorkingYears]]&lt;=15,"Mid (6-15)","Senior (16+)"))</f>
        <v>Mid (6-15)</v>
      </c>
      <c r="AC934">
        <v>2</v>
      </c>
      <c r="AD934">
        <v>3</v>
      </c>
      <c r="AE934" t="s">
        <v>62</v>
      </c>
      <c r="AF934">
        <v>7</v>
      </c>
      <c r="AG934">
        <v>7</v>
      </c>
      <c r="AH934">
        <v>7</v>
      </c>
    </row>
    <row r="935" spans="1:34" x14ac:dyDescent="0.3">
      <c r="A935" t="s">
        <v>59</v>
      </c>
      <c r="B935">
        <v>0</v>
      </c>
      <c r="C935" t="s">
        <v>32</v>
      </c>
      <c r="D935">
        <v>640</v>
      </c>
      <c r="E935" t="s">
        <v>40</v>
      </c>
      <c r="F935">
        <v>1</v>
      </c>
      <c r="G935" t="str">
        <f>IF(Table2[[#This Row],[DistanceFromHome]]&lt;=5, "short", IF(Table2[[#This Row],[DistanceFromHome]]&lt;=15, "medium", "long"))</f>
        <v>short</v>
      </c>
      <c r="H935">
        <v>3</v>
      </c>
      <c r="I935" t="s">
        <v>55</v>
      </c>
      <c r="J935">
        <v>1301</v>
      </c>
      <c r="K935">
        <v>4</v>
      </c>
      <c r="L935" t="s">
        <v>41</v>
      </c>
      <c r="M935">
        <v>84</v>
      </c>
      <c r="N935">
        <v>3</v>
      </c>
      <c r="O935">
        <v>1</v>
      </c>
      <c r="P935" t="s">
        <v>42</v>
      </c>
      <c r="Q935">
        <v>1</v>
      </c>
      <c r="R935" t="s">
        <v>37</v>
      </c>
      <c r="S935">
        <v>2080</v>
      </c>
      <c r="T935">
        <v>4732</v>
      </c>
      <c r="U935">
        <v>2</v>
      </c>
      <c r="V935" t="s">
        <v>38</v>
      </c>
      <c r="W935">
        <v>11</v>
      </c>
      <c r="X935">
        <v>3</v>
      </c>
      <c r="Y935">
        <v>2</v>
      </c>
      <c r="Z935">
        <v>0</v>
      </c>
      <c r="AA935">
        <v>5</v>
      </c>
      <c r="AB935" t="str">
        <f>IF(Table2[[#This Row],[TotalWorkingYears]]&lt;=5,"Early (0-5)",IF(Table2[[#This Row],[TotalWorkingYears]]&lt;=15,"Mid (6-15)","Senior (16+)"))</f>
        <v>Early (0-5)</v>
      </c>
      <c r="AC935">
        <v>2</v>
      </c>
      <c r="AD935">
        <v>2</v>
      </c>
      <c r="AE935" t="s">
        <v>64</v>
      </c>
      <c r="AF935">
        <v>2</v>
      </c>
      <c r="AG935">
        <v>1</v>
      </c>
      <c r="AH935">
        <v>2</v>
      </c>
    </row>
    <row r="936" spans="1:34" x14ac:dyDescent="0.3">
      <c r="A936" t="s">
        <v>60</v>
      </c>
      <c r="B936">
        <v>0</v>
      </c>
      <c r="C936" t="s">
        <v>32</v>
      </c>
      <c r="D936">
        <v>266</v>
      </c>
      <c r="E936" t="s">
        <v>40</v>
      </c>
      <c r="F936">
        <v>1</v>
      </c>
      <c r="G936" t="str">
        <f>IF(Table2[[#This Row],[DistanceFromHome]]&lt;=5, "short", IF(Table2[[#This Row],[DistanceFromHome]]&lt;=15, "medium", "long"))</f>
        <v>short</v>
      </c>
      <c r="H936">
        <v>3</v>
      </c>
      <c r="I936" t="s">
        <v>46</v>
      </c>
      <c r="J936">
        <v>1303</v>
      </c>
      <c r="K936">
        <v>4</v>
      </c>
      <c r="L936" t="s">
        <v>35</v>
      </c>
      <c r="M936">
        <v>40</v>
      </c>
      <c r="N936">
        <v>3</v>
      </c>
      <c r="O936">
        <v>1</v>
      </c>
      <c r="P936" t="s">
        <v>42</v>
      </c>
      <c r="Q936">
        <v>2</v>
      </c>
      <c r="R936" t="s">
        <v>37</v>
      </c>
      <c r="S936">
        <v>2096</v>
      </c>
      <c r="T936">
        <v>18830</v>
      </c>
      <c r="U936">
        <v>1</v>
      </c>
      <c r="V936" t="s">
        <v>38</v>
      </c>
      <c r="W936">
        <v>18</v>
      </c>
      <c r="X936">
        <v>3</v>
      </c>
      <c r="Y936">
        <v>4</v>
      </c>
      <c r="Z936">
        <v>0</v>
      </c>
      <c r="AA936">
        <v>2</v>
      </c>
      <c r="AB936" t="str">
        <f>IF(Table2[[#This Row],[TotalWorkingYears]]&lt;=5,"Early (0-5)",IF(Table2[[#This Row],[TotalWorkingYears]]&lt;=15,"Mid (6-15)","Senior (16+)"))</f>
        <v>Early (0-5)</v>
      </c>
      <c r="AC936">
        <v>3</v>
      </c>
      <c r="AD936">
        <v>2</v>
      </c>
      <c r="AE936" t="s">
        <v>63</v>
      </c>
      <c r="AF936">
        <v>2</v>
      </c>
      <c r="AG936">
        <v>2</v>
      </c>
      <c r="AH936">
        <v>1</v>
      </c>
    </row>
    <row r="937" spans="1:34" x14ac:dyDescent="0.3">
      <c r="A937" t="s">
        <v>59</v>
      </c>
      <c r="B937">
        <v>0</v>
      </c>
      <c r="C937" t="s">
        <v>32</v>
      </c>
      <c r="D937">
        <v>604</v>
      </c>
      <c r="E937" t="s">
        <v>33</v>
      </c>
      <c r="F937">
        <v>8</v>
      </c>
      <c r="G937" t="str">
        <f>IF(Table2[[#This Row],[DistanceFromHome]]&lt;=5, "short", IF(Table2[[#This Row],[DistanceFromHome]]&lt;=15, "medium", "long"))</f>
        <v>medium</v>
      </c>
      <c r="H937">
        <v>3</v>
      </c>
      <c r="I937" t="s">
        <v>46</v>
      </c>
      <c r="J937">
        <v>1304</v>
      </c>
      <c r="K937">
        <v>3</v>
      </c>
      <c r="L937" t="s">
        <v>41</v>
      </c>
      <c r="M937">
        <v>56</v>
      </c>
      <c r="N937">
        <v>4</v>
      </c>
      <c r="O937">
        <v>2</v>
      </c>
      <c r="P937" t="s">
        <v>36</v>
      </c>
      <c r="Q937">
        <v>4</v>
      </c>
      <c r="R937" t="s">
        <v>43</v>
      </c>
      <c r="S937">
        <v>6209</v>
      </c>
      <c r="T937">
        <v>11693</v>
      </c>
      <c r="U937">
        <v>1</v>
      </c>
      <c r="V937" t="s">
        <v>38</v>
      </c>
      <c r="W937">
        <v>15</v>
      </c>
      <c r="X937">
        <v>3</v>
      </c>
      <c r="Y937">
        <v>3</v>
      </c>
      <c r="Z937">
        <v>2</v>
      </c>
      <c r="AA937">
        <v>10</v>
      </c>
      <c r="AB937" t="str">
        <f>IF(Table2[[#This Row],[TotalWorkingYears]]&lt;=5,"Early (0-5)",IF(Table2[[#This Row],[TotalWorkingYears]]&lt;=15,"Mid (6-15)","Senior (16+)"))</f>
        <v>Mid (6-15)</v>
      </c>
      <c r="AC937">
        <v>4</v>
      </c>
      <c r="AD937">
        <v>4</v>
      </c>
      <c r="AE937" t="s">
        <v>62</v>
      </c>
      <c r="AF937">
        <v>7</v>
      </c>
      <c r="AG937">
        <v>0</v>
      </c>
      <c r="AH937">
        <v>8</v>
      </c>
    </row>
    <row r="938" spans="1:34" x14ac:dyDescent="0.3">
      <c r="A938" t="s">
        <v>57</v>
      </c>
      <c r="B938">
        <v>0</v>
      </c>
      <c r="C938" t="s">
        <v>39</v>
      </c>
      <c r="D938">
        <v>364</v>
      </c>
      <c r="E938" t="s">
        <v>40</v>
      </c>
      <c r="F938">
        <v>25</v>
      </c>
      <c r="G938" t="str">
        <f>IF(Table2[[#This Row],[DistanceFromHome]]&lt;=5, "short", IF(Table2[[#This Row],[DistanceFromHome]]&lt;=15, "medium", "long"))</f>
        <v>long</v>
      </c>
      <c r="H938">
        <v>3</v>
      </c>
      <c r="I938" t="s">
        <v>46</v>
      </c>
      <c r="J938">
        <v>1306</v>
      </c>
      <c r="K938">
        <v>2</v>
      </c>
      <c r="L938" t="s">
        <v>35</v>
      </c>
      <c r="M938">
        <v>83</v>
      </c>
      <c r="N938">
        <v>3</v>
      </c>
      <c r="O938">
        <v>5</v>
      </c>
      <c r="P938" t="s">
        <v>51</v>
      </c>
      <c r="Q938">
        <v>2</v>
      </c>
      <c r="R938" t="s">
        <v>37</v>
      </c>
      <c r="S938">
        <v>18061</v>
      </c>
      <c r="T938">
        <v>13035</v>
      </c>
      <c r="U938">
        <v>3</v>
      </c>
      <c r="V938" t="s">
        <v>38</v>
      </c>
      <c r="W938">
        <v>22</v>
      </c>
      <c r="X938">
        <v>4</v>
      </c>
      <c r="Y938">
        <v>3</v>
      </c>
      <c r="Z938">
        <v>0</v>
      </c>
      <c r="AA938">
        <v>22</v>
      </c>
      <c r="AB938" t="str">
        <f>IF(Table2[[#This Row],[TotalWorkingYears]]&lt;=5,"Early (0-5)",IF(Table2[[#This Row],[TotalWorkingYears]]&lt;=15,"Mid (6-15)","Senior (16+)"))</f>
        <v>Senior (16+)</v>
      </c>
      <c r="AC938">
        <v>4</v>
      </c>
      <c r="AD938">
        <v>3</v>
      </c>
      <c r="AE938" t="s">
        <v>63</v>
      </c>
      <c r="AF938">
        <v>0</v>
      </c>
      <c r="AG938">
        <v>0</v>
      </c>
      <c r="AH938">
        <v>0</v>
      </c>
    </row>
    <row r="939" spans="1:34" x14ac:dyDescent="0.3">
      <c r="A939" t="s">
        <v>57</v>
      </c>
      <c r="B939">
        <v>0</v>
      </c>
      <c r="C939" t="s">
        <v>32</v>
      </c>
      <c r="D939">
        <v>412</v>
      </c>
      <c r="E939" t="s">
        <v>40</v>
      </c>
      <c r="F939">
        <v>13</v>
      </c>
      <c r="G939" t="str">
        <f>IF(Table2[[#This Row],[DistanceFromHome]]&lt;=5, "short", IF(Table2[[#This Row],[DistanceFromHome]]&lt;=15, "medium", "long"))</f>
        <v>medium</v>
      </c>
      <c r="H939">
        <v>4</v>
      </c>
      <c r="I939" t="s">
        <v>46</v>
      </c>
      <c r="J939">
        <v>1307</v>
      </c>
      <c r="K939">
        <v>3</v>
      </c>
      <c r="L939" t="s">
        <v>35</v>
      </c>
      <c r="M939">
        <v>94</v>
      </c>
      <c r="N939">
        <v>2</v>
      </c>
      <c r="O939">
        <v>4</v>
      </c>
      <c r="P939" t="s">
        <v>51</v>
      </c>
      <c r="Q939">
        <v>2</v>
      </c>
      <c r="R939" t="s">
        <v>47</v>
      </c>
      <c r="S939">
        <v>17123</v>
      </c>
      <c r="T939">
        <v>17334</v>
      </c>
      <c r="U939">
        <v>6</v>
      </c>
      <c r="V939" t="s">
        <v>31</v>
      </c>
      <c r="W939">
        <v>13</v>
      </c>
      <c r="X939">
        <v>3</v>
      </c>
      <c r="Y939">
        <v>4</v>
      </c>
      <c r="Z939">
        <v>2</v>
      </c>
      <c r="AA939">
        <v>21</v>
      </c>
      <c r="AB939" t="str">
        <f>IF(Table2[[#This Row],[TotalWorkingYears]]&lt;=5,"Early (0-5)",IF(Table2[[#This Row],[TotalWorkingYears]]&lt;=15,"Mid (6-15)","Senior (16+)"))</f>
        <v>Senior (16+)</v>
      </c>
      <c r="AC939">
        <v>4</v>
      </c>
      <c r="AD939">
        <v>3</v>
      </c>
      <c r="AE939" t="s">
        <v>65</v>
      </c>
      <c r="AF939">
        <v>9</v>
      </c>
      <c r="AG939">
        <v>15</v>
      </c>
      <c r="AH939">
        <v>2</v>
      </c>
    </row>
    <row r="940" spans="1:34" x14ac:dyDescent="0.3">
      <c r="A940" t="s">
        <v>58</v>
      </c>
      <c r="B940">
        <v>0</v>
      </c>
      <c r="C940" t="s">
        <v>32</v>
      </c>
      <c r="D940">
        <v>848</v>
      </c>
      <c r="E940" t="s">
        <v>40</v>
      </c>
      <c r="F940">
        <v>23</v>
      </c>
      <c r="G940" t="str">
        <f>IF(Table2[[#This Row],[DistanceFromHome]]&lt;=5, "short", IF(Table2[[#This Row],[DistanceFromHome]]&lt;=15, "medium", "long"))</f>
        <v>long</v>
      </c>
      <c r="H940">
        <v>4</v>
      </c>
      <c r="I940" t="s">
        <v>34</v>
      </c>
      <c r="J940">
        <v>1308</v>
      </c>
      <c r="K940">
        <v>1</v>
      </c>
      <c r="L940" t="s">
        <v>41</v>
      </c>
      <c r="M940">
        <v>88</v>
      </c>
      <c r="N940">
        <v>3</v>
      </c>
      <c r="O940">
        <v>1</v>
      </c>
      <c r="P940" t="s">
        <v>42</v>
      </c>
      <c r="Q940">
        <v>3</v>
      </c>
      <c r="R940" t="s">
        <v>47</v>
      </c>
      <c r="S940">
        <v>2372</v>
      </c>
      <c r="T940">
        <v>26076</v>
      </c>
      <c r="U940">
        <v>1</v>
      </c>
      <c r="V940" t="s">
        <v>38</v>
      </c>
      <c r="W940">
        <v>12</v>
      </c>
      <c r="X940">
        <v>3</v>
      </c>
      <c r="Y940">
        <v>4</v>
      </c>
      <c r="Z940">
        <v>2</v>
      </c>
      <c r="AA940">
        <v>2</v>
      </c>
      <c r="AB940" t="str">
        <f>IF(Table2[[#This Row],[TotalWorkingYears]]&lt;=5,"Early (0-5)",IF(Table2[[#This Row],[TotalWorkingYears]]&lt;=15,"Mid (6-15)","Senior (16+)"))</f>
        <v>Early (0-5)</v>
      </c>
      <c r="AC940">
        <v>3</v>
      </c>
      <c r="AD940">
        <v>3</v>
      </c>
      <c r="AE940" t="s">
        <v>63</v>
      </c>
      <c r="AF940">
        <v>2</v>
      </c>
      <c r="AG940">
        <v>2</v>
      </c>
      <c r="AH940">
        <v>2</v>
      </c>
    </row>
    <row r="941" spans="1:34" x14ac:dyDescent="0.3">
      <c r="A941" t="s">
        <v>59</v>
      </c>
      <c r="B941">
        <v>1</v>
      </c>
      <c r="C941" t="s">
        <v>32</v>
      </c>
      <c r="D941">
        <v>1089</v>
      </c>
      <c r="E941" t="s">
        <v>40</v>
      </c>
      <c r="F941">
        <v>7</v>
      </c>
      <c r="G941" t="str">
        <f>IF(Table2[[#This Row],[DistanceFromHome]]&lt;=5, "short", IF(Table2[[#This Row],[DistanceFromHome]]&lt;=15, "medium", "long"))</f>
        <v>medium</v>
      </c>
      <c r="H941">
        <v>2</v>
      </c>
      <c r="I941" t="s">
        <v>34</v>
      </c>
      <c r="J941">
        <v>1309</v>
      </c>
      <c r="K941">
        <v>4</v>
      </c>
      <c r="L941" t="s">
        <v>41</v>
      </c>
      <c r="M941">
        <v>79</v>
      </c>
      <c r="N941">
        <v>3</v>
      </c>
      <c r="O941">
        <v>2</v>
      </c>
      <c r="P941" t="s">
        <v>45</v>
      </c>
      <c r="Q941">
        <v>3</v>
      </c>
      <c r="R941" t="s">
        <v>43</v>
      </c>
      <c r="S941">
        <v>4883</v>
      </c>
      <c r="T941">
        <v>22845</v>
      </c>
      <c r="U941">
        <v>1</v>
      </c>
      <c r="V941" t="s">
        <v>38</v>
      </c>
      <c r="W941">
        <v>18</v>
      </c>
      <c r="X941">
        <v>3</v>
      </c>
      <c r="Y941">
        <v>1</v>
      </c>
      <c r="Z941">
        <v>1</v>
      </c>
      <c r="AA941">
        <v>10</v>
      </c>
      <c r="AB941" t="str">
        <f>IF(Table2[[#This Row],[TotalWorkingYears]]&lt;=5,"Early (0-5)",IF(Table2[[#This Row],[TotalWorkingYears]]&lt;=15,"Mid (6-15)","Senior (16+)"))</f>
        <v>Mid (6-15)</v>
      </c>
      <c r="AC941">
        <v>3</v>
      </c>
      <c r="AD941">
        <v>3</v>
      </c>
      <c r="AE941" t="s">
        <v>62</v>
      </c>
      <c r="AF941">
        <v>4</v>
      </c>
      <c r="AG941">
        <v>1</v>
      </c>
      <c r="AH941">
        <v>1</v>
      </c>
    </row>
    <row r="942" spans="1:34" x14ac:dyDescent="0.3">
      <c r="A942" t="s">
        <v>57</v>
      </c>
      <c r="B942">
        <v>1</v>
      </c>
      <c r="C942" t="s">
        <v>32</v>
      </c>
      <c r="D942">
        <v>360</v>
      </c>
      <c r="E942" t="s">
        <v>40</v>
      </c>
      <c r="F942">
        <v>23</v>
      </c>
      <c r="G942" t="str">
        <f>IF(Table2[[#This Row],[DistanceFromHome]]&lt;=5, "short", IF(Table2[[#This Row],[DistanceFromHome]]&lt;=15, "medium", "long"))</f>
        <v>long</v>
      </c>
      <c r="H942">
        <v>3</v>
      </c>
      <c r="I942" t="s">
        <v>46</v>
      </c>
      <c r="J942">
        <v>1310</v>
      </c>
      <c r="K942">
        <v>3</v>
      </c>
      <c r="L942" t="s">
        <v>41</v>
      </c>
      <c r="M942">
        <v>93</v>
      </c>
      <c r="N942">
        <v>3</v>
      </c>
      <c r="O942">
        <v>1</v>
      </c>
      <c r="P942" t="s">
        <v>42</v>
      </c>
      <c r="Q942">
        <v>1</v>
      </c>
      <c r="R942" t="s">
        <v>37</v>
      </c>
      <c r="S942">
        <v>3904</v>
      </c>
      <c r="T942">
        <v>22154</v>
      </c>
      <c r="U942">
        <v>0</v>
      </c>
      <c r="V942" t="s">
        <v>38</v>
      </c>
      <c r="W942">
        <v>13</v>
      </c>
      <c r="X942">
        <v>3</v>
      </c>
      <c r="Y942">
        <v>1</v>
      </c>
      <c r="Z942">
        <v>0</v>
      </c>
      <c r="AA942">
        <v>6</v>
      </c>
      <c r="AB942" t="str">
        <f>IF(Table2[[#This Row],[TotalWorkingYears]]&lt;=5,"Early (0-5)",IF(Table2[[#This Row],[TotalWorkingYears]]&lt;=15,"Mid (6-15)","Senior (16+)"))</f>
        <v>Mid (6-15)</v>
      </c>
      <c r="AC942">
        <v>2</v>
      </c>
      <c r="AD942">
        <v>3</v>
      </c>
      <c r="AE942" t="s">
        <v>64</v>
      </c>
      <c r="AF942">
        <v>2</v>
      </c>
      <c r="AG942">
        <v>0</v>
      </c>
      <c r="AH942">
        <v>3</v>
      </c>
    </row>
    <row r="943" spans="1:34" x14ac:dyDescent="0.3">
      <c r="A943" t="s">
        <v>59</v>
      </c>
      <c r="B943">
        <v>0</v>
      </c>
      <c r="C943" t="s">
        <v>32</v>
      </c>
      <c r="D943">
        <v>1138</v>
      </c>
      <c r="E943" t="s">
        <v>40</v>
      </c>
      <c r="F943">
        <v>6</v>
      </c>
      <c r="G943" t="str">
        <f>IF(Table2[[#This Row],[DistanceFromHome]]&lt;=5, "short", IF(Table2[[#This Row],[DistanceFromHome]]&lt;=15, "medium", "long"))</f>
        <v>medium</v>
      </c>
      <c r="H943">
        <v>3</v>
      </c>
      <c r="I943" t="s">
        <v>55</v>
      </c>
      <c r="J943">
        <v>1311</v>
      </c>
      <c r="K943">
        <v>1</v>
      </c>
      <c r="L943" t="s">
        <v>35</v>
      </c>
      <c r="M943">
        <v>48</v>
      </c>
      <c r="N943">
        <v>2</v>
      </c>
      <c r="O943">
        <v>2</v>
      </c>
      <c r="P943" t="s">
        <v>45</v>
      </c>
      <c r="Q943">
        <v>4</v>
      </c>
      <c r="R943" t="s">
        <v>43</v>
      </c>
      <c r="S943">
        <v>4627</v>
      </c>
      <c r="T943">
        <v>23631</v>
      </c>
      <c r="U943">
        <v>0</v>
      </c>
      <c r="V943" t="s">
        <v>38</v>
      </c>
      <c r="W943">
        <v>12</v>
      </c>
      <c r="X943">
        <v>3</v>
      </c>
      <c r="Y943">
        <v>1</v>
      </c>
      <c r="Z943">
        <v>1</v>
      </c>
      <c r="AA943">
        <v>10</v>
      </c>
      <c r="AB943" t="str">
        <f>IF(Table2[[#This Row],[TotalWorkingYears]]&lt;=5,"Early (0-5)",IF(Table2[[#This Row],[TotalWorkingYears]]&lt;=15,"Mid (6-15)","Senior (16+)"))</f>
        <v>Mid (6-15)</v>
      </c>
      <c r="AC943">
        <v>6</v>
      </c>
      <c r="AD943">
        <v>3</v>
      </c>
      <c r="AE943" t="s">
        <v>62</v>
      </c>
      <c r="AF943">
        <v>2</v>
      </c>
      <c r="AG943">
        <v>6</v>
      </c>
      <c r="AH943">
        <v>7</v>
      </c>
    </row>
    <row r="944" spans="1:34" x14ac:dyDescent="0.3">
      <c r="A944" t="s">
        <v>57</v>
      </c>
      <c r="B944">
        <v>0</v>
      </c>
      <c r="C944" t="s">
        <v>32</v>
      </c>
      <c r="D944">
        <v>325</v>
      </c>
      <c r="E944" t="s">
        <v>40</v>
      </c>
      <c r="F944">
        <v>10</v>
      </c>
      <c r="G944" t="str">
        <f>IF(Table2[[#This Row],[DistanceFromHome]]&lt;=5, "short", IF(Table2[[#This Row],[DistanceFromHome]]&lt;=15, "medium", "long"))</f>
        <v>medium</v>
      </c>
      <c r="H944">
        <v>4</v>
      </c>
      <c r="I944" t="s">
        <v>55</v>
      </c>
      <c r="J944">
        <v>1312</v>
      </c>
      <c r="K944">
        <v>4</v>
      </c>
      <c r="L944" t="s">
        <v>35</v>
      </c>
      <c r="M944">
        <v>63</v>
      </c>
      <c r="N944">
        <v>3</v>
      </c>
      <c r="O944">
        <v>3</v>
      </c>
      <c r="P944" t="s">
        <v>49</v>
      </c>
      <c r="Q944">
        <v>3</v>
      </c>
      <c r="R944" t="s">
        <v>43</v>
      </c>
      <c r="S944">
        <v>7094</v>
      </c>
      <c r="T944">
        <v>5747</v>
      </c>
      <c r="U944">
        <v>3</v>
      </c>
      <c r="V944" t="s">
        <v>38</v>
      </c>
      <c r="W944">
        <v>12</v>
      </c>
      <c r="X944">
        <v>3</v>
      </c>
      <c r="Y944">
        <v>1</v>
      </c>
      <c r="Z944">
        <v>0</v>
      </c>
      <c r="AA944">
        <v>10</v>
      </c>
      <c r="AB944" t="str">
        <f>IF(Table2[[#This Row],[TotalWorkingYears]]&lt;=5,"Early (0-5)",IF(Table2[[#This Row],[TotalWorkingYears]]&lt;=15,"Mid (6-15)","Senior (16+)"))</f>
        <v>Mid (6-15)</v>
      </c>
      <c r="AC944">
        <v>0</v>
      </c>
      <c r="AD944">
        <v>3</v>
      </c>
      <c r="AE944" t="s">
        <v>62</v>
      </c>
      <c r="AF944">
        <v>7</v>
      </c>
      <c r="AG944">
        <v>1</v>
      </c>
      <c r="AH944">
        <v>7</v>
      </c>
    </row>
    <row r="945" spans="1:34" x14ac:dyDescent="0.3">
      <c r="A945" t="s">
        <v>58</v>
      </c>
      <c r="B945">
        <v>0</v>
      </c>
      <c r="C945" t="s">
        <v>32</v>
      </c>
      <c r="D945">
        <v>991</v>
      </c>
      <c r="E945" t="s">
        <v>56</v>
      </c>
      <c r="F945">
        <v>1</v>
      </c>
      <c r="G945" t="str">
        <f>IF(Table2[[#This Row],[DistanceFromHome]]&lt;=5, "short", IF(Table2[[#This Row],[DistanceFromHome]]&lt;=15, "medium", "long"))</f>
        <v>short</v>
      </c>
      <c r="H945">
        <v>2</v>
      </c>
      <c r="I945" t="s">
        <v>34</v>
      </c>
      <c r="J945">
        <v>1314</v>
      </c>
      <c r="K945">
        <v>4</v>
      </c>
      <c r="L945" t="s">
        <v>35</v>
      </c>
      <c r="M945">
        <v>44</v>
      </c>
      <c r="N945">
        <v>3</v>
      </c>
      <c r="O945">
        <v>1</v>
      </c>
      <c r="P945" t="s">
        <v>56</v>
      </c>
      <c r="Q945">
        <v>1</v>
      </c>
      <c r="R945" t="s">
        <v>37</v>
      </c>
      <c r="S945">
        <v>3423</v>
      </c>
      <c r="T945">
        <v>22957</v>
      </c>
      <c r="U945">
        <v>6</v>
      </c>
      <c r="V945" t="s">
        <v>38</v>
      </c>
      <c r="W945">
        <v>12</v>
      </c>
      <c r="X945">
        <v>3</v>
      </c>
      <c r="Y945">
        <v>3</v>
      </c>
      <c r="Z945">
        <v>0</v>
      </c>
      <c r="AA945">
        <v>10</v>
      </c>
      <c r="AB945" t="str">
        <f>IF(Table2[[#This Row],[TotalWorkingYears]]&lt;=5,"Early (0-5)",IF(Table2[[#This Row],[TotalWorkingYears]]&lt;=15,"Mid (6-15)","Senior (16+)"))</f>
        <v>Mid (6-15)</v>
      </c>
      <c r="AC945">
        <v>3</v>
      </c>
      <c r="AD945">
        <v>4</v>
      </c>
      <c r="AE945" t="s">
        <v>62</v>
      </c>
      <c r="AF945">
        <v>6</v>
      </c>
      <c r="AG945">
        <v>5</v>
      </c>
      <c r="AH945">
        <v>7</v>
      </c>
    </row>
    <row r="946" spans="1:34" x14ac:dyDescent="0.3">
      <c r="A946" t="s">
        <v>59</v>
      </c>
      <c r="B946">
        <v>0</v>
      </c>
      <c r="C946" t="s">
        <v>50</v>
      </c>
      <c r="D946">
        <v>1476</v>
      </c>
      <c r="E946" t="s">
        <v>40</v>
      </c>
      <c r="F946">
        <v>1</v>
      </c>
      <c r="G946" t="str">
        <f>IF(Table2[[#This Row],[DistanceFromHome]]&lt;=5, "short", IF(Table2[[#This Row],[DistanceFromHome]]&lt;=15, "medium", "long"))</f>
        <v>short</v>
      </c>
      <c r="H946">
        <v>3</v>
      </c>
      <c r="I946" t="s">
        <v>34</v>
      </c>
      <c r="J946">
        <v>1315</v>
      </c>
      <c r="K946">
        <v>3</v>
      </c>
      <c r="L946" t="s">
        <v>35</v>
      </c>
      <c r="M946">
        <v>55</v>
      </c>
      <c r="N946">
        <v>1</v>
      </c>
      <c r="O946">
        <v>2</v>
      </c>
      <c r="P946" t="s">
        <v>45</v>
      </c>
      <c r="Q946">
        <v>4</v>
      </c>
      <c r="R946" t="s">
        <v>43</v>
      </c>
      <c r="S946">
        <v>6674</v>
      </c>
      <c r="T946">
        <v>16392</v>
      </c>
      <c r="U946">
        <v>0</v>
      </c>
      <c r="V946" t="s">
        <v>38</v>
      </c>
      <c r="W946">
        <v>11</v>
      </c>
      <c r="X946">
        <v>3</v>
      </c>
      <c r="Y946">
        <v>1</v>
      </c>
      <c r="Z946">
        <v>3</v>
      </c>
      <c r="AA946">
        <v>10</v>
      </c>
      <c r="AB946" t="str">
        <f>IF(Table2[[#This Row],[TotalWorkingYears]]&lt;=5,"Early (0-5)",IF(Table2[[#This Row],[TotalWorkingYears]]&lt;=15,"Mid (6-15)","Senior (16+)"))</f>
        <v>Mid (6-15)</v>
      </c>
      <c r="AC946">
        <v>6</v>
      </c>
      <c r="AD946">
        <v>3</v>
      </c>
      <c r="AE946" t="s">
        <v>62</v>
      </c>
      <c r="AF946">
        <v>8</v>
      </c>
      <c r="AG946">
        <v>7</v>
      </c>
      <c r="AH946">
        <v>5</v>
      </c>
    </row>
    <row r="947" spans="1:34" x14ac:dyDescent="0.3">
      <c r="A947" t="s">
        <v>58</v>
      </c>
      <c r="B947">
        <v>0</v>
      </c>
      <c r="C947" t="s">
        <v>32</v>
      </c>
      <c r="D947">
        <v>1322</v>
      </c>
      <c r="E947" t="s">
        <v>40</v>
      </c>
      <c r="F947">
        <v>28</v>
      </c>
      <c r="G947" t="str">
        <f>IF(Table2[[#This Row],[DistanceFromHome]]&lt;=5, "short", IF(Table2[[#This Row],[DistanceFromHome]]&lt;=15, "medium", "long"))</f>
        <v>long</v>
      </c>
      <c r="H947">
        <v>3</v>
      </c>
      <c r="I947" t="s">
        <v>34</v>
      </c>
      <c r="J947">
        <v>1317</v>
      </c>
      <c r="K947">
        <v>4</v>
      </c>
      <c r="L947" t="s">
        <v>35</v>
      </c>
      <c r="M947">
        <v>43</v>
      </c>
      <c r="N947">
        <v>3</v>
      </c>
      <c r="O947">
        <v>4</v>
      </c>
      <c r="P947" t="s">
        <v>53</v>
      </c>
      <c r="Q947">
        <v>1</v>
      </c>
      <c r="R947" t="s">
        <v>43</v>
      </c>
      <c r="S947">
        <v>16880</v>
      </c>
      <c r="T947">
        <v>22422</v>
      </c>
      <c r="U947">
        <v>4</v>
      </c>
      <c r="V947" t="s">
        <v>31</v>
      </c>
      <c r="W947">
        <v>11</v>
      </c>
      <c r="X947">
        <v>3</v>
      </c>
      <c r="Y947">
        <v>2</v>
      </c>
      <c r="Z947">
        <v>0</v>
      </c>
      <c r="AA947">
        <v>25</v>
      </c>
      <c r="AB947" t="str">
        <f>IF(Table2[[#This Row],[TotalWorkingYears]]&lt;=5,"Early (0-5)",IF(Table2[[#This Row],[TotalWorkingYears]]&lt;=15,"Mid (6-15)","Senior (16+)"))</f>
        <v>Senior (16+)</v>
      </c>
      <c r="AC947">
        <v>2</v>
      </c>
      <c r="AD947">
        <v>3</v>
      </c>
      <c r="AE947" t="s">
        <v>64</v>
      </c>
      <c r="AF947">
        <v>2</v>
      </c>
      <c r="AG947">
        <v>1</v>
      </c>
      <c r="AH947">
        <v>2</v>
      </c>
    </row>
    <row r="948" spans="1:34" x14ac:dyDescent="0.3">
      <c r="A948" t="s">
        <v>57</v>
      </c>
      <c r="B948">
        <v>1</v>
      </c>
      <c r="C948" t="s">
        <v>32</v>
      </c>
      <c r="D948">
        <v>299</v>
      </c>
      <c r="E948" t="s">
        <v>33</v>
      </c>
      <c r="F948">
        <v>25</v>
      </c>
      <c r="G948" t="str">
        <f>IF(Table2[[#This Row],[DistanceFromHome]]&lt;=5, "short", IF(Table2[[#This Row],[DistanceFromHome]]&lt;=15, "medium", "long"))</f>
        <v>long</v>
      </c>
      <c r="H948">
        <v>4</v>
      </c>
      <c r="I948" t="s">
        <v>54</v>
      </c>
      <c r="J948">
        <v>1318</v>
      </c>
      <c r="K948">
        <v>4</v>
      </c>
      <c r="L948" t="s">
        <v>41</v>
      </c>
      <c r="M948">
        <v>57</v>
      </c>
      <c r="N948">
        <v>2</v>
      </c>
      <c r="O948">
        <v>3</v>
      </c>
      <c r="P948" t="s">
        <v>36</v>
      </c>
      <c r="Q948">
        <v>2</v>
      </c>
      <c r="R948" t="s">
        <v>37</v>
      </c>
      <c r="S948">
        <v>9094</v>
      </c>
      <c r="T948">
        <v>17235</v>
      </c>
      <c r="U948">
        <v>2</v>
      </c>
      <c r="V948" t="s">
        <v>31</v>
      </c>
      <c r="W948">
        <v>12</v>
      </c>
      <c r="X948">
        <v>3</v>
      </c>
      <c r="Y948">
        <v>3</v>
      </c>
      <c r="Z948">
        <v>0</v>
      </c>
      <c r="AA948">
        <v>9</v>
      </c>
      <c r="AB948" t="str">
        <f>IF(Table2[[#This Row],[TotalWorkingYears]]&lt;=5,"Early (0-5)",IF(Table2[[#This Row],[TotalWorkingYears]]&lt;=15,"Mid (6-15)","Senior (16+)"))</f>
        <v>Mid (6-15)</v>
      </c>
      <c r="AC948">
        <v>2</v>
      </c>
      <c r="AD948">
        <v>3</v>
      </c>
      <c r="AE948" t="s">
        <v>64</v>
      </c>
      <c r="AF948">
        <v>4</v>
      </c>
      <c r="AG948">
        <v>1</v>
      </c>
      <c r="AH948">
        <v>0</v>
      </c>
    </row>
    <row r="949" spans="1:34" x14ac:dyDescent="0.3">
      <c r="A949" t="s">
        <v>58</v>
      </c>
      <c r="B949">
        <v>1</v>
      </c>
      <c r="C949" t="s">
        <v>32</v>
      </c>
      <c r="D949">
        <v>1030</v>
      </c>
      <c r="E949" t="s">
        <v>33</v>
      </c>
      <c r="F949">
        <v>5</v>
      </c>
      <c r="G949" t="str">
        <f>IF(Table2[[#This Row],[DistanceFromHome]]&lt;=5, "short", IF(Table2[[#This Row],[DistanceFromHome]]&lt;=15, "medium", "long"))</f>
        <v>short</v>
      </c>
      <c r="H949">
        <v>3</v>
      </c>
      <c r="I949" t="s">
        <v>34</v>
      </c>
      <c r="J949">
        <v>1319</v>
      </c>
      <c r="K949">
        <v>2</v>
      </c>
      <c r="L949" t="s">
        <v>41</v>
      </c>
      <c r="M949">
        <v>64</v>
      </c>
      <c r="N949">
        <v>3</v>
      </c>
      <c r="O949">
        <v>3</v>
      </c>
      <c r="P949" t="s">
        <v>36</v>
      </c>
      <c r="Q949">
        <v>2</v>
      </c>
      <c r="R949" t="s">
        <v>37</v>
      </c>
      <c r="S949">
        <v>8446</v>
      </c>
      <c r="T949">
        <v>21534</v>
      </c>
      <c r="U949">
        <v>9</v>
      </c>
      <c r="V949" t="s">
        <v>31</v>
      </c>
      <c r="W949">
        <v>19</v>
      </c>
      <c r="X949">
        <v>3</v>
      </c>
      <c r="Y949">
        <v>3</v>
      </c>
      <c r="Z949">
        <v>0</v>
      </c>
      <c r="AA949">
        <v>10</v>
      </c>
      <c r="AB949" t="str">
        <f>IF(Table2[[#This Row],[TotalWorkingYears]]&lt;=5,"Early (0-5)",IF(Table2[[#This Row],[TotalWorkingYears]]&lt;=15,"Mid (6-15)","Senior (16+)"))</f>
        <v>Mid (6-15)</v>
      </c>
      <c r="AC949">
        <v>2</v>
      </c>
      <c r="AD949">
        <v>2</v>
      </c>
      <c r="AE949" t="s">
        <v>62</v>
      </c>
      <c r="AF949">
        <v>7</v>
      </c>
      <c r="AG949">
        <v>7</v>
      </c>
      <c r="AH949">
        <v>7</v>
      </c>
    </row>
    <row r="950" spans="1:34" x14ac:dyDescent="0.3">
      <c r="A950" t="s">
        <v>59</v>
      </c>
      <c r="B950">
        <v>0</v>
      </c>
      <c r="C950" t="s">
        <v>32</v>
      </c>
      <c r="D950">
        <v>634</v>
      </c>
      <c r="E950" t="s">
        <v>40</v>
      </c>
      <c r="F950">
        <v>17</v>
      </c>
      <c r="G950" t="str">
        <f>IF(Table2[[#This Row],[DistanceFromHome]]&lt;=5, "short", IF(Table2[[#This Row],[DistanceFromHome]]&lt;=15, "medium", "long"))</f>
        <v>long</v>
      </c>
      <c r="H950">
        <v>4</v>
      </c>
      <c r="I950" t="s">
        <v>46</v>
      </c>
      <c r="J950">
        <v>1321</v>
      </c>
      <c r="K950">
        <v>2</v>
      </c>
      <c r="L950" t="s">
        <v>35</v>
      </c>
      <c r="M950">
        <v>95</v>
      </c>
      <c r="N950">
        <v>3</v>
      </c>
      <c r="O950">
        <v>3</v>
      </c>
      <c r="P950" t="s">
        <v>51</v>
      </c>
      <c r="Q950">
        <v>1</v>
      </c>
      <c r="R950" t="s">
        <v>43</v>
      </c>
      <c r="S950">
        <v>11916</v>
      </c>
      <c r="T950">
        <v>25927</v>
      </c>
      <c r="U950">
        <v>1</v>
      </c>
      <c r="V950" t="s">
        <v>31</v>
      </c>
      <c r="W950">
        <v>23</v>
      </c>
      <c r="X950">
        <v>4</v>
      </c>
      <c r="Y950">
        <v>4</v>
      </c>
      <c r="Z950">
        <v>2</v>
      </c>
      <c r="AA950">
        <v>9</v>
      </c>
      <c r="AB950" t="str">
        <f>IF(Table2[[#This Row],[TotalWorkingYears]]&lt;=5,"Early (0-5)",IF(Table2[[#This Row],[TotalWorkingYears]]&lt;=15,"Mid (6-15)","Senior (16+)"))</f>
        <v>Mid (6-15)</v>
      </c>
      <c r="AC950">
        <v>2</v>
      </c>
      <c r="AD950">
        <v>3</v>
      </c>
      <c r="AE950" t="s">
        <v>62</v>
      </c>
      <c r="AF950">
        <v>1</v>
      </c>
      <c r="AG950">
        <v>0</v>
      </c>
      <c r="AH950">
        <v>8</v>
      </c>
    </row>
    <row r="951" spans="1:34" x14ac:dyDescent="0.3">
      <c r="A951" t="s">
        <v>57</v>
      </c>
      <c r="B951">
        <v>0</v>
      </c>
      <c r="C951" t="s">
        <v>32</v>
      </c>
      <c r="D951">
        <v>524</v>
      </c>
      <c r="E951" t="s">
        <v>40</v>
      </c>
      <c r="F951">
        <v>18</v>
      </c>
      <c r="G951" t="str">
        <f>IF(Table2[[#This Row],[DistanceFromHome]]&lt;=5, "short", IF(Table2[[#This Row],[DistanceFromHome]]&lt;=15, "medium", "long"))</f>
        <v>long</v>
      </c>
      <c r="H951">
        <v>2</v>
      </c>
      <c r="I951" t="s">
        <v>34</v>
      </c>
      <c r="J951">
        <v>1322</v>
      </c>
      <c r="K951">
        <v>1</v>
      </c>
      <c r="L951" t="s">
        <v>41</v>
      </c>
      <c r="M951">
        <v>32</v>
      </c>
      <c r="N951">
        <v>3</v>
      </c>
      <c r="O951">
        <v>2</v>
      </c>
      <c r="P951" t="s">
        <v>48</v>
      </c>
      <c r="Q951">
        <v>3</v>
      </c>
      <c r="R951" t="s">
        <v>37</v>
      </c>
      <c r="S951">
        <v>4534</v>
      </c>
      <c r="T951">
        <v>13352</v>
      </c>
      <c r="U951">
        <v>0</v>
      </c>
      <c r="V951" t="s">
        <v>38</v>
      </c>
      <c r="W951">
        <v>11</v>
      </c>
      <c r="X951">
        <v>3</v>
      </c>
      <c r="Y951">
        <v>1</v>
      </c>
      <c r="Z951">
        <v>0</v>
      </c>
      <c r="AA951">
        <v>9</v>
      </c>
      <c r="AB951" t="str">
        <f>IF(Table2[[#This Row],[TotalWorkingYears]]&lt;=5,"Early (0-5)",IF(Table2[[#This Row],[TotalWorkingYears]]&lt;=15,"Mid (6-15)","Senior (16+)"))</f>
        <v>Mid (6-15)</v>
      </c>
      <c r="AC951">
        <v>6</v>
      </c>
      <c r="AD951">
        <v>3</v>
      </c>
      <c r="AE951" t="s">
        <v>62</v>
      </c>
      <c r="AF951">
        <v>7</v>
      </c>
      <c r="AG951">
        <v>1</v>
      </c>
      <c r="AH951">
        <v>7</v>
      </c>
    </row>
    <row r="952" spans="1:34" x14ac:dyDescent="0.3">
      <c r="A952" t="s">
        <v>59</v>
      </c>
      <c r="B952">
        <v>0</v>
      </c>
      <c r="C952" t="s">
        <v>50</v>
      </c>
      <c r="D952">
        <v>587</v>
      </c>
      <c r="E952" t="s">
        <v>33</v>
      </c>
      <c r="F952">
        <v>2</v>
      </c>
      <c r="G952" t="str">
        <f>IF(Table2[[#This Row],[DistanceFromHome]]&lt;=5, "short", IF(Table2[[#This Row],[DistanceFromHome]]&lt;=15, "medium", "long"))</f>
        <v>short</v>
      </c>
      <c r="H952">
        <v>4</v>
      </c>
      <c r="I952" t="s">
        <v>34</v>
      </c>
      <c r="J952">
        <v>1324</v>
      </c>
      <c r="K952">
        <v>4</v>
      </c>
      <c r="L952" t="s">
        <v>35</v>
      </c>
      <c r="M952">
        <v>57</v>
      </c>
      <c r="N952">
        <v>3</v>
      </c>
      <c r="O952">
        <v>3</v>
      </c>
      <c r="P952" t="s">
        <v>36</v>
      </c>
      <c r="Q952">
        <v>3</v>
      </c>
      <c r="R952" t="s">
        <v>47</v>
      </c>
      <c r="S952">
        <v>9852</v>
      </c>
      <c r="T952">
        <v>8935</v>
      </c>
      <c r="U952">
        <v>1</v>
      </c>
      <c r="V952" t="s">
        <v>31</v>
      </c>
      <c r="W952">
        <v>19</v>
      </c>
      <c r="X952">
        <v>3</v>
      </c>
      <c r="Y952">
        <v>1</v>
      </c>
      <c r="Z952">
        <v>1</v>
      </c>
      <c r="AA952">
        <v>10</v>
      </c>
      <c r="AB952" t="str">
        <f>IF(Table2[[#This Row],[TotalWorkingYears]]&lt;=5,"Early (0-5)",IF(Table2[[#This Row],[TotalWorkingYears]]&lt;=15,"Mid (6-15)","Senior (16+)"))</f>
        <v>Mid (6-15)</v>
      </c>
      <c r="AC952">
        <v>5</v>
      </c>
      <c r="AD952">
        <v>2</v>
      </c>
      <c r="AE952" t="s">
        <v>62</v>
      </c>
      <c r="AF952">
        <v>8</v>
      </c>
      <c r="AG952">
        <v>9</v>
      </c>
      <c r="AH952">
        <v>6</v>
      </c>
    </row>
    <row r="953" spans="1:34" x14ac:dyDescent="0.3">
      <c r="A953" t="s">
        <v>57</v>
      </c>
      <c r="B953">
        <v>0</v>
      </c>
      <c r="C953" t="s">
        <v>50</v>
      </c>
      <c r="D953">
        <v>256</v>
      </c>
      <c r="E953" t="s">
        <v>33</v>
      </c>
      <c r="F953">
        <v>10</v>
      </c>
      <c r="G953" t="str">
        <f>IF(Table2[[#This Row],[DistanceFromHome]]&lt;=5, "short", IF(Table2[[#This Row],[DistanceFromHome]]&lt;=15, "medium", "long"))</f>
        <v>medium</v>
      </c>
      <c r="H953">
        <v>2</v>
      </c>
      <c r="I953" t="s">
        <v>46</v>
      </c>
      <c r="J953">
        <v>1329</v>
      </c>
      <c r="K953">
        <v>3</v>
      </c>
      <c r="L953" t="s">
        <v>41</v>
      </c>
      <c r="M953">
        <v>40</v>
      </c>
      <c r="N953">
        <v>1</v>
      </c>
      <c r="O953">
        <v>2</v>
      </c>
      <c r="P953" t="s">
        <v>36</v>
      </c>
      <c r="Q953">
        <v>2</v>
      </c>
      <c r="R953" t="s">
        <v>37</v>
      </c>
      <c r="S953">
        <v>6151</v>
      </c>
      <c r="T953">
        <v>22074</v>
      </c>
      <c r="U953">
        <v>1</v>
      </c>
      <c r="V953" t="s">
        <v>38</v>
      </c>
      <c r="W953">
        <v>13</v>
      </c>
      <c r="X953">
        <v>3</v>
      </c>
      <c r="Y953">
        <v>1</v>
      </c>
      <c r="Z953">
        <v>0</v>
      </c>
      <c r="AA953">
        <v>19</v>
      </c>
      <c r="AB953" t="str">
        <f>IF(Table2[[#This Row],[TotalWorkingYears]]&lt;=5,"Early (0-5)",IF(Table2[[#This Row],[TotalWorkingYears]]&lt;=15,"Mid (6-15)","Senior (16+)"))</f>
        <v>Senior (16+)</v>
      </c>
      <c r="AC953">
        <v>4</v>
      </c>
      <c r="AD953">
        <v>3</v>
      </c>
      <c r="AE953" t="s">
        <v>65</v>
      </c>
      <c r="AF953">
        <v>2</v>
      </c>
      <c r="AG953">
        <v>11</v>
      </c>
      <c r="AH953">
        <v>9</v>
      </c>
    </row>
    <row r="954" spans="1:34" x14ac:dyDescent="0.3">
      <c r="A954" t="s">
        <v>59</v>
      </c>
      <c r="B954">
        <v>1</v>
      </c>
      <c r="C954" t="s">
        <v>39</v>
      </c>
      <c r="D954">
        <v>1060</v>
      </c>
      <c r="E954" t="s">
        <v>33</v>
      </c>
      <c r="F954">
        <v>1</v>
      </c>
      <c r="G954" t="str">
        <f>IF(Table2[[#This Row],[DistanceFromHome]]&lt;=5, "short", IF(Table2[[#This Row],[DistanceFromHome]]&lt;=15, "medium", "long"))</f>
        <v>short</v>
      </c>
      <c r="H954">
        <v>3</v>
      </c>
      <c r="I954" t="s">
        <v>34</v>
      </c>
      <c r="J954">
        <v>1331</v>
      </c>
      <c r="K954">
        <v>4</v>
      </c>
      <c r="L954" t="s">
        <v>35</v>
      </c>
      <c r="M954">
        <v>54</v>
      </c>
      <c r="N954">
        <v>3</v>
      </c>
      <c r="O954">
        <v>1</v>
      </c>
      <c r="P954" t="s">
        <v>52</v>
      </c>
      <c r="Q954">
        <v>2</v>
      </c>
      <c r="R954" t="s">
        <v>37</v>
      </c>
      <c r="S954">
        <v>2302</v>
      </c>
      <c r="T954">
        <v>8319</v>
      </c>
      <c r="U954">
        <v>1</v>
      </c>
      <c r="V954" t="s">
        <v>31</v>
      </c>
      <c r="W954">
        <v>11</v>
      </c>
      <c r="X954">
        <v>3</v>
      </c>
      <c r="Y954">
        <v>1</v>
      </c>
      <c r="Z954">
        <v>0</v>
      </c>
      <c r="AA954">
        <v>3</v>
      </c>
      <c r="AB954" t="str">
        <f>IF(Table2[[#This Row],[TotalWorkingYears]]&lt;=5,"Early (0-5)",IF(Table2[[#This Row],[TotalWorkingYears]]&lt;=15,"Mid (6-15)","Senior (16+)"))</f>
        <v>Early (0-5)</v>
      </c>
      <c r="AC954">
        <v>2</v>
      </c>
      <c r="AD954">
        <v>4</v>
      </c>
      <c r="AE954" t="s">
        <v>64</v>
      </c>
      <c r="AF954">
        <v>2</v>
      </c>
      <c r="AG954">
        <v>2</v>
      </c>
      <c r="AH954">
        <v>2</v>
      </c>
    </row>
    <row r="955" spans="1:34" x14ac:dyDescent="0.3">
      <c r="A955" t="s">
        <v>57</v>
      </c>
      <c r="B955">
        <v>1</v>
      </c>
      <c r="C955" t="s">
        <v>32</v>
      </c>
      <c r="D955">
        <v>935</v>
      </c>
      <c r="E955" t="s">
        <v>40</v>
      </c>
      <c r="F955">
        <v>3</v>
      </c>
      <c r="G955" t="str">
        <f>IF(Table2[[#This Row],[DistanceFromHome]]&lt;=5, "short", IF(Table2[[#This Row],[DistanceFromHome]]&lt;=15, "medium", "long"))</f>
        <v>short</v>
      </c>
      <c r="H955">
        <v>3</v>
      </c>
      <c r="I955" t="s">
        <v>34</v>
      </c>
      <c r="J955">
        <v>1333</v>
      </c>
      <c r="K955">
        <v>1</v>
      </c>
      <c r="L955" t="s">
        <v>41</v>
      </c>
      <c r="M955">
        <v>89</v>
      </c>
      <c r="N955">
        <v>3</v>
      </c>
      <c r="O955">
        <v>1</v>
      </c>
      <c r="P955" t="s">
        <v>45</v>
      </c>
      <c r="Q955">
        <v>1</v>
      </c>
      <c r="R955" t="s">
        <v>43</v>
      </c>
      <c r="S955">
        <v>2362</v>
      </c>
      <c r="T955">
        <v>14669</v>
      </c>
      <c r="U955">
        <v>4</v>
      </c>
      <c r="V955" t="s">
        <v>38</v>
      </c>
      <c r="W955">
        <v>12</v>
      </c>
      <c r="X955">
        <v>3</v>
      </c>
      <c r="Y955">
        <v>3</v>
      </c>
      <c r="Z955">
        <v>0</v>
      </c>
      <c r="AA955">
        <v>10</v>
      </c>
      <c r="AB955" t="str">
        <f>IF(Table2[[#This Row],[TotalWorkingYears]]&lt;=5,"Early (0-5)",IF(Table2[[#This Row],[TotalWorkingYears]]&lt;=15,"Mid (6-15)","Senior (16+)"))</f>
        <v>Mid (6-15)</v>
      </c>
      <c r="AC955">
        <v>4</v>
      </c>
      <c r="AD955">
        <v>4</v>
      </c>
      <c r="AE955" t="s">
        <v>64</v>
      </c>
      <c r="AF955">
        <v>2</v>
      </c>
      <c r="AG955">
        <v>1</v>
      </c>
      <c r="AH955">
        <v>2</v>
      </c>
    </row>
    <row r="956" spans="1:34" x14ac:dyDescent="0.3">
      <c r="A956" t="s">
        <v>57</v>
      </c>
      <c r="B956">
        <v>0</v>
      </c>
      <c r="C956" t="s">
        <v>50</v>
      </c>
      <c r="D956">
        <v>495</v>
      </c>
      <c r="E956" t="s">
        <v>40</v>
      </c>
      <c r="F956">
        <v>2</v>
      </c>
      <c r="G956" t="str">
        <f>IF(Table2[[#This Row],[DistanceFromHome]]&lt;=5, "short", IF(Table2[[#This Row],[DistanceFromHome]]&lt;=15, "medium", "long"))</f>
        <v>short</v>
      </c>
      <c r="H956">
        <v>1</v>
      </c>
      <c r="I956" t="s">
        <v>34</v>
      </c>
      <c r="J956">
        <v>1334</v>
      </c>
      <c r="K956">
        <v>3</v>
      </c>
      <c r="L956" t="s">
        <v>41</v>
      </c>
      <c r="M956">
        <v>37</v>
      </c>
      <c r="N956">
        <v>3</v>
      </c>
      <c r="O956">
        <v>4</v>
      </c>
      <c r="P956" t="s">
        <v>51</v>
      </c>
      <c r="Q956">
        <v>3</v>
      </c>
      <c r="R956" t="s">
        <v>43</v>
      </c>
      <c r="S956">
        <v>17861</v>
      </c>
      <c r="T956">
        <v>26582</v>
      </c>
      <c r="U956">
        <v>0</v>
      </c>
      <c r="V956" t="s">
        <v>31</v>
      </c>
      <c r="W956">
        <v>13</v>
      </c>
      <c r="X956">
        <v>3</v>
      </c>
      <c r="Y956">
        <v>4</v>
      </c>
      <c r="Z956">
        <v>0</v>
      </c>
      <c r="AA956">
        <v>21</v>
      </c>
      <c r="AB956" t="str">
        <f>IF(Table2[[#This Row],[TotalWorkingYears]]&lt;=5,"Early (0-5)",IF(Table2[[#This Row],[TotalWorkingYears]]&lt;=15,"Mid (6-15)","Senior (16+)"))</f>
        <v>Senior (16+)</v>
      </c>
      <c r="AC956">
        <v>3</v>
      </c>
      <c r="AD956">
        <v>2</v>
      </c>
      <c r="AE956" t="s">
        <v>65</v>
      </c>
      <c r="AF956">
        <v>8</v>
      </c>
      <c r="AG956">
        <v>2</v>
      </c>
      <c r="AH956">
        <v>10</v>
      </c>
    </row>
    <row r="957" spans="1:34" x14ac:dyDescent="0.3">
      <c r="A957" t="s">
        <v>58</v>
      </c>
      <c r="B957">
        <v>0</v>
      </c>
      <c r="C957" t="s">
        <v>32</v>
      </c>
      <c r="D957">
        <v>282</v>
      </c>
      <c r="E957" t="s">
        <v>40</v>
      </c>
      <c r="F957">
        <v>2</v>
      </c>
      <c r="G957" t="str">
        <f>IF(Table2[[#This Row],[DistanceFromHome]]&lt;=5, "short", IF(Table2[[#This Row],[DistanceFromHome]]&lt;=15, "medium", "long"))</f>
        <v>short</v>
      </c>
      <c r="H957">
        <v>2</v>
      </c>
      <c r="I957" t="s">
        <v>46</v>
      </c>
      <c r="J957">
        <v>1336</v>
      </c>
      <c r="K957">
        <v>4</v>
      </c>
      <c r="L957" t="s">
        <v>35</v>
      </c>
      <c r="M957">
        <v>58</v>
      </c>
      <c r="N957">
        <v>1</v>
      </c>
      <c r="O957">
        <v>5</v>
      </c>
      <c r="P957" t="s">
        <v>51</v>
      </c>
      <c r="Q957">
        <v>3</v>
      </c>
      <c r="R957" t="s">
        <v>43</v>
      </c>
      <c r="S957">
        <v>19187</v>
      </c>
      <c r="T957">
        <v>6992</v>
      </c>
      <c r="U957">
        <v>4</v>
      </c>
      <c r="V957" t="s">
        <v>38</v>
      </c>
      <c r="W957">
        <v>14</v>
      </c>
      <c r="X957">
        <v>3</v>
      </c>
      <c r="Y957">
        <v>4</v>
      </c>
      <c r="Z957">
        <v>1</v>
      </c>
      <c r="AA957">
        <v>23</v>
      </c>
      <c r="AB957" t="str">
        <f>IF(Table2[[#This Row],[TotalWorkingYears]]&lt;=5,"Early (0-5)",IF(Table2[[#This Row],[TotalWorkingYears]]&lt;=15,"Mid (6-15)","Senior (16+)"))</f>
        <v>Senior (16+)</v>
      </c>
      <c r="AC957">
        <v>5</v>
      </c>
      <c r="AD957">
        <v>3</v>
      </c>
      <c r="AE957" t="s">
        <v>65</v>
      </c>
      <c r="AF957">
        <v>9</v>
      </c>
      <c r="AG957">
        <v>9</v>
      </c>
      <c r="AH957">
        <v>11</v>
      </c>
    </row>
    <row r="958" spans="1:34" x14ac:dyDescent="0.3">
      <c r="A958" t="s">
        <v>58</v>
      </c>
      <c r="B958">
        <v>0</v>
      </c>
      <c r="C958" t="s">
        <v>32</v>
      </c>
      <c r="D958">
        <v>206</v>
      </c>
      <c r="E958" t="s">
        <v>56</v>
      </c>
      <c r="F958">
        <v>8</v>
      </c>
      <c r="G958" t="str">
        <f>IF(Table2[[#This Row],[DistanceFromHome]]&lt;=5, "short", IF(Table2[[#This Row],[DistanceFromHome]]&lt;=15, "medium", "long"))</f>
        <v>medium</v>
      </c>
      <c r="H958">
        <v>4</v>
      </c>
      <c r="I958" t="s">
        <v>34</v>
      </c>
      <c r="J958">
        <v>1338</v>
      </c>
      <c r="K958">
        <v>4</v>
      </c>
      <c r="L958" t="s">
        <v>41</v>
      </c>
      <c r="M958">
        <v>99</v>
      </c>
      <c r="N958">
        <v>3</v>
      </c>
      <c r="O958">
        <v>5</v>
      </c>
      <c r="P958" t="s">
        <v>51</v>
      </c>
      <c r="Q958">
        <v>2</v>
      </c>
      <c r="R958" t="s">
        <v>37</v>
      </c>
      <c r="S958">
        <v>19717</v>
      </c>
      <c r="T958">
        <v>4022</v>
      </c>
      <c r="U958">
        <v>6</v>
      </c>
      <c r="V958" t="s">
        <v>38</v>
      </c>
      <c r="W958">
        <v>14</v>
      </c>
      <c r="X958">
        <v>3</v>
      </c>
      <c r="Y958">
        <v>1</v>
      </c>
      <c r="Z958">
        <v>0</v>
      </c>
      <c r="AA958">
        <v>36</v>
      </c>
      <c r="AB958" t="str">
        <f>IF(Table2[[#This Row],[TotalWorkingYears]]&lt;=5,"Early (0-5)",IF(Table2[[#This Row],[TotalWorkingYears]]&lt;=15,"Mid (6-15)","Senior (16+)"))</f>
        <v>Senior (16+)</v>
      </c>
      <c r="AC958">
        <v>4</v>
      </c>
      <c r="AD958">
        <v>3</v>
      </c>
      <c r="AE958" t="s">
        <v>62</v>
      </c>
      <c r="AF958">
        <v>3</v>
      </c>
      <c r="AG958">
        <v>7</v>
      </c>
      <c r="AH958">
        <v>7</v>
      </c>
    </row>
    <row r="959" spans="1:34" x14ac:dyDescent="0.3">
      <c r="A959" t="s">
        <v>57</v>
      </c>
      <c r="B959">
        <v>0</v>
      </c>
      <c r="C959" t="s">
        <v>50</v>
      </c>
      <c r="D959">
        <v>458</v>
      </c>
      <c r="E959" t="s">
        <v>40</v>
      </c>
      <c r="F959">
        <v>16</v>
      </c>
      <c r="G959" t="str">
        <f>IF(Table2[[#This Row],[DistanceFromHome]]&lt;=5, "short", IF(Table2[[#This Row],[DistanceFromHome]]&lt;=15, "medium", "long"))</f>
        <v>long</v>
      </c>
      <c r="H959">
        <v>2</v>
      </c>
      <c r="I959" t="s">
        <v>34</v>
      </c>
      <c r="J959">
        <v>1340</v>
      </c>
      <c r="K959">
        <v>3</v>
      </c>
      <c r="L959" t="s">
        <v>41</v>
      </c>
      <c r="M959">
        <v>74</v>
      </c>
      <c r="N959">
        <v>3</v>
      </c>
      <c r="O959">
        <v>1</v>
      </c>
      <c r="P959" t="s">
        <v>42</v>
      </c>
      <c r="Q959">
        <v>3</v>
      </c>
      <c r="R959" t="s">
        <v>47</v>
      </c>
      <c r="S959">
        <v>3544</v>
      </c>
      <c r="T959">
        <v>8532</v>
      </c>
      <c r="U959">
        <v>9</v>
      </c>
      <c r="V959" t="s">
        <v>38</v>
      </c>
      <c r="W959">
        <v>16</v>
      </c>
      <c r="X959">
        <v>3</v>
      </c>
      <c r="Y959">
        <v>2</v>
      </c>
      <c r="Z959">
        <v>1</v>
      </c>
      <c r="AA959">
        <v>6</v>
      </c>
      <c r="AB959" t="str">
        <f>IF(Table2[[#This Row],[TotalWorkingYears]]&lt;=5,"Early (0-5)",IF(Table2[[#This Row],[TotalWorkingYears]]&lt;=15,"Mid (6-15)","Senior (16+)"))</f>
        <v>Mid (6-15)</v>
      </c>
      <c r="AC959">
        <v>0</v>
      </c>
      <c r="AD959">
        <v>3</v>
      </c>
      <c r="AE959" t="s">
        <v>64</v>
      </c>
      <c r="AF959">
        <v>2</v>
      </c>
      <c r="AG959">
        <v>0</v>
      </c>
      <c r="AH959">
        <v>0</v>
      </c>
    </row>
    <row r="960" spans="1:34" x14ac:dyDescent="0.3">
      <c r="A960" t="s">
        <v>59</v>
      </c>
      <c r="B960">
        <v>0</v>
      </c>
      <c r="C960" t="s">
        <v>32</v>
      </c>
      <c r="D960">
        <v>943</v>
      </c>
      <c r="E960" t="s">
        <v>40</v>
      </c>
      <c r="F960">
        <v>9</v>
      </c>
      <c r="G960" t="str">
        <f>IF(Table2[[#This Row],[DistanceFromHome]]&lt;=5, "short", IF(Table2[[#This Row],[DistanceFromHome]]&lt;=15, "medium", "long"))</f>
        <v>medium</v>
      </c>
      <c r="H960">
        <v>3</v>
      </c>
      <c r="I960" t="s">
        <v>34</v>
      </c>
      <c r="J960">
        <v>1344</v>
      </c>
      <c r="K960">
        <v>4</v>
      </c>
      <c r="L960" t="s">
        <v>41</v>
      </c>
      <c r="M960">
        <v>86</v>
      </c>
      <c r="N960">
        <v>3</v>
      </c>
      <c r="O960">
        <v>3</v>
      </c>
      <c r="P960" t="s">
        <v>49</v>
      </c>
      <c r="Q960">
        <v>4</v>
      </c>
      <c r="R960" t="s">
        <v>47</v>
      </c>
      <c r="S960">
        <v>8500</v>
      </c>
      <c r="T960">
        <v>5494</v>
      </c>
      <c r="U960">
        <v>0</v>
      </c>
      <c r="V960" t="s">
        <v>38</v>
      </c>
      <c r="W960">
        <v>11</v>
      </c>
      <c r="X960">
        <v>3</v>
      </c>
      <c r="Y960">
        <v>4</v>
      </c>
      <c r="Z960">
        <v>1</v>
      </c>
      <c r="AA960">
        <v>10</v>
      </c>
      <c r="AB960" t="str">
        <f>IF(Table2[[#This Row],[TotalWorkingYears]]&lt;=5,"Early (0-5)",IF(Table2[[#This Row],[TotalWorkingYears]]&lt;=15,"Mid (6-15)","Senior (16+)"))</f>
        <v>Mid (6-15)</v>
      </c>
      <c r="AC960">
        <v>0</v>
      </c>
      <c r="AD960">
        <v>2</v>
      </c>
      <c r="AE960" t="s">
        <v>62</v>
      </c>
      <c r="AF960">
        <v>7</v>
      </c>
      <c r="AG960">
        <v>1</v>
      </c>
      <c r="AH960">
        <v>6</v>
      </c>
    </row>
    <row r="961" spans="1:34" x14ac:dyDescent="0.3">
      <c r="A961" t="s">
        <v>57</v>
      </c>
      <c r="B961">
        <v>0</v>
      </c>
      <c r="C961" t="s">
        <v>32</v>
      </c>
      <c r="D961">
        <v>523</v>
      </c>
      <c r="E961" t="s">
        <v>40</v>
      </c>
      <c r="F961">
        <v>2</v>
      </c>
      <c r="G961" t="str">
        <f>IF(Table2[[#This Row],[DistanceFromHome]]&lt;=5, "short", IF(Table2[[#This Row],[DistanceFromHome]]&lt;=15, "medium", "long"))</f>
        <v>short</v>
      </c>
      <c r="H961">
        <v>3</v>
      </c>
      <c r="I961" t="s">
        <v>34</v>
      </c>
      <c r="J961">
        <v>1346</v>
      </c>
      <c r="K961">
        <v>3</v>
      </c>
      <c r="L961" t="s">
        <v>41</v>
      </c>
      <c r="M961">
        <v>98</v>
      </c>
      <c r="N961">
        <v>3</v>
      </c>
      <c r="O961">
        <v>2</v>
      </c>
      <c r="P961" t="s">
        <v>42</v>
      </c>
      <c r="Q961">
        <v>4</v>
      </c>
      <c r="R961" t="s">
        <v>37</v>
      </c>
      <c r="S961">
        <v>4661</v>
      </c>
      <c r="T961">
        <v>22455</v>
      </c>
      <c r="U961">
        <v>1</v>
      </c>
      <c r="V961" t="s">
        <v>38</v>
      </c>
      <c r="W961">
        <v>13</v>
      </c>
      <c r="X961">
        <v>3</v>
      </c>
      <c r="Y961">
        <v>3</v>
      </c>
      <c r="Z961">
        <v>0</v>
      </c>
      <c r="AA961">
        <v>9</v>
      </c>
      <c r="AB961" t="str">
        <f>IF(Table2[[#This Row],[TotalWorkingYears]]&lt;=5,"Early (0-5)",IF(Table2[[#This Row],[TotalWorkingYears]]&lt;=15,"Mid (6-15)","Senior (16+)"))</f>
        <v>Mid (6-15)</v>
      </c>
      <c r="AC961">
        <v>4</v>
      </c>
      <c r="AD961">
        <v>3</v>
      </c>
      <c r="AE961" t="s">
        <v>62</v>
      </c>
      <c r="AF961">
        <v>8</v>
      </c>
      <c r="AG961">
        <v>8</v>
      </c>
      <c r="AH961">
        <v>8</v>
      </c>
    </row>
    <row r="962" spans="1:34" x14ac:dyDescent="0.3">
      <c r="A962" t="s">
        <v>57</v>
      </c>
      <c r="B962">
        <v>0</v>
      </c>
      <c r="C962" t="s">
        <v>39</v>
      </c>
      <c r="D962">
        <v>1018</v>
      </c>
      <c r="E962" t="s">
        <v>33</v>
      </c>
      <c r="F962">
        <v>1</v>
      </c>
      <c r="G962" t="str">
        <f>IF(Table2[[#This Row],[DistanceFromHome]]&lt;=5, "short", IF(Table2[[#This Row],[DistanceFromHome]]&lt;=15, "medium", "long"))</f>
        <v>short</v>
      </c>
      <c r="H962">
        <v>3</v>
      </c>
      <c r="I962" t="s">
        <v>54</v>
      </c>
      <c r="J962">
        <v>1349</v>
      </c>
      <c r="K962">
        <v>3</v>
      </c>
      <c r="L962" t="s">
        <v>35</v>
      </c>
      <c r="M962">
        <v>66</v>
      </c>
      <c r="N962">
        <v>3</v>
      </c>
      <c r="O962">
        <v>2</v>
      </c>
      <c r="P962" t="s">
        <v>36</v>
      </c>
      <c r="Q962">
        <v>1</v>
      </c>
      <c r="R962" t="s">
        <v>47</v>
      </c>
      <c r="S962">
        <v>4103</v>
      </c>
      <c r="T962">
        <v>4297</v>
      </c>
      <c r="U962">
        <v>0</v>
      </c>
      <c r="V962" t="s">
        <v>38</v>
      </c>
      <c r="W962">
        <v>17</v>
      </c>
      <c r="X962">
        <v>3</v>
      </c>
      <c r="Y962">
        <v>4</v>
      </c>
      <c r="Z962">
        <v>1</v>
      </c>
      <c r="AA962">
        <v>10</v>
      </c>
      <c r="AB962" t="str">
        <f>IF(Table2[[#This Row],[TotalWorkingYears]]&lt;=5,"Early (0-5)",IF(Table2[[#This Row],[TotalWorkingYears]]&lt;=15,"Mid (6-15)","Senior (16+)"))</f>
        <v>Mid (6-15)</v>
      </c>
      <c r="AC962">
        <v>2</v>
      </c>
      <c r="AD962">
        <v>3</v>
      </c>
      <c r="AE962" t="s">
        <v>62</v>
      </c>
      <c r="AF962">
        <v>3</v>
      </c>
      <c r="AG962">
        <v>1</v>
      </c>
      <c r="AH962">
        <v>7</v>
      </c>
    </row>
    <row r="963" spans="1:34" x14ac:dyDescent="0.3">
      <c r="A963" t="s">
        <v>59</v>
      </c>
      <c r="B963">
        <v>0</v>
      </c>
      <c r="C963" t="s">
        <v>39</v>
      </c>
      <c r="D963">
        <v>482</v>
      </c>
      <c r="E963" t="s">
        <v>40</v>
      </c>
      <c r="F963">
        <v>4</v>
      </c>
      <c r="G963" t="str">
        <f>IF(Table2[[#This Row],[DistanceFromHome]]&lt;=5, "short", IF(Table2[[#This Row],[DistanceFromHome]]&lt;=15, "medium", "long"))</f>
        <v>short</v>
      </c>
      <c r="H963">
        <v>4</v>
      </c>
      <c r="I963" t="s">
        <v>34</v>
      </c>
      <c r="J963">
        <v>1350</v>
      </c>
      <c r="K963">
        <v>3</v>
      </c>
      <c r="L963" t="s">
        <v>41</v>
      </c>
      <c r="M963">
        <v>87</v>
      </c>
      <c r="N963">
        <v>3</v>
      </c>
      <c r="O963">
        <v>2</v>
      </c>
      <c r="P963" t="s">
        <v>42</v>
      </c>
      <c r="Q963">
        <v>3</v>
      </c>
      <c r="R963" t="s">
        <v>37</v>
      </c>
      <c r="S963">
        <v>4249</v>
      </c>
      <c r="T963">
        <v>2690</v>
      </c>
      <c r="U963">
        <v>1</v>
      </c>
      <c r="V963" t="s">
        <v>31</v>
      </c>
      <c r="W963">
        <v>11</v>
      </c>
      <c r="X963">
        <v>3</v>
      </c>
      <c r="Y963">
        <v>2</v>
      </c>
      <c r="Z963">
        <v>0</v>
      </c>
      <c r="AA963">
        <v>9</v>
      </c>
      <c r="AB963" t="str">
        <f>IF(Table2[[#This Row],[TotalWorkingYears]]&lt;=5,"Early (0-5)",IF(Table2[[#This Row],[TotalWorkingYears]]&lt;=15,"Mid (6-15)","Senior (16+)"))</f>
        <v>Mid (6-15)</v>
      </c>
      <c r="AC963">
        <v>3</v>
      </c>
      <c r="AD963">
        <v>3</v>
      </c>
      <c r="AE963" t="s">
        <v>62</v>
      </c>
      <c r="AF963">
        <v>6</v>
      </c>
      <c r="AG963">
        <v>1</v>
      </c>
      <c r="AH963">
        <v>1</v>
      </c>
    </row>
    <row r="964" spans="1:34" x14ac:dyDescent="0.3">
      <c r="A964" t="s">
        <v>58</v>
      </c>
      <c r="B964">
        <v>0</v>
      </c>
      <c r="C964" t="s">
        <v>32</v>
      </c>
      <c r="D964">
        <v>770</v>
      </c>
      <c r="E964" t="s">
        <v>56</v>
      </c>
      <c r="F964">
        <v>5</v>
      </c>
      <c r="G964" t="str">
        <f>IF(Table2[[#This Row],[DistanceFromHome]]&lt;=5, "short", IF(Table2[[#This Row],[DistanceFromHome]]&lt;=15, "medium", "long"))</f>
        <v>short</v>
      </c>
      <c r="H964">
        <v>3</v>
      </c>
      <c r="I964" t="s">
        <v>34</v>
      </c>
      <c r="J964">
        <v>1352</v>
      </c>
      <c r="K964">
        <v>3</v>
      </c>
      <c r="L964" t="s">
        <v>41</v>
      </c>
      <c r="M964">
        <v>84</v>
      </c>
      <c r="N964">
        <v>3</v>
      </c>
      <c r="O964">
        <v>4</v>
      </c>
      <c r="P964" t="s">
        <v>51</v>
      </c>
      <c r="Q964">
        <v>2</v>
      </c>
      <c r="R964" t="s">
        <v>47</v>
      </c>
      <c r="S964">
        <v>14026</v>
      </c>
      <c r="T964">
        <v>17588</v>
      </c>
      <c r="U964">
        <v>1</v>
      </c>
      <c r="V964" t="s">
        <v>31</v>
      </c>
      <c r="W964">
        <v>11</v>
      </c>
      <c r="X964">
        <v>3</v>
      </c>
      <c r="Y964">
        <v>2</v>
      </c>
      <c r="Z964">
        <v>1</v>
      </c>
      <c r="AA964">
        <v>33</v>
      </c>
      <c r="AB964" t="str">
        <f>IF(Table2[[#This Row],[TotalWorkingYears]]&lt;=5,"Early (0-5)",IF(Table2[[#This Row],[TotalWorkingYears]]&lt;=15,"Mid (6-15)","Senior (16+)"))</f>
        <v>Senior (16+)</v>
      </c>
      <c r="AC964">
        <v>2</v>
      </c>
      <c r="AD964">
        <v>3</v>
      </c>
      <c r="AE964" t="s">
        <v>65</v>
      </c>
      <c r="AF964">
        <v>9</v>
      </c>
      <c r="AG964">
        <v>0</v>
      </c>
      <c r="AH964">
        <v>10</v>
      </c>
    </row>
    <row r="965" spans="1:34" x14ac:dyDescent="0.3">
      <c r="A965" t="s">
        <v>57</v>
      </c>
      <c r="B965">
        <v>0</v>
      </c>
      <c r="C965" t="s">
        <v>32</v>
      </c>
      <c r="D965">
        <v>1009</v>
      </c>
      <c r="E965" t="s">
        <v>33</v>
      </c>
      <c r="F965">
        <v>2</v>
      </c>
      <c r="G965" t="str">
        <f>IF(Table2[[#This Row],[DistanceFromHome]]&lt;=5, "short", IF(Table2[[#This Row],[DistanceFromHome]]&lt;=15, "medium", "long"))</f>
        <v>short</v>
      </c>
      <c r="H965">
        <v>2</v>
      </c>
      <c r="I965" t="s">
        <v>34</v>
      </c>
      <c r="J965">
        <v>1355</v>
      </c>
      <c r="K965">
        <v>2</v>
      </c>
      <c r="L965" t="s">
        <v>35</v>
      </c>
      <c r="M965">
        <v>31</v>
      </c>
      <c r="N965">
        <v>3</v>
      </c>
      <c r="O965">
        <v>2</v>
      </c>
      <c r="P965" t="s">
        <v>36</v>
      </c>
      <c r="Q965">
        <v>1</v>
      </c>
      <c r="R965" t="s">
        <v>47</v>
      </c>
      <c r="S965">
        <v>6893</v>
      </c>
      <c r="T965">
        <v>19461</v>
      </c>
      <c r="U965">
        <v>3</v>
      </c>
      <c r="V965" t="s">
        <v>38</v>
      </c>
      <c r="W965">
        <v>15</v>
      </c>
      <c r="X965">
        <v>3</v>
      </c>
      <c r="Y965">
        <v>4</v>
      </c>
      <c r="Z965">
        <v>1</v>
      </c>
      <c r="AA965">
        <v>11</v>
      </c>
      <c r="AB965" t="str">
        <f>IF(Table2[[#This Row],[TotalWorkingYears]]&lt;=5,"Early (0-5)",IF(Table2[[#This Row],[TotalWorkingYears]]&lt;=15,"Mid (6-15)","Senior (16+)"))</f>
        <v>Mid (6-15)</v>
      </c>
      <c r="AC965">
        <v>3</v>
      </c>
      <c r="AD965">
        <v>3</v>
      </c>
      <c r="AE965" t="s">
        <v>62</v>
      </c>
      <c r="AF965">
        <v>7</v>
      </c>
      <c r="AG965">
        <v>1</v>
      </c>
      <c r="AH965">
        <v>7</v>
      </c>
    </row>
    <row r="966" spans="1:34" x14ac:dyDescent="0.3">
      <c r="A966" t="s">
        <v>59</v>
      </c>
      <c r="B966">
        <v>0</v>
      </c>
      <c r="C966" t="s">
        <v>32</v>
      </c>
      <c r="D966">
        <v>507</v>
      </c>
      <c r="E966" t="s">
        <v>33</v>
      </c>
      <c r="F966">
        <v>15</v>
      </c>
      <c r="G966" t="str">
        <f>IF(Table2[[#This Row],[DistanceFromHome]]&lt;=5, "short", IF(Table2[[#This Row],[DistanceFromHome]]&lt;=15, "medium", "long"))</f>
        <v>medium</v>
      </c>
      <c r="H966">
        <v>2</v>
      </c>
      <c r="I966" t="s">
        <v>46</v>
      </c>
      <c r="J966">
        <v>1356</v>
      </c>
      <c r="K966">
        <v>3</v>
      </c>
      <c r="L966" t="s">
        <v>35</v>
      </c>
      <c r="M966">
        <v>66</v>
      </c>
      <c r="N966">
        <v>3</v>
      </c>
      <c r="O966">
        <v>2</v>
      </c>
      <c r="P966" t="s">
        <v>36</v>
      </c>
      <c r="Q966">
        <v>1</v>
      </c>
      <c r="R966" t="s">
        <v>37</v>
      </c>
      <c r="S966">
        <v>6125</v>
      </c>
      <c r="T966">
        <v>23553</v>
      </c>
      <c r="U966">
        <v>1</v>
      </c>
      <c r="V966" t="s">
        <v>38</v>
      </c>
      <c r="W966">
        <v>12</v>
      </c>
      <c r="X966">
        <v>3</v>
      </c>
      <c r="Y966">
        <v>4</v>
      </c>
      <c r="Z966">
        <v>0</v>
      </c>
      <c r="AA966">
        <v>10</v>
      </c>
      <c r="AB966" t="str">
        <f>IF(Table2[[#This Row],[TotalWorkingYears]]&lt;=5,"Early (0-5)",IF(Table2[[#This Row],[TotalWorkingYears]]&lt;=15,"Mid (6-15)","Senior (16+)"))</f>
        <v>Mid (6-15)</v>
      </c>
      <c r="AC966">
        <v>6</v>
      </c>
      <c r="AD966">
        <v>4</v>
      </c>
      <c r="AE966" t="s">
        <v>62</v>
      </c>
      <c r="AF966">
        <v>8</v>
      </c>
      <c r="AG966">
        <v>9</v>
      </c>
      <c r="AH966">
        <v>6</v>
      </c>
    </row>
    <row r="967" spans="1:34" x14ac:dyDescent="0.3">
      <c r="A967" t="s">
        <v>60</v>
      </c>
      <c r="B967">
        <v>0</v>
      </c>
      <c r="C967" t="s">
        <v>32</v>
      </c>
      <c r="D967">
        <v>882</v>
      </c>
      <c r="E967" t="s">
        <v>40</v>
      </c>
      <c r="F967">
        <v>19</v>
      </c>
      <c r="G967" t="str">
        <f>IF(Table2[[#This Row],[DistanceFromHome]]&lt;=5, "short", IF(Table2[[#This Row],[DistanceFromHome]]&lt;=15, "medium", "long"))</f>
        <v>long</v>
      </c>
      <c r="H967">
        <v>1</v>
      </c>
      <c r="I967" t="s">
        <v>46</v>
      </c>
      <c r="J967">
        <v>1358</v>
      </c>
      <c r="K967">
        <v>4</v>
      </c>
      <c r="L967" t="s">
        <v>41</v>
      </c>
      <c r="M967">
        <v>67</v>
      </c>
      <c r="N967">
        <v>3</v>
      </c>
      <c r="O967">
        <v>1</v>
      </c>
      <c r="P967" t="s">
        <v>45</v>
      </c>
      <c r="Q967">
        <v>4</v>
      </c>
      <c r="R967" t="s">
        <v>43</v>
      </c>
      <c r="S967">
        <v>3669</v>
      </c>
      <c r="T967">
        <v>9075</v>
      </c>
      <c r="U967">
        <v>3</v>
      </c>
      <c r="V967" t="s">
        <v>38</v>
      </c>
      <c r="W967">
        <v>11</v>
      </c>
      <c r="X967">
        <v>3</v>
      </c>
      <c r="Y967">
        <v>3</v>
      </c>
      <c r="Z967">
        <v>3</v>
      </c>
      <c r="AA967">
        <v>7</v>
      </c>
      <c r="AB967" t="str">
        <f>IF(Table2[[#This Row],[TotalWorkingYears]]&lt;=5,"Early (0-5)",IF(Table2[[#This Row],[TotalWorkingYears]]&lt;=15,"Mid (6-15)","Senior (16+)"))</f>
        <v>Mid (6-15)</v>
      </c>
      <c r="AC967">
        <v>6</v>
      </c>
      <c r="AD967">
        <v>2</v>
      </c>
      <c r="AE967" t="s">
        <v>64</v>
      </c>
      <c r="AF967">
        <v>2</v>
      </c>
      <c r="AG967">
        <v>1</v>
      </c>
      <c r="AH967">
        <v>2</v>
      </c>
    </row>
    <row r="968" spans="1:34" x14ac:dyDescent="0.3">
      <c r="A968" t="s">
        <v>58</v>
      </c>
      <c r="B968">
        <v>1</v>
      </c>
      <c r="C968" t="s">
        <v>32</v>
      </c>
      <c r="D968">
        <v>601</v>
      </c>
      <c r="E968" t="s">
        <v>40</v>
      </c>
      <c r="F968">
        <v>7</v>
      </c>
      <c r="G968" t="str">
        <f>IF(Table2[[#This Row],[DistanceFromHome]]&lt;=5, "short", IF(Table2[[#This Row],[DistanceFromHome]]&lt;=15, "medium", "long"))</f>
        <v>medium</v>
      </c>
      <c r="H968">
        <v>4</v>
      </c>
      <c r="I968" t="s">
        <v>46</v>
      </c>
      <c r="J968">
        <v>1360</v>
      </c>
      <c r="K968">
        <v>3</v>
      </c>
      <c r="L968" t="s">
        <v>35</v>
      </c>
      <c r="M968">
        <v>53</v>
      </c>
      <c r="N968">
        <v>2</v>
      </c>
      <c r="O968">
        <v>3</v>
      </c>
      <c r="P968" t="s">
        <v>48</v>
      </c>
      <c r="Q968">
        <v>1</v>
      </c>
      <c r="R968" t="s">
        <v>43</v>
      </c>
      <c r="S968">
        <v>10008</v>
      </c>
      <c r="T968">
        <v>12023</v>
      </c>
      <c r="U968">
        <v>7</v>
      </c>
      <c r="V968" t="s">
        <v>31</v>
      </c>
      <c r="W968">
        <v>14</v>
      </c>
      <c r="X968">
        <v>3</v>
      </c>
      <c r="Y968">
        <v>4</v>
      </c>
      <c r="Z968">
        <v>0</v>
      </c>
      <c r="AA968">
        <v>31</v>
      </c>
      <c r="AB968" t="str">
        <f>IF(Table2[[#This Row],[TotalWorkingYears]]&lt;=5,"Early (0-5)",IF(Table2[[#This Row],[TotalWorkingYears]]&lt;=15,"Mid (6-15)","Senior (16+)"))</f>
        <v>Senior (16+)</v>
      </c>
      <c r="AC968">
        <v>0</v>
      </c>
      <c r="AD968">
        <v>2</v>
      </c>
      <c r="AE968" t="s">
        <v>62</v>
      </c>
      <c r="AF968">
        <v>9</v>
      </c>
      <c r="AG968">
        <v>5</v>
      </c>
      <c r="AH968">
        <v>9</v>
      </c>
    </row>
    <row r="969" spans="1:34" x14ac:dyDescent="0.3">
      <c r="A969" t="s">
        <v>57</v>
      </c>
      <c r="B969">
        <v>0</v>
      </c>
      <c r="C969" t="s">
        <v>32</v>
      </c>
      <c r="D969">
        <v>329</v>
      </c>
      <c r="E969" t="s">
        <v>40</v>
      </c>
      <c r="F969">
        <v>1</v>
      </c>
      <c r="G969" t="str">
        <f>IF(Table2[[#This Row],[DistanceFromHome]]&lt;=5, "short", IF(Table2[[#This Row],[DistanceFromHome]]&lt;=15, "medium", "long"))</f>
        <v>short</v>
      </c>
      <c r="H969">
        <v>4</v>
      </c>
      <c r="I969" t="s">
        <v>34</v>
      </c>
      <c r="J969">
        <v>1361</v>
      </c>
      <c r="K969">
        <v>2</v>
      </c>
      <c r="L969" t="s">
        <v>41</v>
      </c>
      <c r="M969">
        <v>88</v>
      </c>
      <c r="N969">
        <v>3</v>
      </c>
      <c r="O969">
        <v>1</v>
      </c>
      <c r="P969" t="s">
        <v>45</v>
      </c>
      <c r="Q969">
        <v>2</v>
      </c>
      <c r="R969" t="s">
        <v>43</v>
      </c>
      <c r="S969">
        <v>2387</v>
      </c>
      <c r="T969">
        <v>6762</v>
      </c>
      <c r="U969">
        <v>3</v>
      </c>
      <c r="V969" t="s">
        <v>38</v>
      </c>
      <c r="W969">
        <v>22</v>
      </c>
      <c r="X969">
        <v>4</v>
      </c>
      <c r="Y969">
        <v>3</v>
      </c>
      <c r="Z969">
        <v>1</v>
      </c>
      <c r="AA969">
        <v>7</v>
      </c>
      <c r="AB969" t="str">
        <f>IF(Table2[[#This Row],[TotalWorkingYears]]&lt;=5,"Early (0-5)",IF(Table2[[#This Row],[TotalWorkingYears]]&lt;=15,"Mid (6-15)","Senior (16+)"))</f>
        <v>Mid (6-15)</v>
      </c>
      <c r="AC969">
        <v>3</v>
      </c>
      <c r="AD969">
        <v>3</v>
      </c>
      <c r="AE969" t="s">
        <v>64</v>
      </c>
      <c r="AF969">
        <v>2</v>
      </c>
      <c r="AG969">
        <v>0</v>
      </c>
      <c r="AH969">
        <v>3</v>
      </c>
    </row>
    <row r="970" spans="1:34" x14ac:dyDescent="0.3">
      <c r="A970" t="s">
        <v>57</v>
      </c>
      <c r="B970">
        <v>0</v>
      </c>
      <c r="C970" t="s">
        <v>39</v>
      </c>
      <c r="D970">
        <v>607</v>
      </c>
      <c r="E970" t="s">
        <v>33</v>
      </c>
      <c r="F970">
        <v>7</v>
      </c>
      <c r="G970" t="str">
        <f>IF(Table2[[#This Row],[DistanceFromHome]]&lt;=5, "short", IF(Table2[[#This Row],[DistanceFromHome]]&lt;=15, "medium", "long"))</f>
        <v>medium</v>
      </c>
      <c r="H970">
        <v>3</v>
      </c>
      <c r="I970" t="s">
        <v>54</v>
      </c>
      <c r="J970">
        <v>1362</v>
      </c>
      <c r="K970">
        <v>1</v>
      </c>
      <c r="L970" t="s">
        <v>35</v>
      </c>
      <c r="M970">
        <v>83</v>
      </c>
      <c r="N970">
        <v>4</v>
      </c>
      <c r="O970">
        <v>2</v>
      </c>
      <c r="P970" t="s">
        <v>36</v>
      </c>
      <c r="Q970">
        <v>1</v>
      </c>
      <c r="R970" t="s">
        <v>43</v>
      </c>
      <c r="S970">
        <v>4639</v>
      </c>
      <c r="T970">
        <v>2261</v>
      </c>
      <c r="U970">
        <v>2</v>
      </c>
      <c r="V970" t="s">
        <v>38</v>
      </c>
      <c r="W970">
        <v>16</v>
      </c>
      <c r="X970">
        <v>3</v>
      </c>
      <c r="Y970">
        <v>4</v>
      </c>
      <c r="Z970">
        <v>1</v>
      </c>
      <c r="AA970">
        <v>17</v>
      </c>
      <c r="AB970" t="str">
        <f>IF(Table2[[#This Row],[TotalWorkingYears]]&lt;=5,"Early (0-5)",IF(Table2[[#This Row],[TotalWorkingYears]]&lt;=15,"Mid (6-15)","Senior (16+)"))</f>
        <v>Senior (16+)</v>
      </c>
      <c r="AC970">
        <v>2</v>
      </c>
      <c r="AD970">
        <v>2</v>
      </c>
      <c r="AE970" t="s">
        <v>65</v>
      </c>
      <c r="AF970">
        <v>7</v>
      </c>
      <c r="AG970">
        <v>6</v>
      </c>
      <c r="AH970">
        <v>13</v>
      </c>
    </row>
    <row r="971" spans="1:34" x14ac:dyDescent="0.3">
      <c r="A971" t="s">
        <v>58</v>
      </c>
      <c r="B971">
        <v>0</v>
      </c>
      <c r="C971" t="s">
        <v>32</v>
      </c>
      <c r="D971">
        <v>855</v>
      </c>
      <c r="E971" t="s">
        <v>40</v>
      </c>
      <c r="F971">
        <v>4</v>
      </c>
      <c r="G971" t="str">
        <f>IF(Table2[[#This Row],[DistanceFromHome]]&lt;=5, "short", IF(Table2[[#This Row],[DistanceFromHome]]&lt;=15, "medium", "long"))</f>
        <v>short</v>
      </c>
      <c r="H971">
        <v>3</v>
      </c>
      <c r="I971" t="s">
        <v>34</v>
      </c>
      <c r="J971">
        <v>1363</v>
      </c>
      <c r="K971">
        <v>4</v>
      </c>
      <c r="L971" t="s">
        <v>41</v>
      </c>
      <c r="M971">
        <v>54</v>
      </c>
      <c r="N971">
        <v>3</v>
      </c>
      <c r="O971">
        <v>3</v>
      </c>
      <c r="P971" t="s">
        <v>48</v>
      </c>
      <c r="Q971">
        <v>4</v>
      </c>
      <c r="R971" t="s">
        <v>37</v>
      </c>
      <c r="S971">
        <v>7898</v>
      </c>
      <c r="T971">
        <v>18706</v>
      </c>
      <c r="U971">
        <v>1</v>
      </c>
      <c r="V971" t="s">
        <v>38</v>
      </c>
      <c r="W971">
        <v>11</v>
      </c>
      <c r="X971">
        <v>3</v>
      </c>
      <c r="Y971">
        <v>3</v>
      </c>
      <c r="Z971">
        <v>0</v>
      </c>
      <c r="AA971">
        <v>11</v>
      </c>
      <c r="AB971" t="str">
        <f>IF(Table2[[#This Row],[TotalWorkingYears]]&lt;=5,"Early (0-5)",IF(Table2[[#This Row],[TotalWorkingYears]]&lt;=15,"Mid (6-15)","Senior (16+)"))</f>
        <v>Mid (6-15)</v>
      </c>
      <c r="AC971">
        <v>2</v>
      </c>
      <c r="AD971">
        <v>3</v>
      </c>
      <c r="AE971" t="s">
        <v>62</v>
      </c>
      <c r="AF971">
        <v>9</v>
      </c>
      <c r="AG971">
        <v>0</v>
      </c>
      <c r="AH971">
        <v>8</v>
      </c>
    </row>
    <row r="972" spans="1:34" x14ac:dyDescent="0.3">
      <c r="A972" t="s">
        <v>59</v>
      </c>
      <c r="B972">
        <v>0</v>
      </c>
      <c r="C972" t="s">
        <v>32</v>
      </c>
      <c r="D972">
        <v>1291</v>
      </c>
      <c r="E972" t="s">
        <v>33</v>
      </c>
      <c r="F972">
        <v>11</v>
      </c>
      <c r="G972" t="str">
        <f>IF(Table2[[#This Row],[DistanceFromHome]]&lt;=5, "short", IF(Table2[[#This Row],[DistanceFromHome]]&lt;=15, "medium", "long"))</f>
        <v>medium</v>
      </c>
      <c r="H972">
        <v>3</v>
      </c>
      <c r="I972" t="s">
        <v>46</v>
      </c>
      <c r="J972">
        <v>1364</v>
      </c>
      <c r="K972">
        <v>3</v>
      </c>
      <c r="L972" t="s">
        <v>35</v>
      </c>
      <c r="M972">
        <v>98</v>
      </c>
      <c r="N972">
        <v>4</v>
      </c>
      <c r="O972">
        <v>1</v>
      </c>
      <c r="P972" t="s">
        <v>52</v>
      </c>
      <c r="Q972">
        <v>4</v>
      </c>
      <c r="R972" t="s">
        <v>43</v>
      </c>
      <c r="S972">
        <v>2534</v>
      </c>
      <c r="T972">
        <v>6527</v>
      </c>
      <c r="U972">
        <v>8</v>
      </c>
      <c r="V972" t="s">
        <v>38</v>
      </c>
      <c r="W972">
        <v>14</v>
      </c>
      <c r="X972">
        <v>3</v>
      </c>
      <c r="Y972">
        <v>2</v>
      </c>
      <c r="Z972">
        <v>1</v>
      </c>
      <c r="AA972">
        <v>5</v>
      </c>
      <c r="AB972" t="str">
        <f>IF(Table2[[#This Row],[TotalWorkingYears]]&lt;=5,"Early (0-5)",IF(Table2[[#This Row],[TotalWorkingYears]]&lt;=15,"Mid (6-15)","Senior (16+)"))</f>
        <v>Early (0-5)</v>
      </c>
      <c r="AC972">
        <v>4</v>
      </c>
      <c r="AD972">
        <v>3</v>
      </c>
      <c r="AE972" t="s">
        <v>63</v>
      </c>
      <c r="AF972">
        <v>0</v>
      </c>
      <c r="AG972">
        <v>0</v>
      </c>
      <c r="AH972">
        <v>0</v>
      </c>
    </row>
    <row r="973" spans="1:34" x14ac:dyDescent="0.3">
      <c r="A973" t="s">
        <v>58</v>
      </c>
      <c r="B973">
        <v>0</v>
      </c>
      <c r="C973" t="s">
        <v>32</v>
      </c>
      <c r="D973">
        <v>1405</v>
      </c>
      <c r="E973" t="s">
        <v>40</v>
      </c>
      <c r="F973">
        <v>11</v>
      </c>
      <c r="G973" t="str">
        <f>IF(Table2[[#This Row],[DistanceFromHome]]&lt;=5, "short", IF(Table2[[#This Row],[DistanceFromHome]]&lt;=15, "medium", "long"))</f>
        <v>medium</v>
      </c>
      <c r="H973">
        <v>2</v>
      </c>
      <c r="I973" t="s">
        <v>55</v>
      </c>
      <c r="J973">
        <v>1367</v>
      </c>
      <c r="K973">
        <v>4</v>
      </c>
      <c r="L973" t="s">
        <v>35</v>
      </c>
      <c r="M973">
        <v>82</v>
      </c>
      <c r="N973">
        <v>2</v>
      </c>
      <c r="O973">
        <v>4</v>
      </c>
      <c r="P973" t="s">
        <v>48</v>
      </c>
      <c r="Q973">
        <v>2</v>
      </c>
      <c r="R973" t="s">
        <v>37</v>
      </c>
      <c r="S973">
        <v>13142</v>
      </c>
      <c r="T973">
        <v>24439</v>
      </c>
      <c r="U973">
        <v>3</v>
      </c>
      <c r="V973" t="s">
        <v>38</v>
      </c>
      <c r="W973">
        <v>16</v>
      </c>
      <c r="X973">
        <v>3</v>
      </c>
      <c r="Y973">
        <v>2</v>
      </c>
      <c r="Z973">
        <v>0</v>
      </c>
      <c r="AA973">
        <v>29</v>
      </c>
      <c r="AB973" t="str">
        <f>IF(Table2[[#This Row],[TotalWorkingYears]]&lt;=5,"Early (0-5)",IF(Table2[[#This Row],[TotalWorkingYears]]&lt;=15,"Mid (6-15)","Senior (16+)"))</f>
        <v>Senior (16+)</v>
      </c>
      <c r="AC973">
        <v>1</v>
      </c>
      <c r="AD973">
        <v>2</v>
      </c>
      <c r="AE973" t="s">
        <v>64</v>
      </c>
      <c r="AF973">
        <v>2</v>
      </c>
      <c r="AG973">
        <v>0</v>
      </c>
      <c r="AH973">
        <v>3</v>
      </c>
    </row>
    <row r="974" spans="1:34" x14ac:dyDescent="0.3">
      <c r="A974" t="s">
        <v>60</v>
      </c>
      <c r="B974">
        <v>0</v>
      </c>
      <c r="C974" t="s">
        <v>50</v>
      </c>
      <c r="D974">
        <v>1124</v>
      </c>
      <c r="E974" t="s">
        <v>40</v>
      </c>
      <c r="F974">
        <v>1</v>
      </c>
      <c r="G974" t="str">
        <f>IF(Table2[[#This Row],[DistanceFromHome]]&lt;=5, "short", IF(Table2[[#This Row],[DistanceFromHome]]&lt;=15, "medium", "long"))</f>
        <v>short</v>
      </c>
      <c r="H974">
        <v>3</v>
      </c>
      <c r="I974" t="s">
        <v>34</v>
      </c>
      <c r="J974">
        <v>1368</v>
      </c>
      <c r="K974">
        <v>4</v>
      </c>
      <c r="L974" t="s">
        <v>35</v>
      </c>
      <c r="M974">
        <v>97</v>
      </c>
      <c r="N974">
        <v>3</v>
      </c>
      <c r="O974">
        <v>1</v>
      </c>
      <c r="P974" t="s">
        <v>45</v>
      </c>
      <c r="Q974">
        <v>4</v>
      </c>
      <c r="R974" t="s">
        <v>37</v>
      </c>
      <c r="S974">
        <v>1611</v>
      </c>
      <c r="T974">
        <v>19305</v>
      </c>
      <c r="U974">
        <v>1</v>
      </c>
      <c r="V974" t="s">
        <v>38</v>
      </c>
      <c r="W974">
        <v>15</v>
      </c>
      <c r="X974">
        <v>3</v>
      </c>
      <c r="Y974">
        <v>3</v>
      </c>
      <c r="Z974">
        <v>0</v>
      </c>
      <c r="AA974">
        <v>0</v>
      </c>
      <c r="AB974" t="str">
        <f>IF(Table2[[#This Row],[TotalWorkingYears]]&lt;=5,"Early (0-5)",IF(Table2[[#This Row],[TotalWorkingYears]]&lt;=15,"Mid (6-15)","Senior (16+)"))</f>
        <v>Early (0-5)</v>
      </c>
      <c r="AC974">
        <v>5</v>
      </c>
      <c r="AD974">
        <v>4</v>
      </c>
      <c r="AE974" t="s">
        <v>63</v>
      </c>
      <c r="AF974">
        <v>0</v>
      </c>
      <c r="AG974">
        <v>0</v>
      </c>
      <c r="AH974">
        <v>0</v>
      </c>
    </row>
    <row r="975" spans="1:34" x14ac:dyDescent="0.3">
      <c r="A975" t="s">
        <v>59</v>
      </c>
      <c r="B975">
        <v>0</v>
      </c>
      <c r="C975" t="s">
        <v>32</v>
      </c>
      <c r="D975">
        <v>817</v>
      </c>
      <c r="E975" t="s">
        <v>40</v>
      </c>
      <c r="F975">
        <v>1</v>
      </c>
      <c r="G975" t="str">
        <f>IF(Table2[[#This Row],[DistanceFromHome]]&lt;=5, "short", IF(Table2[[#This Row],[DistanceFromHome]]&lt;=15, "medium", "long"))</f>
        <v>short</v>
      </c>
      <c r="H975">
        <v>3</v>
      </c>
      <c r="I975" t="s">
        <v>46</v>
      </c>
      <c r="J975">
        <v>1369</v>
      </c>
      <c r="K975">
        <v>4</v>
      </c>
      <c r="L975" t="s">
        <v>35</v>
      </c>
      <c r="M975">
        <v>60</v>
      </c>
      <c r="N975">
        <v>2</v>
      </c>
      <c r="O975">
        <v>2</v>
      </c>
      <c r="P975" t="s">
        <v>45</v>
      </c>
      <c r="Q975">
        <v>4</v>
      </c>
      <c r="R975" t="s">
        <v>43</v>
      </c>
      <c r="S975">
        <v>5363</v>
      </c>
      <c r="T975">
        <v>10846</v>
      </c>
      <c r="U975">
        <v>0</v>
      </c>
      <c r="V975" t="s">
        <v>38</v>
      </c>
      <c r="W975">
        <v>12</v>
      </c>
      <c r="X975">
        <v>3</v>
      </c>
      <c r="Y975">
        <v>2</v>
      </c>
      <c r="Z975">
        <v>1</v>
      </c>
      <c r="AA975">
        <v>10</v>
      </c>
      <c r="AB975" t="str">
        <f>IF(Table2[[#This Row],[TotalWorkingYears]]&lt;=5,"Early (0-5)",IF(Table2[[#This Row],[TotalWorkingYears]]&lt;=15,"Mid (6-15)","Senior (16+)"))</f>
        <v>Mid (6-15)</v>
      </c>
      <c r="AC975">
        <v>0</v>
      </c>
      <c r="AD975">
        <v>3</v>
      </c>
      <c r="AE975" t="s">
        <v>62</v>
      </c>
      <c r="AF975">
        <v>7</v>
      </c>
      <c r="AG975">
        <v>0</v>
      </c>
      <c r="AH975">
        <v>0</v>
      </c>
    </row>
    <row r="976" spans="1:34" x14ac:dyDescent="0.3">
      <c r="A976" t="s">
        <v>59</v>
      </c>
      <c r="B976">
        <v>0</v>
      </c>
      <c r="C976" t="s">
        <v>39</v>
      </c>
      <c r="D976">
        <v>793</v>
      </c>
      <c r="E976" t="s">
        <v>33</v>
      </c>
      <c r="F976">
        <v>2</v>
      </c>
      <c r="G976" t="str">
        <f>IF(Table2[[#This Row],[DistanceFromHome]]&lt;=5, "short", IF(Table2[[#This Row],[DistanceFromHome]]&lt;=15, "medium", "long"))</f>
        <v>short</v>
      </c>
      <c r="H976">
        <v>1</v>
      </c>
      <c r="I976" t="s">
        <v>34</v>
      </c>
      <c r="J976">
        <v>1371</v>
      </c>
      <c r="K976">
        <v>4</v>
      </c>
      <c r="L976" t="s">
        <v>41</v>
      </c>
      <c r="M976">
        <v>43</v>
      </c>
      <c r="N976">
        <v>1</v>
      </c>
      <c r="O976">
        <v>2</v>
      </c>
      <c r="P976" t="s">
        <v>36</v>
      </c>
      <c r="Q976">
        <v>4</v>
      </c>
      <c r="R976" t="s">
        <v>37</v>
      </c>
      <c r="S976">
        <v>5071</v>
      </c>
      <c r="T976">
        <v>20392</v>
      </c>
      <c r="U976">
        <v>3</v>
      </c>
      <c r="V976" t="s">
        <v>38</v>
      </c>
      <c r="W976">
        <v>20</v>
      </c>
      <c r="X976">
        <v>4</v>
      </c>
      <c r="Y976">
        <v>2</v>
      </c>
      <c r="Z976">
        <v>0</v>
      </c>
      <c r="AA976">
        <v>8</v>
      </c>
      <c r="AB976" t="str">
        <f>IF(Table2[[#This Row],[TotalWorkingYears]]&lt;=5,"Early (0-5)",IF(Table2[[#This Row],[TotalWorkingYears]]&lt;=15,"Mid (6-15)","Senior (16+)"))</f>
        <v>Mid (6-15)</v>
      </c>
      <c r="AC976">
        <v>3</v>
      </c>
      <c r="AD976">
        <v>3</v>
      </c>
      <c r="AE976" t="s">
        <v>62</v>
      </c>
      <c r="AF976">
        <v>2</v>
      </c>
      <c r="AG976">
        <v>0</v>
      </c>
      <c r="AH976">
        <v>0</v>
      </c>
    </row>
    <row r="977" spans="1:34" x14ac:dyDescent="0.3">
      <c r="A977" t="s">
        <v>58</v>
      </c>
      <c r="B977">
        <v>1</v>
      </c>
      <c r="C977" t="s">
        <v>32</v>
      </c>
      <c r="D977">
        <v>267</v>
      </c>
      <c r="E977" t="s">
        <v>33</v>
      </c>
      <c r="F977">
        <v>13</v>
      </c>
      <c r="G977" t="str">
        <f>IF(Table2[[#This Row],[DistanceFromHome]]&lt;=5, "short", IF(Table2[[#This Row],[DistanceFromHome]]&lt;=15, "medium", "long"))</f>
        <v>medium</v>
      </c>
      <c r="H977">
        <v>4</v>
      </c>
      <c r="I977" t="s">
        <v>54</v>
      </c>
      <c r="J977">
        <v>1372</v>
      </c>
      <c r="K977">
        <v>1</v>
      </c>
      <c r="L977" t="s">
        <v>41</v>
      </c>
      <c r="M977">
        <v>85</v>
      </c>
      <c r="N977">
        <v>4</v>
      </c>
      <c r="O977">
        <v>4</v>
      </c>
      <c r="P977" t="s">
        <v>36</v>
      </c>
      <c r="Q977">
        <v>3</v>
      </c>
      <c r="R977" t="s">
        <v>37</v>
      </c>
      <c r="S977">
        <v>13695</v>
      </c>
      <c r="T977">
        <v>9277</v>
      </c>
      <c r="U977">
        <v>6</v>
      </c>
      <c r="V977" t="s">
        <v>31</v>
      </c>
      <c r="W977">
        <v>17</v>
      </c>
      <c r="X977">
        <v>3</v>
      </c>
      <c r="Y977">
        <v>3</v>
      </c>
      <c r="Z977">
        <v>0</v>
      </c>
      <c r="AA977">
        <v>24</v>
      </c>
      <c r="AB977" t="str">
        <f>IF(Table2[[#This Row],[TotalWorkingYears]]&lt;=5,"Early (0-5)",IF(Table2[[#This Row],[TotalWorkingYears]]&lt;=15,"Mid (6-15)","Senior (16+)"))</f>
        <v>Senior (16+)</v>
      </c>
      <c r="AC977">
        <v>2</v>
      </c>
      <c r="AD977">
        <v>2</v>
      </c>
      <c r="AE977" t="s">
        <v>65</v>
      </c>
      <c r="AF977">
        <v>7</v>
      </c>
      <c r="AG977">
        <v>3</v>
      </c>
      <c r="AH977">
        <v>8</v>
      </c>
    </row>
    <row r="978" spans="1:34" x14ac:dyDescent="0.3">
      <c r="A978" t="s">
        <v>58</v>
      </c>
      <c r="B978">
        <v>0</v>
      </c>
      <c r="C978" t="s">
        <v>32</v>
      </c>
      <c r="D978">
        <v>1369</v>
      </c>
      <c r="E978" t="s">
        <v>40</v>
      </c>
      <c r="F978">
        <v>23</v>
      </c>
      <c r="G978" t="str">
        <f>IF(Table2[[#This Row],[DistanceFromHome]]&lt;=5, "short", IF(Table2[[#This Row],[DistanceFromHome]]&lt;=15, "medium", "long"))</f>
        <v>long</v>
      </c>
      <c r="H978">
        <v>3</v>
      </c>
      <c r="I978" t="s">
        <v>34</v>
      </c>
      <c r="J978">
        <v>1373</v>
      </c>
      <c r="K978">
        <v>4</v>
      </c>
      <c r="L978" t="s">
        <v>41</v>
      </c>
      <c r="M978">
        <v>68</v>
      </c>
      <c r="N978">
        <v>3</v>
      </c>
      <c r="O978">
        <v>4</v>
      </c>
      <c r="P978" t="s">
        <v>48</v>
      </c>
      <c r="Q978">
        <v>2</v>
      </c>
      <c r="R978" t="s">
        <v>43</v>
      </c>
      <c r="S978">
        <v>13402</v>
      </c>
      <c r="T978">
        <v>18235</v>
      </c>
      <c r="U978">
        <v>4</v>
      </c>
      <c r="V978" t="s">
        <v>31</v>
      </c>
      <c r="W978">
        <v>12</v>
      </c>
      <c r="X978">
        <v>3</v>
      </c>
      <c r="Y978">
        <v>1</v>
      </c>
      <c r="Z978">
        <v>1</v>
      </c>
      <c r="AA978">
        <v>33</v>
      </c>
      <c r="AB978" t="str">
        <f>IF(Table2[[#This Row],[TotalWorkingYears]]&lt;=5,"Early (0-5)",IF(Table2[[#This Row],[TotalWorkingYears]]&lt;=15,"Mid (6-15)","Senior (16+)"))</f>
        <v>Senior (16+)</v>
      </c>
      <c r="AC978">
        <v>0</v>
      </c>
      <c r="AD978">
        <v>3</v>
      </c>
      <c r="AE978" t="s">
        <v>65</v>
      </c>
      <c r="AF978">
        <v>16</v>
      </c>
      <c r="AG978">
        <v>15</v>
      </c>
      <c r="AH978">
        <v>9</v>
      </c>
    </row>
    <row r="979" spans="1:34" x14ac:dyDescent="0.3">
      <c r="A979" t="s">
        <v>59</v>
      </c>
      <c r="B979">
        <v>0</v>
      </c>
      <c r="C979" t="s">
        <v>50</v>
      </c>
      <c r="D979">
        <v>999</v>
      </c>
      <c r="E979" t="s">
        <v>40</v>
      </c>
      <c r="F979">
        <v>26</v>
      </c>
      <c r="G979" t="str">
        <f>IF(Table2[[#This Row],[DistanceFromHome]]&lt;=5, "short", IF(Table2[[#This Row],[DistanceFromHome]]&lt;=15, "medium", "long"))</f>
        <v>long</v>
      </c>
      <c r="H979">
        <v>1</v>
      </c>
      <c r="I979" t="s">
        <v>55</v>
      </c>
      <c r="J979">
        <v>1374</v>
      </c>
      <c r="K979">
        <v>1</v>
      </c>
      <c r="L979" t="s">
        <v>35</v>
      </c>
      <c r="M979">
        <v>92</v>
      </c>
      <c r="N979">
        <v>2</v>
      </c>
      <c r="O979">
        <v>1</v>
      </c>
      <c r="P979" t="s">
        <v>42</v>
      </c>
      <c r="Q979">
        <v>3</v>
      </c>
      <c r="R979" t="s">
        <v>47</v>
      </c>
      <c r="S979">
        <v>2029</v>
      </c>
      <c r="T979">
        <v>15891</v>
      </c>
      <c r="U979">
        <v>1</v>
      </c>
      <c r="V979" t="s">
        <v>38</v>
      </c>
      <c r="W979">
        <v>20</v>
      </c>
      <c r="X979">
        <v>4</v>
      </c>
      <c r="Y979">
        <v>3</v>
      </c>
      <c r="Z979">
        <v>3</v>
      </c>
      <c r="AA979">
        <v>5</v>
      </c>
      <c r="AB979" t="str">
        <f>IF(Table2[[#This Row],[TotalWorkingYears]]&lt;=5,"Early (0-5)",IF(Table2[[#This Row],[TotalWorkingYears]]&lt;=15,"Mid (6-15)","Senior (16+)"))</f>
        <v>Early (0-5)</v>
      </c>
      <c r="AC979">
        <v>2</v>
      </c>
      <c r="AD979">
        <v>3</v>
      </c>
      <c r="AE979" t="s">
        <v>64</v>
      </c>
      <c r="AF979">
        <v>4</v>
      </c>
      <c r="AG979">
        <v>0</v>
      </c>
      <c r="AH979">
        <v>0</v>
      </c>
    </row>
    <row r="980" spans="1:34" x14ac:dyDescent="0.3">
      <c r="A980" t="s">
        <v>57</v>
      </c>
      <c r="B980">
        <v>0</v>
      </c>
      <c r="C980" t="s">
        <v>32</v>
      </c>
      <c r="D980">
        <v>1202</v>
      </c>
      <c r="E980" t="s">
        <v>40</v>
      </c>
      <c r="F980">
        <v>2</v>
      </c>
      <c r="G980" t="str">
        <f>IF(Table2[[#This Row],[DistanceFromHome]]&lt;=5, "short", IF(Table2[[#This Row],[DistanceFromHome]]&lt;=15, "medium", "long"))</f>
        <v>short</v>
      </c>
      <c r="H980">
        <v>1</v>
      </c>
      <c r="I980" t="s">
        <v>46</v>
      </c>
      <c r="J980">
        <v>1375</v>
      </c>
      <c r="K980">
        <v>2</v>
      </c>
      <c r="L980" t="s">
        <v>35</v>
      </c>
      <c r="M980">
        <v>89</v>
      </c>
      <c r="N980">
        <v>4</v>
      </c>
      <c r="O980">
        <v>2</v>
      </c>
      <c r="P980" t="s">
        <v>49</v>
      </c>
      <c r="Q980">
        <v>3</v>
      </c>
      <c r="R980" t="s">
        <v>47</v>
      </c>
      <c r="S980">
        <v>6377</v>
      </c>
      <c r="T980">
        <v>13888</v>
      </c>
      <c r="U980">
        <v>5</v>
      </c>
      <c r="V980" t="s">
        <v>38</v>
      </c>
      <c r="W980">
        <v>20</v>
      </c>
      <c r="X980">
        <v>4</v>
      </c>
      <c r="Y980">
        <v>2</v>
      </c>
      <c r="Z980">
        <v>3</v>
      </c>
      <c r="AA980">
        <v>15</v>
      </c>
      <c r="AB980" t="str">
        <f>IF(Table2[[#This Row],[TotalWorkingYears]]&lt;=5,"Early (0-5)",IF(Table2[[#This Row],[TotalWorkingYears]]&lt;=15,"Mid (6-15)","Senior (16+)"))</f>
        <v>Mid (6-15)</v>
      </c>
      <c r="AC980">
        <v>0</v>
      </c>
      <c r="AD980">
        <v>3</v>
      </c>
      <c r="AE980" t="s">
        <v>65</v>
      </c>
      <c r="AF980">
        <v>11</v>
      </c>
      <c r="AG980">
        <v>11</v>
      </c>
      <c r="AH980">
        <v>8</v>
      </c>
    </row>
    <row r="981" spans="1:34" x14ac:dyDescent="0.3">
      <c r="A981" t="s">
        <v>59</v>
      </c>
      <c r="B981">
        <v>0</v>
      </c>
      <c r="C981" t="s">
        <v>32</v>
      </c>
      <c r="D981">
        <v>285</v>
      </c>
      <c r="E981" t="s">
        <v>40</v>
      </c>
      <c r="F981">
        <v>29</v>
      </c>
      <c r="G981" t="str">
        <f>IF(Table2[[#This Row],[DistanceFromHome]]&lt;=5, "short", IF(Table2[[#This Row],[DistanceFromHome]]&lt;=15, "medium", "long"))</f>
        <v>long</v>
      </c>
      <c r="H981">
        <v>3</v>
      </c>
      <c r="I981" t="s">
        <v>46</v>
      </c>
      <c r="J981">
        <v>1377</v>
      </c>
      <c r="K981">
        <v>2</v>
      </c>
      <c r="L981" t="s">
        <v>41</v>
      </c>
      <c r="M981">
        <v>86</v>
      </c>
      <c r="N981">
        <v>3</v>
      </c>
      <c r="O981">
        <v>2</v>
      </c>
      <c r="P981" t="s">
        <v>45</v>
      </c>
      <c r="Q981">
        <v>3</v>
      </c>
      <c r="R981" t="s">
        <v>43</v>
      </c>
      <c r="S981">
        <v>5429</v>
      </c>
      <c r="T981">
        <v>17491</v>
      </c>
      <c r="U981">
        <v>4</v>
      </c>
      <c r="V981" t="s">
        <v>38</v>
      </c>
      <c r="W981">
        <v>13</v>
      </c>
      <c r="X981">
        <v>3</v>
      </c>
      <c r="Y981">
        <v>1</v>
      </c>
      <c r="Z981">
        <v>2</v>
      </c>
      <c r="AA981">
        <v>10</v>
      </c>
      <c r="AB981" t="str">
        <f>IF(Table2[[#This Row],[TotalWorkingYears]]&lt;=5,"Early (0-5)",IF(Table2[[#This Row],[TotalWorkingYears]]&lt;=15,"Mid (6-15)","Senior (16+)"))</f>
        <v>Mid (6-15)</v>
      </c>
      <c r="AC981">
        <v>1</v>
      </c>
      <c r="AD981">
        <v>3</v>
      </c>
      <c r="AE981" t="s">
        <v>62</v>
      </c>
      <c r="AF981">
        <v>7</v>
      </c>
      <c r="AG981">
        <v>7</v>
      </c>
      <c r="AH981">
        <v>7</v>
      </c>
    </row>
    <row r="982" spans="1:34" x14ac:dyDescent="0.3">
      <c r="A982" t="s">
        <v>59</v>
      </c>
      <c r="B982">
        <v>1</v>
      </c>
      <c r="C982" t="s">
        <v>39</v>
      </c>
      <c r="D982">
        <v>703</v>
      </c>
      <c r="E982" t="s">
        <v>33</v>
      </c>
      <c r="F982">
        <v>2</v>
      </c>
      <c r="G982" t="str">
        <f>IF(Table2[[#This Row],[DistanceFromHome]]&lt;=5, "short", IF(Table2[[#This Row],[DistanceFromHome]]&lt;=15, "medium", "long"))</f>
        <v>short</v>
      </c>
      <c r="H982">
        <v>3</v>
      </c>
      <c r="I982" t="s">
        <v>34</v>
      </c>
      <c r="J982">
        <v>1379</v>
      </c>
      <c r="K982">
        <v>3</v>
      </c>
      <c r="L982" t="s">
        <v>35</v>
      </c>
      <c r="M982">
        <v>90</v>
      </c>
      <c r="N982">
        <v>2</v>
      </c>
      <c r="O982">
        <v>1</v>
      </c>
      <c r="P982" t="s">
        <v>52</v>
      </c>
      <c r="Q982">
        <v>4</v>
      </c>
      <c r="R982" t="s">
        <v>37</v>
      </c>
      <c r="S982">
        <v>2785</v>
      </c>
      <c r="T982">
        <v>11882</v>
      </c>
      <c r="U982">
        <v>7</v>
      </c>
      <c r="V982" t="s">
        <v>38</v>
      </c>
      <c r="W982">
        <v>14</v>
      </c>
      <c r="X982">
        <v>3</v>
      </c>
      <c r="Y982">
        <v>3</v>
      </c>
      <c r="Z982">
        <v>0</v>
      </c>
      <c r="AA982">
        <v>3</v>
      </c>
      <c r="AB982" t="str">
        <f>IF(Table2[[#This Row],[TotalWorkingYears]]&lt;=5,"Early (0-5)",IF(Table2[[#This Row],[TotalWorkingYears]]&lt;=15,"Mid (6-15)","Senior (16+)"))</f>
        <v>Early (0-5)</v>
      </c>
      <c r="AC982">
        <v>3</v>
      </c>
      <c r="AD982">
        <v>4</v>
      </c>
      <c r="AE982" t="s">
        <v>63</v>
      </c>
      <c r="AF982">
        <v>0</v>
      </c>
      <c r="AG982">
        <v>0</v>
      </c>
      <c r="AH982">
        <v>0</v>
      </c>
    </row>
    <row r="983" spans="1:34" x14ac:dyDescent="0.3">
      <c r="A983" t="s">
        <v>59</v>
      </c>
      <c r="B983">
        <v>1</v>
      </c>
      <c r="C983" t="s">
        <v>39</v>
      </c>
      <c r="D983">
        <v>662</v>
      </c>
      <c r="E983" t="s">
        <v>33</v>
      </c>
      <c r="F983">
        <v>18</v>
      </c>
      <c r="G983" t="str">
        <f>IF(Table2[[#This Row],[DistanceFromHome]]&lt;=5, "short", IF(Table2[[#This Row],[DistanceFromHome]]&lt;=15, "medium", "long"))</f>
        <v>long</v>
      </c>
      <c r="H983">
        <v>4</v>
      </c>
      <c r="I983" t="s">
        <v>54</v>
      </c>
      <c r="J983">
        <v>1380</v>
      </c>
      <c r="K983">
        <v>4</v>
      </c>
      <c r="L983" t="s">
        <v>35</v>
      </c>
      <c r="M983">
        <v>67</v>
      </c>
      <c r="N983">
        <v>3</v>
      </c>
      <c r="O983">
        <v>2</v>
      </c>
      <c r="P983" t="s">
        <v>36</v>
      </c>
      <c r="Q983">
        <v>3</v>
      </c>
      <c r="R983" t="s">
        <v>43</v>
      </c>
      <c r="S983">
        <v>4614</v>
      </c>
      <c r="T983">
        <v>23288</v>
      </c>
      <c r="U983">
        <v>0</v>
      </c>
      <c r="V983" t="s">
        <v>31</v>
      </c>
      <c r="W983">
        <v>18</v>
      </c>
      <c r="X983">
        <v>3</v>
      </c>
      <c r="Y983">
        <v>3</v>
      </c>
      <c r="Z983">
        <v>1</v>
      </c>
      <c r="AA983">
        <v>5</v>
      </c>
      <c r="AB983" t="str">
        <f>IF(Table2[[#This Row],[TotalWorkingYears]]&lt;=5,"Early (0-5)",IF(Table2[[#This Row],[TotalWorkingYears]]&lt;=15,"Mid (6-15)","Senior (16+)"))</f>
        <v>Early (0-5)</v>
      </c>
      <c r="AC983">
        <v>0</v>
      </c>
      <c r="AD983">
        <v>2</v>
      </c>
      <c r="AE983" t="s">
        <v>64</v>
      </c>
      <c r="AF983">
        <v>2</v>
      </c>
      <c r="AG983">
        <v>3</v>
      </c>
      <c r="AH983">
        <v>2</v>
      </c>
    </row>
    <row r="984" spans="1:34" x14ac:dyDescent="0.3">
      <c r="A984" t="s">
        <v>57</v>
      </c>
      <c r="B984">
        <v>0</v>
      </c>
      <c r="C984" t="s">
        <v>39</v>
      </c>
      <c r="D984">
        <v>693</v>
      </c>
      <c r="E984" t="s">
        <v>40</v>
      </c>
      <c r="F984">
        <v>7</v>
      </c>
      <c r="G984" t="str">
        <f>IF(Table2[[#This Row],[DistanceFromHome]]&lt;=5, "short", IF(Table2[[#This Row],[DistanceFromHome]]&lt;=15, "medium", "long"))</f>
        <v>medium</v>
      </c>
      <c r="H984">
        <v>3</v>
      </c>
      <c r="I984" t="s">
        <v>34</v>
      </c>
      <c r="J984">
        <v>1382</v>
      </c>
      <c r="K984">
        <v>4</v>
      </c>
      <c r="L984" t="s">
        <v>41</v>
      </c>
      <c r="M984">
        <v>57</v>
      </c>
      <c r="N984">
        <v>4</v>
      </c>
      <c r="O984">
        <v>1</v>
      </c>
      <c r="P984" t="s">
        <v>42</v>
      </c>
      <c r="Q984">
        <v>3</v>
      </c>
      <c r="R984" t="s">
        <v>47</v>
      </c>
      <c r="S984">
        <v>2610</v>
      </c>
      <c r="T984">
        <v>15748</v>
      </c>
      <c r="U984">
        <v>1</v>
      </c>
      <c r="V984" t="s">
        <v>38</v>
      </c>
      <c r="W984">
        <v>11</v>
      </c>
      <c r="X984">
        <v>3</v>
      </c>
      <c r="Y984">
        <v>4</v>
      </c>
      <c r="Z984">
        <v>3</v>
      </c>
      <c r="AA984">
        <v>4</v>
      </c>
      <c r="AB984" t="str">
        <f>IF(Table2[[#This Row],[TotalWorkingYears]]&lt;=5,"Early (0-5)",IF(Table2[[#This Row],[TotalWorkingYears]]&lt;=15,"Mid (6-15)","Senior (16+)"))</f>
        <v>Early (0-5)</v>
      </c>
      <c r="AC984">
        <v>2</v>
      </c>
      <c r="AD984">
        <v>3</v>
      </c>
      <c r="AE984" t="s">
        <v>64</v>
      </c>
      <c r="AF984">
        <v>2</v>
      </c>
      <c r="AG984">
        <v>0</v>
      </c>
      <c r="AH984">
        <v>3</v>
      </c>
    </row>
    <row r="985" spans="1:34" x14ac:dyDescent="0.3">
      <c r="A985" t="s">
        <v>59</v>
      </c>
      <c r="B985">
        <v>0</v>
      </c>
      <c r="C985" t="s">
        <v>32</v>
      </c>
      <c r="D985">
        <v>404</v>
      </c>
      <c r="E985" t="s">
        <v>40</v>
      </c>
      <c r="F985">
        <v>2</v>
      </c>
      <c r="G985" t="str">
        <f>IF(Table2[[#This Row],[DistanceFromHome]]&lt;=5, "short", IF(Table2[[#This Row],[DistanceFromHome]]&lt;=15, "medium", "long"))</f>
        <v>short</v>
      </c>
      <c r="H985">
        <v>4</v>
      </c>
      <c r="I985" t="s">
        <v>55</v>
      </c>
      <c r="J985">
        <v>1383</v>
      </c>
      <c r="K985">
        <v>3</v>
      </c>
      <c r="L985" t="s">
        <v>35</v>
      </c>
      <c r="M985">
        <v>98</v>
      </c>
      <c r="N985">
        <v>3</v>
      </c>
      <c r="O985">
        <v>2</v>
      </c>
      <c r="P985" t="s">
        <v>49</v>
      </c>
      <c r="Q985">
        <v>4</v>
      </c>
      <c r="R985" t="s">
        <v>37</v>
      </c>
      <c r="S985">
        <v>6687</v>
      </c>
      <c r="T985">
        <v>6163</v>
      </c>
      <c r="U985">
        <v>1</v>
      </c>
      <c r="V985" t="s">
        <v>38</v>
      </c>
      <c r="W985">
        <v>11</v>
      </c>
      <c r="X985">
        <v>3</v>
      </c>
      <c r="Y985">
        <v>4</v>
      </c>
      <c r="Z985">
        <v>0</v>
      </c>
      <c r="AA985">
        <v>14</v>
      </c>
      <c r="AB985" t="str">
        <f>IF(Table2[[#This Row],[TotalWorkingYears]]&lt;=5,"Early (0-5)",IF(Table2[[#This Row],[TotalWorkingYears]]&lt;=15,"Mid (6-15)","Senior (16+)"))</f>
        <v>Mid (6-15)</v>
      </c>
      <c r="AC985">
        <v>2</v>
      </c>
      <c r="AD985">
        <v>4</v>
      </c>
      <c r="AE985" t="s">
        <v>65</v>
      </c>
      <c r="AF985">
        <v>11</v>
      </c>
      <c r="AG985">
        <v>4</v>
      </c>
      <c r="AH985">
        <v>11</v>
      </c>
    </row>
    <row r="986" spans="1:34" x14ac:dyDescent="0.3">
      <c r="A986" t="s">
        <v>59</v>
      </c>
      <c r="B986">
        <v>0</v>
      </c>
      <c r="C986" t="s">
        <v>32</v>
      </c>
      <c r="D986">
        <v>736</v>
      </c>
      <c r="E986" t="s">
        <v>33</v>
      </c>
      <c r="F986">
        <v>26</v>
      </c>
      <c r="G986" t="str">
        <f>IF(Table2[[#This Row],[DistanceFromHome]]&lt;=5, "short", IF(Table2[[#This Row],[DistanceFromHome]]&lt;=15, "medium", "long"))</f>
        <v>long</v>
      </c>
      <c r="H986">
        <v>3</v>
      </c>
      <c r="I986" t="s">
        <v>34</v>
      </c>
      <c r="J986">
        <v>1387</v>
      </c>
      <c r="K986">
        <v>3</v>
      </c>
      <c r="L986" t="s">
        <v>41</v>
      </c>
      <c r="M986">
        <v>48</v>
      </c>
      <c r="N986">
        <v>2</v>
      </c>
      <c r="O986">
        <v>2</v>
      </c>
      <c r="P986" t="s">
        <v>36</v>
      </c>
      <c r="Q986">
        <v>1</v>
      </c>
      <c r="R986" t="s">
        <v>43</v>
      </c>
      <c r="S986">
        <v>4724</v>
      </c>
      <c r="T986">
        <v>24232</v>
      </c>
      <c r="U986">
        <v>1</v>
      </c>
      <c r="V986" t="s">
        <v>38</v>
      </c>
      <c r="W986">
        <v>11</v>
      </c>
      <c r="X986">
        <v>3</v>
      </c>
      <c r="Y986">
        <v>3</v>
      </c>
      <c r="Z986">
        <v>1</v>
      </c>
      <c r="AA986">
        <v>5</v>
      </c>
      <c r="AB986" t="str">
        <f>IF(Table2[[#This Row],[TotalWorkingYears]]&lt;=5,"Early (0-5)",IF(Table2[[#This Row],[TotalWorkingYears]]&lt;=15,"Mid (6-15)","Senior (16+)"))</f>
        <v>Early (0-5)</v>
      </c>
      <c r="AC986">
        <v>0</v>
      </c>
      <c r="AD986">
        <v>3</v>
      </c>
      <c r="AE986" t="s">
        <v>64</v>
      </c>
      <c r="AF986">
        <v>3</v>
      </c>
      <c r="AG986">
        <v>0</v>
      </c>
      <c r="AH986">
        <v>4</v>
      </c>
    </row>
    <row r="987" spans="1:34" x14ac:dyDescent="0.3">
      <c r="A987" t="s">
        <v>59</v>
      </c>
      <c r="B987">
        <v>1</v>
      </c>
      <c r="C987" t="s">
        <v>32</v>
      </c>
      <c r="D987">
        <v>330</v>
      </c>
      <c r="E987" t="s">
        <v>40</v>
      </c>
      <c r="F987">
        <v>22</v>
      </c>
      <c r="G987" t="str">
        <f>IF(Table2[[#This Row],[DistanceFromHome]]&lt;=5, "short", IF(Table2[[#This Row],[DistanceFromHome]]&lt;=15, "medium", "long"))</f>
        <v>long</v>
      </c>
      <c r="H987">
        <v>4</v>
      </c>
      <c r="I987" t="s">
        <v>46</v>
      </c>
      <c r="J987">
        <v>1389</v>
      </c>
      <c r="K987">
        <v>4</v>
      </c>
      <c r="L987" t="s">
        <v>41</v>
      </c>
      <c r="M987">
        <v>98</v>
      </c>
      <c r="N987">
        <v>3</v>
      </c>
      <c r="O987">
        <v>2</v>
      </c>
      <c r="P987" t="s">
        <v>48</v>
      </c>
      <c r="Q987">
        <v>3</v>
      </c>
      <c r="R987" t="s">
        <v>43</v>
      </c>
      <c r="S987">
        <v>6179</v>
      </c>
      <c r="T987">
        <v>21057</v>
      </c>
      <c r="U987">
        <v>1</v>
      </c>
      <c r="V987" t="s">
        <v>31</v>
      </c>
      <c r="W987">
        <v>15</v>
      </c>
      <c r="X987">
        <v>3</v>
      </c>
      <c r="Y987">
        <v>4</v>
      </c>
      <c r="Z987">
        <v>2</v>
      </c>
      <c r="AA987">
        <v>10</v>
      </c>
      <c r="AB987" t="str">
        <f>IF(Table2[[#This Row],[TotalWorkingYears]]&lt;=5,"Early (0-5)",IF(Table2[[#This Row],[TotalWorkingYears]]&lt;=15,"Mid (6-15)","Senior (16+)"))</f>
        <v>Mid (6-15)</v>
      </c>
      <c r="AC987">
        <v>3</v>
      </c>
      <c r="AD987">
        <v>2</v>
      </c>
      <c r="AE987" t="s">
        <v>62</v>
      </c>
      <c r="AF987">
        <v>2</v>
      </c>
      <c r="AG987">
        <v>6</v>
      </c>
      <c r="AH987">
        <v>7</v>
      </c>
    </row>
    <row r="988" spans="1:34" x14ac:dyDescent="0.3">
      <c r="A988" t="s">
        <v>57</v>
      </c>
      <c r="B988">
        <v>0</v>
      </c>
      <c r="C988" t="s">
        <v>32</v>
      </c>
      <c r="D988">
        <v>1498</v>
      </c>
      <c r="E988" t="s">
        <v>33</v>
      </c>
      <c r="F988">
        <v>21</v>
      </c>
      <c r="G988" t="str">
        <f>IF(Table2[[#This Row],[DistanceFromHome]]&lt;=5, "short", IF(Table2[[#This Row],[DistanceFromHome]]&lt;=15, "medium", "long"))</f>
        <v>long</v>
      </c>
      <c r="H988">
        <v>4</v>
      </c>
      <c r="I988" t="s">
        <v>34</v>
      </c>
      <c r="J988">
        <v>1390</v>
      </c>
      <c r="K988">
        <v>1</v>
      </c>
      <c r="L988" t="s">
        <v>41</v>
      </c>
      <c r="M988">
        <v>44</v>
      </c>
      <c r="N988">
        <v>2</v>
      </c>
      <c r="O988">
        <v>2</v>
      </c>
      <c r="P988" t="s">
        <v>36</v>
      </c>
      <c r="Q988">
        <v>4</v>
      </c>
      <c r="R988" t="s">
        <v>43</v>
      </c>
      <c r="S988">
        <v>6120</v>
      </c>
      <c r="T988">
        <v>3567</v>
      </c>
      <c r="U988">
        <v>3</v>
      </c>
      <c r="V988" t="s">
        <v>31</v>
      </c>
      <c r="W988">
        <v>12</v>
      </c>
      <c r="X988">
        <v>3</v>
      </c>
      <c r="Y988">
        <v>4</v>
      </c>
      <c r="Z988">
        <v>2</v>
      </c>
      <c r="AA988">
        <v>8</v>
      </c>
      <c r="AB988" t="str">
        <f>IF(Table2[[#This Row],[TotalWorkingYears]]&lt;=5,"Early (0-5)",IF(Table2[[#This Row],[TotalWorkingYears]]&lt;=15,"Mid (6-15)","Senior (16+)"))</f>
        <v>Mid (6-15)</v>
      </c>
      <c r="AC988">
        <v>2</v>
      </c>
      <c r="AD988">
        <v>4</v>
      </c>
      <c r="AE988" t="s">
        <v>64</v>
      </c>
      <c r="AF988">
        <v>4</v>
      </c>
      <c r="AG988">
        <v>1</v>
      </c>
      <c r="AH988">
        <v>4</v>
      </c>
    </row>
    <row r="989" spans="1:34" x14ac:dyDescent="0.3">
      <c r="A989" t="s">
        <v>58</v>
      </c>
      <c r="B989">
        <v>0</v>
      </c>
      <c r="C989" t="s">
        <v>39</v>
      </c>
      <c r="D989">
        <v>541</v>
      </c>
      <c r="E989" t="s">
        <v>33</v>
      </c>
      <c r="F989">
        <v>2</v>
      </c>
      <c r="G989" t="str">
        <f>IF(Table2[[#This Row],[DistanceFromHome]]&lt;=5, "short", IF(Table2[[#This Row],[DistanceFromHome]]&lt;=15, "medium", "long"))</f>
        <v>short</v>
      </c>
      <c r="H989">
        <v>3</v>
      </c>
      <c r="I989" t="s">
        <v>54</v>
      </c>
      <c r="J989">
        <v>1391</v>
      </c>
      <c r="K989">
        <v>2</v>
      </c>
      <c r="L989" t="s">
        <v>41</v>
      </c>
      <c r="M989">
        <v>52</v>
      </c>
      <c r="N989">
        <v>3</v>
      </c>
      <c r="O989">
        <v>3</v>
      </c>
      <c r="P989" t="s">
        <v>36</v>
      </c>
      <c r="Q989">
        <v>2</v>
      </c>
      <c r="R989" t="s">
        <v>43</v>
      </c>
      <c r="S989">
        <v>10596</v>
      </c>
      <c r="T989">
        <v>15395</v>
      </c>
      <c r="U989">
        <v>2</v>
      </c>
      <c r="V989" t="s">
        <v>38</v>
      </c>
      <c r="W989">
        <v>11</v>
      </c>
      <c r="X989">
        <v>3</v>
      </c>
      <c r="Y989">
        <v>2</v>
      </c>
      <c r="Z989">
        <v>0</v>
      </c>
      <c r="AA989">
        <v>14</v>
      </c>
      <c r="AB989" t="str">
        <f>IF(Table2[[#This Row],[TotalWorkingYears]]&lt;=5,"Early (0-5)",IF(Table2[[#This Row],[TotalWorkingYears]]&lt;=15,"Mid (6-15)","Senior (16+)"))</f>
        <v>Mid (6-15)</v>
      </c>
      <c r="AC989">
        <v>5</v>
      </c>
      <c r="AD989">
        <v>3</v>
      </c>
      <c r="AE989" t="s">
        <v>64</v>
      </c>
      <c r="AF989">
        <v>2</v>
      </c>
      <c r="AG989">
        <v>3</v>
      </c>
      <c r="AH989">
        <v>2</v>
      </c>
    </row>
    <row r="990" spans="1:34" x14ac:dyDescent="0.3">
      <c r="A990" t="s">
        <v>57</v>
      </c>
      <c r="B990">
        <v>0</v>
      </c>
      <c r="C990" t="s">
        <v>39</v>
      </c>
      <c r="D990">
        <v>1200</v>
      </c>
      <c r="E990" t="s">
        <v>40</v>
      </c>
      <c r="F990">
        <v>22</v>
      </c>
      <c r="G990" t="str">
        <f>IF(Table2[[#This Row],[DistanceFromHome]]&lt;=5, "short", IF(Table2[[#This Row],[DistanceFromHome]]&lt;=15, "medium", "long"))</f>
        <v>long</v>
      </c>
      <c r="H990">
        <v>3</v>
      </c>
      <c r="I990" t="s">
        <v>34</v>
      </c>
      <c r="J990">
        <v>1392</v>
      </c>
      <c r="K990">
        <v>4</v>
      </c>
      <c r="L990" t="s">
        <v>35</v>
      </c>
      <c r="M990">
        <v>75</v>
      </c>
      <c r="N990">
        <v>3</v>
      </c>
      <c r="O990">
        <v>2</v>
      </c>
      <c r="P990" t="s">
        <v>42</v>
      </c>
      <c r="Q990">
        <v>4</v>
      </c>
      <c r="R990" t="s">
        <v>47</v>
      </c>
      <c r="S990">
        <v>5467</v>
      </c>
      <c r="T990">
        <v>13953</v>
      </c>
      <c r="U990">
        <v>3</v>
      </c>
      <c r="V990" t="s">
        <v>31</v>
      </c>
      <c r="W990">
        <v>14</v>
      </c>
      <c r="X990">
        <v>3</v>
      </c>
      <c r="Y990">
        <v>1</v>
      </c>
      <c r="Z990">
        <v>2</v>
      </c>
      <c r="AA990">
        <v>12</v>
      </c>
      <c r="AB990" t="str">
        <f>IF(Table2[[#This Row],[TotalWorkingYears]]&lt;=5,"Early (0-5)",IF(Table2[[#This Row],[TotalWorkingYears]]&lt;=15,"Mid (6-15)","Senior (16+)"))</f>
        <v>Mid (6-15)</v>
      </c>
      <c r="AC990">
        <v>4</v>
      </c>
      <c r="AD990">
        <v>2</v>
      </c>
      <c r="AE990" t="s">
        <v>62</v>
      </c>
      <c r="AF990">
        <v>2</v>
      </c>
      <c r="AG990">
        <v>3</v>
      </c>
      <c r="AH990">
        <v>3</v>
      </c>
    </row>
    <row r="991" spans="1:34" x14ac:dyDescent="0.3">
      <c r="A991" t="s">
        <v>57</v>
      </c>
      <c r="B991">
        <v>0</v>
      </c>
      <c r="C991" t="s">
        <v>32</v>
      </c>
      <c r="D991">
        <v>1439</v>
      </c>
      <c r="E991" t="s">
        <v>40</v>
      </c>
      <c r="F991">
        <v>4</v>
      </c>
      <c r="G991" t="str">
        <f>IF(Table2[[#This Row],[DistanceFromHome]]&lt;=5, "short", IF(Table2[[#This Row],[DistanceFromHome]]&lt;=15, "medium", "long"))</f>
        <v>short</v>
      </c>
      <c r="H991">
        <v>1</v>
      </c>
      <c r="I991" t="s">
        <v>34</v>
      </c>
      <c r="J991">
        <v>1394</v>
      </c>
      <c r="K991">
        <v>3</v>
      </c>
      <c r="L991" t="s">
        <v>41</v>
      </c>
      <c r="M991">
        <v>54</v>
      </c>
      <c r="N991">
        <v>3</v>
      </c>
      <c r="O991">
        <v>1</v>
      </c>
      <c r="P991" t="s">
        <v>42</v>
      </c>
      <c r="Q991">
        <v>3</v>
      </c>
      <c r="R991" t="s">
        <v>43</v>
      </c>
      <c r="S991">
        <v>2996</v>
      </c>
      <c r="T991">
        <v>5182</v>
      </c>
      <c r="U991">
        <v>7</v>
      </c>
      <c r="V991" t="s">
        <v>31</v>
      </c>
      <c r="W991">
        <v>15</v>
      </c>
      <c r="X991">
        <v>3</v>
      </c>
      <c r="Y991">
        <v>4</v>
      </c>
      <c r="Z991">
        <v>0</v>
      </c>
      <c r="AA991">
        <v>8</v>
      </c>
      <c r="AB991" t="str">
        <f>IF(Table2[[#This Row],[TotalWorkingYears]]&lt;=5,"Early (0-5)",IF(Table2[[#This Row],[TotalWorkingYears]]&lt;=15,"Mid (6-15)","Senior (16+)"))</f>
        <v>Mid (6-15)</v>
      </c>
      <c r="AC991">
        <v>2</v>
      </c>
      <c r="AD991">
        <v>3</v>
      </c>
      <c r="AE991" t="s">
        <v>62</v>
      </c>
      <c r="AF991">
        <v>4</v>
      </c>
      <c r="AG991">
        <v>1</v>
      </c>
      <c r="AH991">
        <v>3</v>
      </c>
    </row>
    <row r="992" spans="1:34" x14ac:dyDescent="0.3">
      <c r="A992" t="s">
        <v>59</v>
      </c>
      <c r="B992">
        <v>0</v>
      </c>
      <c r="C992" t="s">
        <v>39</v>
      </c>
      <c r="D992">
        <v>1111</v>
      </c>
      <c r="E992" t="s">
        <v>33</v>
      </c>
      <c r="F992">
        <v>5</v>
      </c>
      <c r="G992" t="str">
        <f>IF(Table2[[#This Row],[DistanceFromHome]]&lt;=5, "short", IF(Table2[[#This Row],[DistanceFromHome]]&lt;=15, "medium", "long"))</f>
        <v>short</v>
      </c>
      <c r="H992">
        <v>1</v>
      </c>
      <c r="I992" t="s">
        <v>34</v>
      </c>
      <c r="J992">
        <v>1395</v>
      </c>
      <c r="K992">
        <v>2</v>
      </c>
      <c r="L992" t="s">
        <v>41</v>
      </c>
      <c r="M992">
        <v>61</v>
      </c>
      <c r="N992">
        <v>3</v>
      </c>
      <c r="O992">
        <v>2</v>
      </c>
      <c r="P992" t="s">
        <v>36</v>
      </c>
      <c r="Q992">
        <v>4</v>
      </c>
      <c r="R992" t="s">
        <v>43</v>
      </c>
      <c r="S992">
        <v>9998</v>
      </c>
      <c r="T992">
        <v>19293</v>
      </c>
      <c r="U992">
        <v>6</v>
      </c>
      <c r="V992" t="s">
        <v>38</v>
      </c>
      <c r="W992">
        <v>13</v>
      </c>
      <c r="X992">
        <v>3</v>
      </c>
      <c r="Y992">
        <v>1</v>
      </c>
      <c r="Z992">
        <v>0</v>
      </c>
      <c r="AA992">
        <v>8</v>
      </c>
      <c r="AB992" t="str">
        <f>IF(Table2[[#This Row],[TotalWorkingYears]]&lt;=5,"Early (0-5)",IF(Table2[[#This Row],[TotalWorkingYears]]&lt;=15,"Mid (6-15)","Senior (16+)"))</f>
        <v>Mid (6-15)</v>
      </c>
      <c r="AC992">
        <v>2</v>
      </c>
      <c r="AD992">
        <v>4</v>
      </c>
      <c r="AE992" t="s">
        <v>64</v>
      </c>
      <c r="AF992">
        <v>4</v>
      </c>
      <c r="AG992">
        <v>1</v>
      </c>
      <c r="AH992">
        <v>2</v>
      </c>
    </row>
    <row r="993" spans="1:34" x14ac:dyDescent="0.3">
      <c r="A993" t="s">
        <v>59</v>
      </c>
      <c r="B993">
        <v>0</v>
      </c>
      <c r="C993" t="s">
        <v>32</v>
      </c>
      <c r="D993">
        <v>499</v>
      </c>
      <c r="E993" t="s">
        <v>33</v>
      </c>
      <c r="F993">
        <v>2</v>
      </c>
      <c r="G993" t="str">
        <f>IF(Table2[[#This Row],[DistanceFromHome]]&lt;=5, "short", IF(Table2[[#This Row],[DistanceFromHome]]&lt;=15, "medium", "long"))</f>
        <v>short</v>
      </c>
      <c r="H993">
        <v>1</v>
      </c>
      <c r="I993" t="s">
        <v>54</v>
      </c>
      <c r="J993">
        <v>1396</v>
      </c>
      <c r="K993">
        <v>3</v>
      </c>
      <c r="L993" t="s">
        <v>41</v>
      </c>
      <c r="M993">
        <v>36</v>
      </c>
      <c r="N993">
        <v>3</v>
      </c>
      <c r="O993">
        <v>2</v>
      </c>
      <c r="P993" t="s">
        <v>36</v>
      </c>
      <c r="Q993">
        <v>2</v>
      </c>
      <c r="R993" t="s">
        <v>43</v>
      </c>
      <c r="S993">
        <v>4078</v>
      </c>
      <c r="T993">
        <v>20497</v>
      </c>
      <c r="U993">
        <v>0</v>
      </c>
      <c r="V993" t="s">
        <v>31</v>
      </c>
      <c r="W993">
        <v>13</v>
      </c>
      <c r="X993">
        <v>3</v>
      </c>
      <c r="Y993">
        <v>1</v>
      </c>
      <c r="Z993">
        <v>3</v>
      </c>
      <c r="AA993">
        <v>4</v>
      </c>
      <c r="AB993" t="str">
        <f>IF(Table2[[#This Row],[TotalWorkingYears]]&lt;=5,"Early (0-5)",IF(Table2[[#This Row],[TotalWorkingYears]]&lt;=15,"Mid (6-15)","Senior (16+)"))</f>
        <v>Early (0-5)</v>
      </c>
      <c r="AC993">
        <v>3</v>
      </c>
      <c r="AD993">
        <v>2</v>
      </c>
      <c r="AE993" t="s">
        <v>64</v>
      </c>
      <c r="AF993">
        <v>2</v>
      </c>
      <c r="AG993">
        <v>1</v>
      </c>
      <c r="AH993">
        <v>2</v>
      </c>
    </row>
    <row r="994" spans="1:34" x14ac:dyDescent="0.3">
      <c r="A994" t="s">
        <v>57</v>
      </c>
      <c r="B994">
        <v>0</v>
      </c>
      <c r="C994" t="s">
        <v>50</v>
      </c>
      <c r="D994">
        <v>1485</v>
      </c>
      <c r="E994" t="s">
        <v>40</v>
      </c>
      <c r="F994">
        <v>25</v>
      </c>
      <c r="G994" t="str">
        <f>IF(Table2[[#This Row],[DistanceFromHome]]&lt;=5, "short", IF(Table2[[#This Row],[DistanceFromHome]]&lt;=15, "medium", "long"))</f>
        <v>long</v>
      </c>
      <c r="H994">
        <v>2</v>
      </c>
      <c r="I994" t="s">
        <v>34</v>
      </c>
      <c r="J994">
        <v>1397</v>
      </c>
      <c r="K994">
        <v>3</v>
      </c>
      <c r="L994" t="s">
        <v>41</v>
      </c>
      <c r="M994">
        <v>71</v>
      </c>
      <c r="N994">
        <v>3</v>
      </c>
      <c r="O994">
        <v>3</v>
      </c>
      <c r="P994" t="s">
        <v>49</v>
      </c>
      <c r="Q994">
        <v>3</v>
      </c>
      <c r="R994" t="s">
        <v>43</v>
      </c>
      <c r="S994">
        <v>10920</v>
      </c>
      <c r="T994">
        <v>3449</v>
      </c>
      <c r="U994">
        <v>3</v>
      </c>
      <c r="V994" t="s">
        <v>38</v>
      </c>
      <c r="W994">
        <v>21</v>
      </c>
      <c r="X994">
        <v>4</v>
      </c>
      <c r="Y994">
        <v>2</v>
      </c>
      <c r="Z994">
        <v>1</v>
      </c>
      <c r="AA994">
        <v>13</v>
      </c>
      <c r="AB994" t="str">
        <f>IF(Table2[[#This Row],[TotalWorkingYears]]&lt;=5,"Early (0-5)",IF(Table2[[#This Row],[TotalWorkingYears]]&lt;=15,"Mid (6-15)","Senior (16+)"))</f>
        <v>Mid (6-15)</v>
      </c>
      <c r="AC994">
        <v>2</v>
      </c>
      <c r="AD994">
        <v>3</v>
      </c>
      <c r="AE994" t="s">
        <v>62</v>
      </c>
      <c r="AF994">
        <v>4</v>
      </c>
      <c r="AG994">
        <v>0</v>
      </c>
      <c r="AH994">
        <v>5</v>
      </c>
    </row>
    <row r="995" spans="1:34" x14ac:dyDescent="0.3">
      <c r="A995" t="s">
        <v>60</v>
      </c>
      <c r="B995">
        <v>0</v>
      </c>
      <c r="C995" t="s">
        <v>32</v>
      </c>
      <c r="D995">
        <v>1372</v>
      </c>
      <c r="E995" t="s">
        <v>33</v>
      </c>
      <c r="F995">
        <v>18</v>
      </c>
      <c r="G995" t="str">
        <f>IF(Table2[[#This Row],[DistanceFromHome]]&lt;=5, "short", IF(Table2[[#This Row],[DistanceFromHome]]&lt;=15, "medium", "long"))</f>
        <v>long</v>
      </c>
      <c r="H995">
        <v>1</v>
      </c>
      <c r="I995" t="s">
        <v>34</v>
      </c>
      <c r="J995">
        <v>1399</v>
      </c>
      <c r="K995">
        <v>1</v>
      </c>
      <c r="L995" t="s">
        <v>41</v>
      </c>
      <c r="M995">
        <v>93</v>
      </c>
      <c r="N995">
        <v>4</v>
      </c>
      <c r="O995">
        <v>2</v>
      </c>
      <c r="P995" t="s">
        <v>36</v>
      </c>
      <c r="Q995">
        <v>3</v>
      </c>
      <c r="R995" t="s">
        <v>43</v>
      </c>
      <c r="S995">
        <v>6232</v>
      </c>
      <c r="T995">
        <v>12477</v>
      </c>
      <c r="U995">
        <v>2</v>
      </c>
      <c r="V995" t="s">
        <v>38</v>
      </c>
      <c r="W995">
        <v>11</v>
      </c>
      <c r="X995">
        <v>3</v>
      </c>
      <c r="Y995">
        <v>2</v>
      </c>
      <c r="Z995">
        <v>0</v>
      </c>
      <c r="AA995">
        <v>6</v>
      </c>
      <c r="AB995" t="str">
        <f>IF(Table2[[#This Row],[TotalWorkingYears]]&lt;=5,"Early (0-5)",IF(Table2[[#This Row],[TotalWorkingYears]]&lt;=15,"Mid (6-15)","Senior (16+)"))</f>
        <v>Mid (6-15)</v>
      </c>
      <c r="AC995">
        <v>3</v>
      </c>
      <c r="AD995">
        <v>2</v>
      </c>
      <c r="AE995" t="s">
        <v>64</v>
      </c>
      <c r="AF995">
        <v>2</v>
      </c>
      <c r="AG995">
        <v>1</v>
      </c>
      <c r="AH995">
        <v>2</v>
      </c>
    </row>
    <row r="996" spans="1:34" x14ac:dyDescent="0.3">
      <c r="A996" t="s">
        <v>58</v>
      </c>
      <c r="B996">
        <v>0</v>
      </c>
      <c r="C996" t="s">
        <v>39</v>
      </c>
      <c r="D996">
        <v>322</v>
      </c>
      <c r="E996" t="s">
        <v>40</v>
      </c>
      <c r="F996">
        <v>28</v>
      </c>
      <c r="G996" t="str">
        <f>IF(Table2[[#This Row],[DistanceFromHome]]&lt;=5, "short", IF(Table2[[#This Row],[DistanceFromHome]]&lt;=15, "medium", "long"))</f>
        <v>long</v>
      </c>
      <c r="H996">
        <v>2</v>
      </c>
      <c r="I996" t="s">
        <v>46</v>
      </c>
      <c r="J996">
        <v>1401</v>
      </c>
      <c r="K996">
        <v>4</v>
      </c>
      <c r="L996" t="s">
        <v>35</v>
      </c>
      <c r="M996">
        <v>59</v>
      </c>
      <c r="N996">
        <v>4</v>
      </c>
      <c r="O996">
        <v>4</v>
      </c>
      <c r="P996" t="s">
        <v>48</v>
      </c>
      <c r="Q996">
        <v>3</v>
      </c>
      <c r="R996" t="s">
        <v>43</v>
      </c>
      <c r="S996">
        <v>13247</v>
      </c>
      <c r="T996">
        <v>9731</v>
      </c>
      <c r="U996">
        <v>2</v>
      </c>
      <c r="V996" t="s">
        <v>31</v>
      </c>
      <c r="W996">
        <v>11</v>
      </c>
      <c r="X996">
        <v>3</v>
      </c>
      <c r="Y996">
        <v>2</v>
      </c>
      <c r="Z996">
        <v>1</v>
      </c>
      <c r="AA996">
        <v>24</v>
      </c>
      <c r="AB996" t="str">
        <f>IF(Table2[[#This Row],[TotalWorkingYears]]&lt;=5,"Early (0-5)",IF(Table2[[#This Row],[TotalWorkingYears]]&lt;=15,"Mid (6-15)","Senior (16+)"))</f>
        <v>Senior (16+)</v>
      </c>
      <c r="AC996">
        <v>3</v>
      </c>
      <c r="AD996">
        <v>2</v>
      </c>
      <c r="AE996" t="s">
        <v>64</v>
      </c>
      <c r="AF996">
        <v>3</v>
      </c>
      <c r="AG996">
        <v>0</v>
      </c>
      <c r="AH996">
        <v>2</v>
      </c>
    </row>
    <row r="997" spans="1:34" x14ac:dyDescent="0.3">
      <c r="A997" t="s">
        <v>57</v>
      </c>
      <c r="B997">
        <v>0</v>
      </c>
      <c r="C997" t="s">
        <v>32</v>
      </c>
      <c r="D997">
        <v>930</v>
      </c>
      <c r="E997" t="s">
        <v>40</v>
      </c>
      <c r="F997">
        <v>6</v>
      </c>
      <c r="G997" t="str">
        <f>IF(Table2[[#This Row],[DistanceFromHome]]&lt;=5, "short", IF(Table2[[#This Row],[DistanceFromHome]]&lt;=15, "medium", "long"))</f>
        <v>medium</v>
      </c>
      <c r="H997">
        <v>3</v>
      </c>
      <c r="I997" t="s">
        <v>46</v>
      </c>
      <c r="J997">
        <v>1402</v>
      </c>
      <c r="K997">
        <v>1</v>
      </c>
      <c r="L997" t="s">
        <v>35</v>
      </c>
      <c r="M997">
        <v>73</v>
      </c>
      <c r="N997">
        <v>2</v>
      </c>
      <c r="O997">
        <v>2</v>
      </c>
      <c r="P997" t="s">
        <v>42</v>
      </c>
      <c r="Q997">
        <v>3</v>
      </c>
      <c r="R997" t="s">
        <v>37</v>
      </c>
      <c r="S997">
        <v>4081</v>
      </c>
      <c r="T997">
        <v>20003</v>
      </c>
      <c r="U997">
        <v>1</v>
      </c>
      <c r="V997" t="s">
        <v>31</v>
      </c>
      <c r="W997">
        <v>14</v>
      </c>
      <c r="X997">
        <v>3</v>
      </c>
      <c r="Y997">
        <v>1</v>
      </c>
      <c r="Z997">
        <v>0</v>
      </c>
      <c r="AA997">
        <v>20</v>
      </c>
      <c r="AB997" t="str">
        <f>IF(Table2[[#This Row],[TotalWorkingYears]]&lt;=5,"Early (0-5)",IF(Table2[[#This Row],[TotalWorkingYears]]&lt;=15,"Mid (6-15)","Senior (16+)"))</f>
        <v>Senior (16+)</v>
      </c>
      <c r="AC997">
        <v>3</v>
      </c>
      <c r="AD997">
        <v>1</v>
      </c>
      <c r="AE997" t="s">
        <v>65</v>
      </c>
      <c r="AF997">
        <v>7</v>
      </c>
      <c r="AG997">
        <v>1</v>
      </c>
      <c r="AH997">
        <v>8</v>
      </c>
    </row>
    <row r="998" spans="1:34" x14ac:dyDescent="0.3">
      <c r="A998" t="s">
        <v>59</v>
      </c>
      <c r="B998">
        <v>0</v>
      </c>
      <c r="C998" t="s">
        <v>32</v>
      </c>
      <c r="D998">
        <v>205</v>
      </c>
      <c r="E998" t="s">
        <v>33</v>
      </c>
      <c r="F998">
        <v>10</v>
      </c>
      <c r="G998" t="str">
        <f>IF(Table2[[#This Row],[DistanceFromHome]]&lt;=5, "short", IF(Table2[[#This Row],[DistanceFromHome]]&lt;=15, "medium", "long"))</f>
        <v>medium</v>
      </c>
      <c r="H998">
        <v>3</v>
      </c>
      <c r="I998" t="s">
        <v>54</v>
      </c>
      <c r="J998">
        <v>1403</v>
      </c>
      <c r="K998">
        <v>4</v>
      </c>
      <c r="L998" t="s">
        <v>35</v>
      </c>
      <c r="M998">
        <v>98</v>
      </c>
      <c r="N998">
        <v>2</v>
      </c>
      <c r="O998">
        <v>2</v>
      </c>
      <c r="P998" t="s">
        <v>36</v>
      </c>
      <c r="Q998">
        <v>4</v>
      </c>
      <c r="R998" t="s">
        <v>43</v>
      </c>
      <c r="S998">
        <v>5769</v>
      </c>
      <c r="T998">
        <v>7100</v>
      </c>
      <c r="U998">
        <v>1</v>
      </c>
      <c r="V998" t="s">
        <v>31</v>
      </c>
      <c r="W998">
        <v>11</v>
      </c>
      <c r="X998">
        <v>3</v>
      </c>
      <c r="Y998">
        <v>4</v>
      </c>
      <c r="Z998">
        <v>0</v>
      </c>
      <c r="AA998">
        <v>6</v>
      </c>
      <c r="AB998" t="str">
        <f>IF(Table2[[#This Row],[TotalWorkingYears]]&lt;=5,"Early (0-5)",IF(Table2[[#This Row],[TotalWorkingYears]]&lt;=15,"Mid (6-15)","Senior (16+)"))</f>
        <v>Mid (6-15)</v>
      </c>
      <c r="AC998">
        <v>3</v>
      </c>
      <c r="AD998">
        <v>3</v>
      </c>
      <c r="AE998" t="s">
        <v>62</v>
      </c>
      <c r="AF998">
        <v>2</v>
      </c>
      <c r="AG998">
        <v>4</v>
      </c>
      <c r="AH998">
        <v>4</v>
      </c>
    </row>
    <row r="999" spans="1:34" x14ac:dyDescent="0.3">
      <c r="A999" t="s">
        <v>59</v>
      </c>
      <c r="B999">
        <v>1</v>
      </c>
      <c r="C999" t="s">
        <v>32</v>
      </c>
      <c r="D999">
        <v>135</v>
      </c>
      <c r="E999" t="s">
        <v>40</v>
      </c>
      <c r="F999">
        <v>17</v>
      </c>
      <c r="G999" t="str">
        <f>IF(Table2[[#This Row],[DistanceFromHome]]&lt;=5, "short", IF(Table2[[#This Row],[DistanceFromHome]]&lt;=15, "medium", "long"))</f>
        <v>long</v>
      </c>
      <c r="H999">
        <v>4</v>
      </c>
      <c r="I999" t="s">
        <v>34</v>
      </c>
      <c r="J999">
        <v>1405</v>
      </c>
      <c r="K999">
        <v>4</v>
      </c>
      <c r="L999" t="s">
        <v>35</v>
      </c>
      <c r="M999">
        <v>51</v>
      </c>
      <c r="N999">
        <v>3</v>
      </c>
      <c r="O999">
        <v>1</v>
      </c>
      <c r="P999" t="s">
        <v>42</v>
      </c>
      <c r="Q999">
        <v>3</v>
      </c>
      <c r="R999" t="s">
        <v>37</v>
      </c>
      <c r="S999">
        <v>2394</v>
      </c>
      <c r="T999">
        <v>25681</v>
      </c>
      <c r="U999">
        <v>1</v>
      </c>
      <c r="V999" t="s">
        <v>31</v>
      </c>
      <c r="W999">
        <v>13</v>
      </c>
      <c r="X999">
        <v>3</v>
      </c>
      <c r="Y999">
        <v>4</v>
      </c>
      <c r="Z999">
        <v>0</v>
      </c>
      <c r="AA999">
        <v>8</v>
      </c>
      <c r="AB999" t="str">
        <f>IF(Table2[[#This Row],[TotalWorkingYears]]&lt;=5,"Early (0-5)",IF(Table2[[#This Row],[TotalWorkingYears]]&lt;=15,"Mid (6-15)","Senior (16+)"))</f>
        <v>Mid (6-15)</v>
      </c>
      <c r="AC999">
        <v>2</v>
      </c>
      <c r="AD999">
        <v>3</v>
      </c>
      <c r="AE999" t="s">
        <v>62</v>
      </c>
      <c r="AF999">
        <v>2</v>
      </c>
      <c r="AG999">
        <v>7</v>
      </c>
      <c r="AH999">
        <v>7</v>
      </c>
    </row>
    <row r="1000" spans="1:34" x14ac:dyDescent="0.3">
      <c r="A1000" t="s">
        <v>59</v>
      </c>
      <c r="B1000">
        <v>0</v>
      </c>
      <c r="C1000" t="s">
        <v>32</v>
      </c>
      <c r="D1000">
        <v>683</v>
      </c>
      <c r="E1000" t="s">
        <v>40</v>
      </c>
      <c r="F1000">
        <v>2</v>
      </c>
      <c r="G1000" t="str">
        <f>IF(Table2[[#This Row],[DistanceFromHome]]&lt;=5, "short", IF(Table2[[#This Row],[DistanceFromHome]]&lt;=15, "medium", "long"))</f>
        <v>short</v>
      </c>
      <c r="H1000">
        <v>1</v>
      </c>
      <c r="I1000" t="s">
        <v>46</v>
      </c>
      <c r="J1000">
        <v>1407</v>
      </c>
      <c r="K1000">
        <v>1</v>
      </c>
      <c r="L1000" t="s">
        <v>41</v>
      </c>
      <c r="M1000">
        <v>36</v>
      </c>
      <c r="N1000">
        <v>2</v>
      </c>
      <c r="O1000">
        <v>1</v>
      </c>
      <c r="P1000" t="s">
        <v>42</v>
      </c>
      <c r="Q1000">
        <v>4</v>
      </c>
      <c r="R1000" t="s">
        <v>37</v>
      </c>
      <c r="S1000">
        <v>3904</v>
      </c>
      <c r="T1000">
        <v>4050</v>
      </c>
      <c r="U1000">
        <v>0</v>
      </c>
      <c r="V1000" t="s">
        <v>38</v>
      </c>
      <c r="W1000">
        <v>12</v>
      </c>
      <c r="X1000">
        <v>3</v>
      </c>
      <c r="Y1000">
        <v>4</v>
      </c>
      <c r="Z1000">
        <v>0</v>
      </c>
      <c r="AA1000">
        <v>5</v>
      </c>
      <c r="AB1000" t="str">
        <f>IF(Table2[[#This Row],[TotalWorkingYears]]&lt;=5,"Early (0-5)",IF(Table2[[#This Row],[TotalWorkingYears]]&lt;=15,"Mid (6-15)","Senior (16+)"))</f>
        <v>Early (0-5)</v>
      </c>
      <c r="AC1000">
        <v>2</v>
      </c>
      <c r="AD1000">
        <v>3</v>
      </c>
      <c r="AE1000" t="s">
        <v>64</v>
      </c>
      <c r="AF1000">
        <v>3</v>
      </c>
      <c r="AG1000">
        <v>1</v>
      </c>
      <c r="AH1000">
        <v>1</v>
      </c>
    </row>
    <row r="1001" spans="1:34" x14ac:dyDescent="0.3">
      <c r="A1001" t="s">
        <v>57</v>
      </c>
      <c r="B1001">
        <v>0</v>
      </c>
      <c r="C1001" t="s">
        <v>32</v>
      </c>
      <c r="D1001">
        <v>1147</v>
      </c>
      <c r="E1001" t="s">
        <v>56</v>
      </c>
      <c r="F1001">
        <v>10</v>
      </c>
      <c r="G1001" t="str">
        <f>IF(Table2[[#This Row],[DistanceFromHome]]&lt;=5, "short", IF(Table2[[#This Row],[DistanceFromHome]]&lt;=15, "medium", "long"))</f>
        <v>medium</v>
      </c>
      <c r="H1001">
        <v>3</v>
      </c>
      <c r="I1001" t="s">
        <v>56</v>
      </c>
      <c r="J1001">
        <v>1408</v>
      </c>
      <c r="K1001">
        <v>3</v>
      </c>
      <c r="L1001" t="s">
        <v>35</v>
      </c>
      <c r="M1001">
        <v>31</v>
      </c>
      <c r="N1001">
        <v>3</v>
      </c>
      <c r="O1001">
        <v>4</v>
      </c>
      <c r="P1001" t="s">
        <v>51</v>
      </c>
      <c r="Q1001">
        <v>1</v>
      </c>
      <c r="R1001" t="s">
        <v>43</v>
      </c>
      <c r="S1001">
        <v>16799</v>
      </c>
      <c r="T1001">
        <v>16616</v>
      </c>
      <c r="U1001">
        <v>0</v>
      </c>
      <c r="V1001" t="s">
        <v>38</v>
      </c>
      <c r="W1001">
        <v>14</v>
      </c>
      <c r="X1001">
        <v>3</v>
      </c>
      <c r="Y1001">
        <v>3</v>
      </c>
      <c r="Z1001">
        <v>1</v>
      </c>
      <c r="AA1001">
        <v>21</v>
      </c>
      <c r="AB1001" t="str">
        <f>IF(Table2[[#This Row],[TotalWorkingYears]]&lt;=5,"Early (0-5)",IF(Table2[[#This Row],[TotalWorkingYears]]&lt;=15,"Mid (6-15)","Senior (16+)"))</f>
        <v>Senior (16+)</v>
      </c>
      <c r="AC1001">
        <v>5</v>
      </c>
      <c r="AD1001">
        <v>3</v>
      </c>
      <c r="AE1001" t="s">
        <v>65</v>
      </c>
      <c r="AF1001">
        <v>7</v>
      </c>
      <c r="AG1001">
        <v>0</v>
      </c>
      <c r="AH1001">
        <v>9</v>
      </c>
    </row>
    <row r="1002" spans="1:34" x14ac:dyDescent="0.3">
      <c r="A1002" t="s">
        <v>58</v>
      </c>
      <c r="B1002">
        <v>0</v>
      </c>
      <c r="C1002" t="s">
        <v>32</v>
      </c>
      <c r="D1002">
        <v>258</v>
      </c>
      <c r="E1002" t="s">
        <v>40</v>
      </c>
      <c r="F1002">
        <v>8</v>
      </c>
      <c r="G1002" t="str">
        <f>IF(Table2[[#This Row],[DistanceFromHome]]&lt;=5, "short", IF(Table2[[#This Row],[DistanceFromHome]]&lt;=15, "medium", "long"))</f>
        <v>medium</v>
      </c>
      <c r="H1002">
        <v>4</v>
      </c>
      <c r="I1002" t="s">
        <v>44</v>
      </c>
      <c r="J1002">
        <v>1409</v>
      </c>
      <c r="K1002">
        <v>3</v>
      </c>
      <c r="L1002" t="s">
        <v>35</v>
      </c>
      <c r="M1002">
        <v>54</v>
      </c>
      <c r="N1002">
        <v>3</v>
      </c>
      <c r="O1002">
        <v>1</v>
      </c>
      <c r="P1002" t="s">
        <v>45</v>
      </c>
      <c r="Q1002">
        <v>1</v>
      </c>
      <c r="R1002" t="s">
        <v>43</v>
      </c>
      <c r="S1002">
        <v>2950</v>
      </c>
      <c r="T1002">
        <v>17363</v>
      </c>
      <c r="U1002">
        <v>9</v>
      </c>
      <c r="V1002" t="s">
        <v>38</v>
      </c>
      <c r="W1002">
        <v>13</v>
      </c>
      <c r="X1002">
        <v>3</v>
      </c>
      <c r="Y1002">
        <v>3</v>
      </c>
      <c r="Z1002">
        <v>0</v>
      </c>
      <c r="AA1002">
        <v>12</v>
      </c>
      <c r="AB1002" t="str">
        <f>IF(Table2[[#This Row],[TotalWorkingYears]]&lt;=5,"Early (0-5)",IF(Table2[[#This Row],[TotalWorkingYears]]&lt;=15,"Mid (6-15)","Senior (16+)"))</f>
        <v>Mid (6-15)</v>
      </c>
      <c r="AC1002">
        <v>2</v>
      </c>
      <c r="AD1002">
        <v>1</v>
      </c>
      <c r="AE1002" t="s">
        <v>64</v>
      </c>
      <c r="AF1002">
        <v>4</v>
      </c>
      <c r="AG1002">
        <v>0</v>
      </c>
      <c r="AH1002">
        <v>4</v>
      </c>
    </row>
    <row r="1003" spans="1:34" x14ac:dyDescent="0.3">
      <c r="A1003" t="s">
        <v>57</v>
      </c>
      <c r="B1003">
        <v>0</v>
      </c>
      <c r="C1003" t="s">
        <v>32</v>
      </c>
      <c r="D1003">
        <v>1462</v>
      </c>
      <c r="E1003" t="s">
        <v>40</v>
      </c>
      <c r="F1003">
        <v>11</v>
      </c>
      <c r="G1003" t="str">
        <f>IF(Table2[[#This Row],[DistanceFromHome]]&lt;=5, "short", IF(Table2[[#This Row],[DistanceFromHome]]&lt;=15, "medium", "long"))</f>
        <v>medium</v>
      </c>
      <c r="H1003">
        <v>3</v>
      </c>
      <c r="I1003" t="s">
        <v>46</v>
      </c>
      <c r="J1003">
        <v>1411</v>
      </c>
      <c r="K1003">
        <v>1</v>
      </c>
      <c r="L1003" t="s">
        <v>35</v>
      </c>
      <c r="M1003">
        <v>94</v>
      </c>
      <c r="N1003">
        <v>3</v>
      </c>
      <c r="O1003">
        <v>1</v>
      </c>
      <c r="P1003" t="s">
        <v>45</v>
      </c>
      <c r="Q1003">
        <v>3</v>
      </c>
      <c r="R1003" t="s">
        <v>37</v>
      </c>
      <c r="S1003">
        <v>3629</v>
      </c>
      <c r="T1003">
        <v>19106</v>
      </c>
      <c r="U1003">
        <v>4</v>
      </c>
      <c r="V1003" t="s">
        <v>38</v>
      </c>
      <c r="W1003">
        <v>18</v>
      </c>
      <c r="X1003">
        <v>3</v>
      </c>
      <c r="Y1003">
        <v>1</v>
      </c>
      <c r="Z1003">
        <v>0</v>
      </c>
      <c r="AA1003">
        <v>8</v>
      </c>
      <c r="AB1003" t="str">
        <f>IF(Table2[[#This Row],[TotalWorkingYears]]&lt;=5,"Early (0-5)",IF(Table2[[#This Row],[TotalWorkingYears]]&lt;=15,"Mid (6-15)","Senior (16+)"))</f>
        <v>Mid (6-15)</v>
      </c>
      <c r="AC1003">
        <v>6</v>
      </c>
      <c r="AD1003">
        <v>3</v>
      </c>
      <c r="AE1003" t="s">
        <v>64</v>
      </c>
      <c r="AF1003">
        <v>2</v>
      </c>
      <c r="AG1003">
        <v>0</v>
      </c>
      <c r="AH1003">
        <v>2</v>
      </c>
    </row>
    <row r="1004" spans="1:34" x14ac:dyDescent="0.3">
      <c r="A1004" t="s">
        <v>59</v>
      </c>
      <c r="B1004">
        <v>0</v>
      </c>
      <c r="C1004" t="s">
        <v>39</v>
      </c>
      <c r="D1004">
        <v>200</v>
      </c>
      <c r="E1004" t="s">
        <v>40</v>
      </c>
      <c r="F1004">
        <v>18</v>
      </c>
      <c r="G1004" t="str">
        <f>IF(Table2[[#This Row],[DistanceFromHome]]&lt;=5, "short", IF(Table2[[#This Row],[DistanceFromHome]]&lt;=15, "medium", "long"))</f>
        <v>long</v>
      </c>
      <c r="H1004">
        <v>2</v>
      </c>
      <c r="I1004" t="s">
        <v>34</v>
      </c>
      <c r="J1004">
        <v>1412</v>
      </c>
      <c r="K1004">
        <v>3</v>
      </c>
      <c r="L1004" t="s">
        <v>41</v>
      </c>
      <c r="M1004">
        <v>60</v>
      </c>
      <c r="N1004">
        <v>3</v>
      </c>
      <c r="O1004">
        <v>3</v>
      </c>
      <c r="P1004" t="s">
        <v>48</v>
      </c>
      <c r="Q1004">
        <v>4</v>
      </c>
      <c r="R1004" t="s">
        <v>37</v>
      </c>
      <c r="S1004">
        <v>9362</v>
      </c>
      <c r="T1004">
        <v>19944</v>
      </c>
      <c r="U1004">
        <v>2</v>
      </c>
      <c r="V1004" t="s">
        <v>38</v>
      </c>
      <c r="W1004">
        <v>11</v>
      </c>
      <c r="X1004">
        <v>3</v>
      </c>
      <c r="Y1004">
        <v>3</v>
      </c>
      <c r="Z1004">
        <v>0</v>
      </c>
      <c r="AA1004">
        <v>10</v>
      </c>
      <c r="AB1004" t="str">
        <f>IF(Table2[[#This Row],[TotalWorkingYears]]&lt;=5,"Early (0-5)",IF(Table2[[#This Row],[TotalWorkingYears]]&lt;=15,"Mid (6-15)","Senior (16+)"))</f>
        <v>Mid (6-15)</v>
      </c>
      <c r="AC1004">
        <v>2</v>
      </c>
      <c r="AD1004">
        <v>3</v>
      </c>
      <c r="AE1004" t="s">
        <v>63</v>
      </c>
      <c r="AF1004">
        <v>2</v>
      </c>
      <c r="AG1004">
        <v>2</v>
      </c>
      <c r="AH1004">
        <v>2</v>
      </c>
    </row>
    <row r="1005" spans="1:34" x14ac:dyDescent="0.3">
      <c r="A1005" t="s">
        <v>60</v>
      </c>
      <c r="B1005">
        <v>0</v>
      </c>
      <c r="C1005" t="s">
        <v>32</v>
      </c>
      <c r="D1005">
        <v>949</v>
      </c>
      <c r="E1005" t="s">
        <v>40</v>
      </c>
      <c r="F1005">
        <v>1</v>
      </c>
      <c r="G1005" t="str">
        <f>IF(Table2[[#This Row],[DistanceFromHome]]&lt;=5, "short", IF(Table2[[#This Row],[DistanceFromHome]]&lt;=15, "medium", "long"))</f>
        <v>short</v>
      </c>
      <c r="H1005">
        <v>3</v>
      </c>
      <c r="I1005" t="s">
        <v>55</v>
      </c>
      <c r="J1005">
        <v>1415</v>
      </c>
      <c r="K1005">
        <v>1</v>
      </c>
      <c r="L1005" t="s">
        <v>41</v>
      </c>
      <c r="M1005">
        <v>81</v>
      </c>
      <c r="N1005">
        <v>3</v>
      </c>
      <c r="O1005">
        <v>1</v>
      </c>
      <c r="P1005" t="s">
        <v>45</v>
      </c>
      <c r="Q1005">
        <v>4</v>
      </c>
      <c r="R1005" t="s">
        <v>43</v>
      </c>
      <c r="S1005">
        <v>3229</v>
      </c>
      <c r="T1005">
        <v>4910</v>
      </c>
      <c r="U1005">
        <v>4</v>
      </c>
      <c r="V1005" t="s">
        <v>38</v>
      </c>
      <c r="W1005">
        <v>11</v>
      </c>
      <c r="X1005">
        <v>3</v>
      </c>
      <c r="Y1005">
        <v>2</v>
      </c>
      <c r="Z1005">
        <v>1</v>
      </c>
      <c r="AA1005">
        <v>7</v>
      </c>
      <c r="AB1005" t="str">
        <f>IF(Table2[[#This Row],[TotalWorkingYears]]&lt;=5,"Early (0-5)",IF(Table2[[#This Row],[TotalWorkingYears]]&lt;=15,"Mid (6-15)","Senior (16+)"))</f>
        <v>Mid (6-15)</v>
      </c>
      <c r="AC1005">
        <v>2</v>
      </c>
      <c r="AD1005">
        <v>2</v>
      </c>
      <c r="AE1005" t="s">
        <v>64</v>
      </c>
      <c r="AF1005">
        <v>2</v>
      </c>
      <c r="AG1005">
        <v>0</v>
      </c>
      <c r="AH1005">
        <v>2</v>
      </c>
    </row>
    <row r="1006" spans="1:34" x14ac:dyDescent="0.3">
      <c r="A1006" t="s">
        <v>59</v>
      </c>
      <c r="B1006">
        <v>0</v>
      </c>
      <c r="C1006" t="s">
        <v>32</v>
      </c>
      <c r="D1006">
        <v>652</v>
      </c>
      <c r="E1006" t="s">
        <v>40</v>
      </c>
      <c r="F1006">
        <v>7</v>
      </c>
      <c r="G1006" t="str">
        <f>IF(Table2[[#This Row],[DistanceFromHome]]&lt;=5, "short", IF(Table2[[#This Row],[DistanceFromHome]]&lt;=15, "medium", "long"))</f>
        <v>medium</v>
      </c>
      <c r="H1006">
        <v>3</v>
      </c>
      <c r="I1006" t="s">
        <v>44</v>
      </c>
      <c r="J1006">
        <v>1417</v>
      </c>
      <c r="K1006">
        <v>3</v>
      </c>
      <c r="L1006" t="s">
        <v>41</v>
      </c>
      <c r="M1006">
        <v>100</v>
      </c>
      <c r="N1006">
        <v>4</v>
      </c>
      <c r="O1006">
        <v>1</v>
      </c>
      <c r="P1006" t="s">
        <v>45</v>
      </c>
      <c r="Q1006">
        <v>1</v>
      </c>
      <c r="R1006" t="s">
        <v>37</v>
      </c>
      <c r="S1006">
        <v>3578</v>
      </c>
      <c r="T1006">
        <v>23577</v>
      </c>
      <c r="U1006">
        <v>0</v>
      </c>
      <c r="V1006" t="s">
        <v>38</v>
      </c>
      <c r="W1006">
        <v>12</v>
      </c>
      <c r="X1006">
        <v>3</v>
      </c>
      <c r="Y1006">
        <v>4</v>
      </c>
      <c r="Z1006">
        <v>0</v>
      </c>
      <c r="AA1006">
        <v>8</v>
      </c>
      <c r="AB1006" t="str">
        <f>IF(Table2[[#This Row],[TotalWorkingYears]]&lt;=5,"Early (0-5)",IF(Table2[[#This Row],[TotalWorkingYears]]&lt;=15,"Mid (6-15)","Senior (16+)"))</f>
        <v>Mid (6-15)</v>
      </c>
      <c r="AC1006">
        <v>2</v>
      </c>
      <c r="AD1006">
        <v>3</v>
      </c>
      <c r="AE1006" t="s">
        <v>62</v>
      </c>
      <c r="AF1006">
        <v>7</v>
      </c>
      <c r="AG1006">
        <v>0</v>
      </c>
      <c r="AH1006">
        <v>7</v>
      </c>
    </row>
    <row r="1007" spans="1:34" x14ac:dyDescent="0.3">
      <c r="A1007" t="s">
        <v>59</v>
      </c>
      <c r="B1007">
        <v>0</v>
      </c>
      <c r="C1007" t="s">
        <v>32</v>
      </c>
      <c r="D1007">
        <v>332</v>
      </c>
      <c r="E1007" t="s">
        <v>56</v>
      </c>
      <c r="F1007">
        <v>17</v>
      </c>
      <c r="G1007" t="str">
        <f>IF(Table2[[#This Row],[DistanceFromHome]]&lt;=5, "short", IF(Table2[[#This Row],[DistanceFromHome]]&lt;=15, "medium", "long"))</f>
        <v>long</v>
      </c>
      <c r="H1007">
        <v>3</v>
      </c>
      <c r="I1007" t="s">
        <v>44</v>
      </c>
      <c r="J1007">
        <v>1419</v>
      </c>
      <c r="K1007">
        <v>2</v>
      </c>
      <c r="L1007" t="s">
        <v>41</v>
      </c>
      <c r="M1007">
        <v>51</v>
      </c>
      <c r="N1007">
        <v>2</v>
      </c>
      <c r="O1007">
        <v>3</v>
      </c>
      <c r="P1007" t="s">
        <v>56</v>
      </c>
      <c r="Q1007">
        <v>1</v>
      </c>
      <c r="R1007" t="s">
        <v>37</v>
      </c>
      <c r="S1007">
        <v>7988</v>
      </c>
      <c r="T1007">
        <v>9769</v>
      </c>
      <c r="U1007">
        <v>1</v>
      </c>
      <c r="V1007" t="s">
        <v>38</v>
      </c>
      <c r="W1007">
        <v>13</v>
      </c>
      <c r="X1007">
        <v>3</v>
      </c>
      <c r="Y1007">
        <v>1</v>
      </c>
      <c r="Z1007">
        <v>0</v>
      </c>
      <c r="AA1007">
        <v>10</v>
      </c>
      <c r="AB1007" t="str">
        <f>IF(Table2[[#This Row],[TotalWorkingYears]]&lt;=5,"Early (0-5)",IF(Table2[[#This Row],[TotalWorkingYears]]&lt;=15,"Mid (6-15)","Senior (16+)"))</f>
        <v>Mid (6-15)</v>
      </c>
      <c r="AC1007">
        <v>3</v>
      </c>
      <c r="AD1007">
        <v>2</v>
      </c>
      <c r="AE1007" t="s">
        <v>62</v>
      </c>
      <c r="AF1007">
        <v>9</v>
      </c>
      <c r="AG1007">
        <v>0</v>
      </c>
      <c r="AH1007">
        <v>9</v>
      </c>
    </row>
    <row r="1008" spans="1:34" x14ac:dyDescent="0.3">
      <c r="A1008" t="s">
        <v>58</v>
      </c>
      <c r="B1008">
        <v>1</v>
      </c>
      <c r="C1008" t="s">
        <v>39</v>
      </c>
      <c r="D1008">
        <v>1475</v>
      </c>
      <c r="E1008" t="s">
        <v>40</v>
      </c>
      <c r="F1008">
        <v>28</v>
      </c>
      <c r="G1008" t="str">
        <f>IF(Table2[[#This Row],[DistanceFromHome]]&lt;=5, "short", IF(Table2[[#This Row],[DistanceFromHome]]&lt;=15, "medium", "long"))</f>
        <v>long</v>
      </c>
      <c r="H1008">
        <v>2</v>
      </c>
      <c r="I1008" t="s">
        <v>34</v>
      </c>
      <c r="J1008">
        <v>1420</v>
      </c>
      <c r="K1008">
        <v>1</v>
      </c>
      <c r="L1008" t="s">
        <v>41</v>
      </c>
      <c r="M1008">
        <v>97</v>
      </c>
      <c r="N1008">
        <v>2</v>
      </c>
      <c r="O1008">
        <v>2</v>
      </c>
      <c r="P1008" t="s">
        <v>45</v>
      </c>
      <c r="Q1008">
        <v>1</v>
      </c>
      <c r="R1008" t="s">
        <v>37</v>
      </c>
      <c r="S1008">
        <v>4284</v>
      </c>
      <c r="T1008">
        <v>22710</v>
      </c>
      <c r="U1008">
        <v>3</v>
      </c>
      <c r="V1008" t="s">
        <v>38</v>
      </c>
      <c r="W1008">
        <v>20</v>
      </c>
      <c r="X1008">
        <v>4</v>
      </c>
      <c r="Y1008">
        <v>1</v>
      </c>
      <c r="Z1008">
        <v>0</v>
      </c>
      <c r="AA1008">
        <v>20</v>
      </c>
      <c r="AB1008" t="str">
        <f>IF(Table2[[#This Row],[TotalWorkingYears]]&lt;=5,"Early (0-5)",IF(Table2[[#This Row],[TotalWorkingYears]]&lt;=15,"Mid (6-15)","Senior (16+)"))</f>
        <v>Senior (16+)</v>
      </c>
      <c r="AC1008">
        <v>2</v>
      </c>
      <c r="AD1008">
        <v>3</v>
      </c>
      <c r="AE1008" t="s">
        <v>64</v>
      </c>
      <c r="AF1008">
        <v>3</v>
      </c>
      <c r="AG1008">
        <v>1</v>
      </c>
      <c r="AH1008">
        <v>3</v>
      </c>
    </row>
    <row r="1009" spans="1:34" x14ac:dyDescent="0.3">
      <c r="A1009" t="s">
        <v>59</v>
      </c>
      <c r="B1009">
        <v>1</v>
      </c>
      <c r="C1009" t="s">
        <v>39</v>
      </c>
      <c r="D1009">
        <v>337</v>
      </c>
      <c r="E1009" t="s">
        <v>40</v>
      </c>
      <c r="F1009">
        <v>14</v>
      </c>
      <c r="G1009" t="str">
        <f>IF(Table2[[#This Row],[DistanceFromHome]]&lt;=5, "short", IF(Table2[[#This Row],[DistanceFromHome]]&lt;=15, "medium", "long"))</f>
        <v>medium</v>
      </c>
      <c r="H1009">
        <v>1</v>
      </c>
      <c r="I1009" t="s">
        <v>44</v>
      </c>
      <c r="J1009">
        <v>1421</v>
      </c>
      <c r="K1009">
        <v>3</v>
      </c>
      <c r="L1009" t="s">
        <v>35</v>
      </c>
      <c r="M1009">
        <v>84</v>
      </c>
      <c r="N1009">
        <v>3</v>
      </c>
      <c r="O1009">
        <v>3</v>
      </c>
      <c r="P1009" t="s">
        <v>49</v>
      </c>
      <c r="Q1009">
        <v>4</v>
      </c>
      <c r="R1009" t="s">
        <v>37</v>
      </c>
      <c r="S1009">
        <v>7553</v>
      </c>
      <c r="T1009">
        <v>22930</v>
      </c>
      <c r="U1009">
        <v>0</v>
      </c>
      <c r="V1009" t="s">
        <v>31</v>
      </c>
      <c r="W1009">
        <v>12</v>
      </c>
      <c r="X1009">
        <v>3</v>
      </c>
      <c r="Y1009">
        <v>1</v>
      </c>
      <c r="Z1009">
        <v>0</v>
      </c>
      <c r="AA1009">
        <v>9</v>
      </c>
      <c r="AB1009" t="str">
        <f>IF(Table2[[#This Row],[TotalWorkingYears]]&lt;=5,"Early (0-5)",IF(Table2[[#This Row],[TotalWorkingYears]]&lt;=15,"Mid (6-15)","Senior (16+)"))</f>
        <v>Mid (6-15)</v>
      </c>
      <c r="AC1009">
        <v>1</v>
      </c>
      <c r="AD1009">
        <v>3</v>
      </c>
      <c r="AE1009" t="s">
        <v>62</v>
      </c>
      <c r="AF1009">
        <v>7</v>
      </c>
      <c r="AG1009">
        <v>7</v>
      </c>
      <c r="AH1009">
        <v>7</v>
      </c>
    </row>
    <row r="1010" spans="1:34" x14ac:dyDescent="0.3">
      <c r="A1010" t="s">
        <v>58</v>
      </c>
      <c r="B1010">
        <v>0</v>
      </c>
      <c r="C1010" t="s">
        <v>32</v>
      </c>
      <c r="D1010">
        <v>971</v>
      </c>
      <c r="E1010" t="s">
        <v>40</v>
      </c>
      <c r="F1010">
        <v>1</v>
      </c>
      <c r="G1010" t="str">
        <f>IF(Table2[[#This Row],[DistanceFromHome]]&lt;=5, "short", IF(Table2[[#This Row],[DistanceFromHome]]&lt;=15, "medium", "long"))</f>
        <v>short</v>
      </c>
      <c r="H1010">
        <v>3</v>
      </c>
      <c r="I1010" t="s">
        <v>46</v>
      </c>
      <c r="J1010">
        <v>1422</v>
      </c>
      <c r="K1010">
        <v>4</v>
      </c>
      <c r="L1010" t="s">
        <v>35</v>
      </c>
      <c r="M1010">
        <v>54</v>
      </c>
      <c r="N1010">
        <v>3</v>
      </c>
      <c r="O1010">
        <v>4</v>
      </c>
      <c r="P1010" t="s">
        <v>53</v>
      </c>
      <c r="Q1010">
        <v>4</v>
      </c>
      <c r="R1010" t="s">
        <v>37</v>
      </c>
      <c r="S1010">
        <v>17328</v>
      </c>
      <c r="T1010">
        <v>5652</v>
      </c>
      <c r="U1010">
        <v>6</v>
      </c>
      <c r="V1010" t="s">
        <v>38</v>
      </c>
      <c r="W1010">
        <v>19</v>
      </c>
      <c r="X1010">
        <v>3</v>
      </c>
      <c r="Y1010">
        <v>4</v>
      </c>
      <c r="Z1010">
        <v>0</v>
      </c>
      <c r="AA1010">
        <v>29</v>
      </c>
      <c r="AB1010" t="str">
        <f>IF(Table2[[#This Row],[TotalWorkingYears]]&lt;=5,"Early (0-5)",IF(Table2[[#This Row],[TotalWorkingYears]]&lt;=15,"Mid (6-15)","Senior (16+)"))</f>
        <v>Senior (16+)</v>
      </c>
      <c r="AC1010">
        <v>3</v>
      </c>
      <c r="AD1010">
        <v>2</v>
      </c>
      <c r="AE1010" t="s">
        <v>65</v>
      </c>
      <c r="AF1010">
        <v>7</v>
      </c>
      <c r="AG1010">
        <v>12</v>
      </c>
      <c r="AH1010">
        <v>7</v>
      </c>
    </row>
    <row r="1011" spans="1:34" x14ac:dyDescent="0.3">
      <c r="A1011" t="s">
        <v>58</v>
      </c>
      <c r="B1011">
        <v>0</v>
      </c>
      <c r="C1011" t="s">
        <v>32</v>
      </c>
      <c r="D1011">
        <v>1055</v>
      </c>
      <c r="E1011" t="s">
        <v>40</v>
      </c>
      <c r="F1011">
        <v>1</v>
      </c>
      <c r="G1011" t="str">
        <f>IF(Table2[[#This Row],[DistanceFromHome]]&lt;=5, "short", IF(Table2[[#This Row],[DistanceFromHome]]&lt;=15, "medium", "long"))</f>
        <v>short</v>
      </c>
      <c r="H1011">
        <v>3</v>
      </c>
      <c r="I1011" t="s">
        <v>46</v>
      </c>
      <c r="J1011">
        <v>1423</v>
      </c>
      <c r="K1011">
        <v>4</v>
      </c>
      <c r="L1011" t="s">
        <v>35</v>
      </c>
      <c r="M1011">
        <v>76</v>
      </c>
      <c r="N1011">
        <v>3</v>
      </c>
      <c r="O1011">
        <v>5</v>
      </c>
      <c r="P1011" t="s">
        <v>53</v>
      </c>
      <c r="Q1011">
        <v>1</v>
      </c>
      <c r="R1011" t="s">
        <v>43</v>
      </c>
      <c r="S1011">
        <v>19701</v>
      </c>
      <c r="T1011">
        <v>22456</v>
      </c>
      <c r="U1011">
        <v>3</v>
      </c>
      <c r="V1011" t="s">
        <v>31</v>
      </c>
      <c r="W1011">
        <v>21</v>
      </c>
      <c r="X1011">
        <v>4</v>
      </c>
      <c r="Y1011">
        <v>3</v>
      </c>
      <c r="Z1011">
        <v>1</v>
      </c>
      <c r="AA1011">
        <v>32</v>
      </c>
      <c r="AB1011" t="str">
        <f>IF(Table2[[#This Row],[TotalWorkingYears]]&lt;=5,"Early (0-5)",IF(Table2[[#This Row],[TotalWorkingYears]]&lt;=15,"Mid (6-15)","Senior (16+)"))</f>
        <v>Senior (16+)</v>
      </c>
      <c r="AC1011">
        <v>3</v>
      </c>
      <c r="AD1011">
        <v>3</v>
      </c>
      <c r="AE1011" t="s">
        <v>62</v>
      </c>
      <c r="AF1011">
        <v>8</v>
      </c>
      <c r="AG1011">
        <v>1</v>
      </c>
      <c r="AH1011">
        <v>5</v>
      </c>
    </row>
    <row r="1012" spans="1:34" x14ac:dyDescent="0.3">
      <c r="A1012" t="s">
        <v>58</v>
      </c>
      <c r="B1012">
        <v>0</v>
      </c>
      <c r="C1012" t="s">
        <v>32</v>
      </c>
      <c r="D1012">
        <v>1136</v>
      </c>
      <c r="E1012" t="s">
        <v>40</v>
      </c>
      <c r="F1012">
        <v>1</v>
      </c>
      <c r="G1012" t="str">
        <f>IF(Table2[[#This Row],[DistanceFromHome]]&lt;=5, "short", IF(Table2[[#This Row],[DistanceFromHome]]&lt;=15, "medium", "long"))</f>
        <v>short</v>
      </c>
      <c r="H1012">
        <v>4</v>
      </c>
      <c r="I1012" t="s">
        <v>46</v>
      </c>
      <c r="J1012">
        <v>1424</v>
      </c>
      <c r="K1012">
        <v>2</v>
      </c>
      <c r="L1012" t="s">
        <v>41</v>
      </c>
      <c r="M1012">
        <v>81</v>
      </c>
      <c r="N1012">
        <v>4</v>
      </c>
      <c r="O1012">
        <v>4</v>
      </c>
      <c r="P1012" t="s">
        <v>53</v>
      </c>
      <c r="Q1012">
        <v>4</v>
      </c>
      <c r="R1012" t="s">
        <v>47</v>
      </c>
      <c r="S1012">
        <v>14732</v>
      </c>
      <c r="T1012">
        <v>12414</v>
      </c>
      <c r="U1012">
        <v>2</v>
      </c>
      <c r="V1012" t="s">
        <v>38</v>
      </c>
      <c r="W1012">
        <v>13</v>
      </c>
      <c r="X1012">
        <v>3</v>
      </c>
      <c r="Y1012">
        <v>4</v>
      </c>
      <c r="Z1012">
        <v>2</v>
      </c>
      <c r="AA1012">
        <v>31</v>
      </c>
      <c r="AB1012" t="str">
        <f>IF(Table2[[#This Row],[TotalWorkingYears]]&lt;=5,"Early (0-5)",IF(Table2[[#This Row],[TotalWorkingYears]]&lt;=15,"Mid (6-15)","Senior (16+)"))</f>
        <v>Senior (16+)</v>
      </c>
      <c r="AC1012">
        <v>4</v>
      </c>
      <c r="AD1012">
        <v>4</v>
      </c>
      <c r="AE1012" t="s">
        <v>62</v>
      </c>
      <c r="AF1012">
        <v>7</v>
      </c>
      <c r="AG1012">
        <v>0</v>
      </c>
      <c r="AH1012">
        <v>0</v>
      </c>
    </row>
    <row r="1013" spans="1:34" x14ac:dyDescent="0.3">
      <c r="A1013" t="s">
        <v>57</v>
      </c>
      <c r="B1013">
        <v>0</v>
      </c>
      <c r="C1013" t="s">
        <v>32</v>
      </c>
      <c r="D1013">
        <v>1174</v>
      </c>
      <c r="E1013" t="s">
        <v>33</v>
      </c>
      <c r="F1013">
        <v>3</v>
      </c>
      <c r="G1013" t="str">
        <f>IF(Table2[[#This Row],[DistanceFromHome]]&lt;=5, "short", IF(Table2[[#This Row],[DistanceFromHome]]&lt;=15, "medium", "long"))</f>
        <v>short</v>
      </c>
      <c r="H1013">
        <v>4</v>
      </c>
      <c r="I1013" t="s">
        <v>54</v>
      </c>
      <c r="J1013">
        <v>1425</v>
      </c>
      <c r="K1013">
        <v>1</v>
      </c>
      <c r="L1013" t="s">
        <v>35</v>
      </c>
      <c r="M1013">
        <v>99</v>
      </c>
      <c r="N1013">
        <v>3</v>
      </c>
      <c r="O1013">
        <v>2</v>
      </c>
      <c r="P1013" t="s">
        <v>36</v>
      </c>
      <c r="Q1013">
        <v>2</v>
      </c>
      <c r="R1013" t="s">
        <v>37</v>
      </c>
      <c r="S1013">
        <v>9278</v>
      </c>
      <c r="T1013">
        <v>20763</v>
      </c>
      <c r="U1013">
        <v>3</v>
      </c>
      <c r="V1013" t="s">
        <v>31</v>
      </c>
      <c r="W1013">
        <v>16</v>
      </c>
      <c r="X1013">
        <v>3</v>
      </c>
      <c r="Y1013">
        <v>4</v>
      </c>
      <c r="Z1013">
        <v>0</v>
      </c>
      <c r="AA1013">
        <v>15</v>
      </c>
      <c r="AB1013" t="str">
        <f>IF(Table2[[#This Row],[TotalWorkingYears]]&lt;=5,"Early (0-5)",IF(Table2[[#This Row],[TotalWorkingYears]]&lt;=15,"Mid (6-15)","Senior (16+)"))</f>
        <v>Mid (6-15)</v>
      </c>
      <c r="AC1013">
        <v>3</v>
      </c>
      <c r="AD1013">
        <v>3</v>
      </c>
      <c r="AE1013" t="s">
        <v>64</v>
      </c>
      <c r="AF1013">
        <v>4</v>
      </c>
      <c r="AG1013">
        <v>0</v>
      </c>
      <c r="AH1013">
        <v>1</v>
      </c>
    </row>
    <row r="1014" spans="1:34" x14ac:dyDescent="0.3">
      <c r="A1014" t="s">
        <v>59</v>
      </c>
      <c r="B1014">
        <v>1</v>
      </c>
      <c r="C1014" t="s">
        <v>39</v>
      </c>
      <c r="D1014">
        <v>667</v>
      </c>
      <c r="E1014" t="s">
        <v>33</v>
      </c>
      <c r="F1014">
        <v>1</v>
      </c>
      <c r="G1014" t="str">
        <f>IF(Table2[[#This Row],[DistanceFromHome]]&lt;=5, "short", IF(Table2[[#This Row],[DistanceFromHome]]&lt;=15, "medium", "long"))</f>
        <v>short</v>
      </c>
      <c r="H1014">
        <v>4</v>
      </c>
      <c r="I1014" t="s">
        <v>34</v>
      </c>
      <c r="J1014">
        <v>1427</v>
      </c>
      <c r="K1014">
        <v>2</v>
      </c>
      <c r="L1014" t="s">
        <v>35</v>
      </c>
      <c r="M1014">
        <v>50</v>
      </c>
      <c r="N1014">
        <v>1</v>
      </c>
      <c r="O1014">
        <v>1</v>
      </c>
      <c r="P1014" t="s">
        <v>52</v>
      </c>
      <c r="Q1014">
        <v>3</v>
      </c>
      <c r="R1014" t="s">
        <v>37</v>
      </c>
      <c r="S1014">
        <v>1359</v>
      </c>
      <c r="T1014">
        <v>16154</v>
      </c>
      <c r="U1014">
        <v>1</v>
      </c>
      <c r="V1014" t="s">
        <v>38</v>
      </c>
      <c r="W1014">
        <v>12</v>
      </c>
      <c r="X1014">
        <v>3</v>
      </c>
      <c r="Y1014">
        <v>2</v>
      </c>
      <c r="Z1014">
        <v>0</v>
      </c>
      <c r="AA1014">
        <v>1</v>
      </c>
      <c r="AB1014" t="str">
        <f>IF(Table2[[#This Row],[TotalWorkingYears]]&lt;=5,"Early (0-5)",IF(Table2[[#This Row],[TotalWorkingYears]]&lt;=15,"Mid (6-15)","Senior (16+)"))</f>
        <v>Early (0-5)</v>
      </c>
      <c r="AC1014">
        <v>3</v>
      </c>
      <c r="AD1014">
        <v>3</v>
      </c>
      <c r="AE1014" t="s">
        <v>63</v>
      </c>
      <c r="AF1014">
        <v>0</v>
      </c>
      <c r="AG1014">
        <v>0</v>
      </c>
      <c r="AH1014">
        <v>0</v>
      </c>
    </row>
    <row r="1015" spans="1:34" x14ac:dyDescent="0.3">
      <c r="A1015" t="s">
        <v>59</v>
      </c>
      <c r="B1015">
        <v>0</v>
      </c>
      <c r="C1015" t="s">
        <v>32</v>
      </c>
      <c r="D1015">
        <v>855</v>
      </c>
      <c r="E1015" t="s">
        <v>33</v>
      </c>
      <c r="F1015">
        <v>7</v>
      </c>
      <c r="G1015" t="str">
        <f>IF(Table2[[#This Row],[DistanceFromHome]]&lt;=5, "short", IF(Table2[[#This Row],[DistanceFromHome]]&lt;=15, "medium", "long"))</f>
        <v>medium</v>
      </c>
      <c r="H1015">
        <v>4</v>
      </c>
      <c r="I1015" t="s">
        <v>54</v>
      </c>
      <c r="J1015">
        <v>1428</v>
      </c>
      <c r="K1015">
        <v>4</v>
      </c>
      <c r="L1015" t="s">
        <v>35</v>
      </c>
      <c r="M1015">
        <v>73</v>
      </c>
      <c r="N1015">
        <v>3</v>
      </c>
      <c r="O1015">
        <v>2</v>
      </c>
      <c r="P1015" t="s">
        <v>36</v>
      </c>
      <c r="Q1015">
        <v>1</v>
      </c>
      <c r="R1015" t="s">
        <v>47</v>
      </c>
      <c r="S1015">
        <v>4779</v>
      </c>
      <c r="T1015">
        <v>12761</v>
      </c>
      <c r="U1015">
        <v>7</v>
      </c>
      <c r="V1015" t="s">
        <v>38</v>
      </c>
      <c r="W1015">
        <v>14</v>
      </c>
      <c r="X1015">
        <v>3</v>
      </c>
      <c r="Y1015">
        <v>2</v>
      </c>
      <c r="Z1015">
        <v>2</v>
      </c>
      <c r="AA1015">
        <v>8</v>
      </c>
      <c r="AB1015" t="str">
        <f>IF(Table2[[#This Row],[TotalWorkingYears]]&lt;=5,"Early (0-5)",IF(Table2[[#This Row],[TotalWorkingYears]]&lt;=15,"Mid (6-15)","Senior (16+)"))</f>
        <v>Mid (6-15)</v>
      </c>
      <c r="AC1015">
        <v>3</v>
      </c>
      <c r="AD1015">
        <v>3</v>
      </c>
      <c r="AE1015" t="s">
        <v>64</v>
      </c>
      <c r="AF1015">
        <v>2</v>
      </c>
      <c r="AG1015">
        <v>0</v>
      </c>
      <c r="AH1015">
        <v>2</v>
      </c>
    </row>
    <row r="1016" spans="1:34" x14ac:dyDescent="0.3">
      <c r="A1016" t="s">
        <v>59</v>
      </c>
      <c r="B1016">
        <v>0</v>
      </c>
      <c r="C1016" t="s">
        <v>32</v>
      </c>
      <c r="D1016">
        <v>182</v>
      </c>
      <c r="E1016" t="s">
        <v>40</v>
      </c>
      <c r="F1016">
        <v>8</v>
      </c>
      <c r="G1016" t="str">
        <f>IF(Table2[[#This Row],[DistanceFromHome]]&lt;=5, "short", IF(Table2[[#This Row],[DistanceFromHome]]&lt;=15, "medium", "long"))</f>
        <v>medium</v>
      </c>
      <c r="H1016">
        <v>5</v>
      </c>
      <c r="I1016" t="s">
        <v>34</v>
      </c>
      <c r="J1016">
        <v>1430</v>
      </c>
      <c r="K1016">
        <v>1</v>
      </c>
      <c r="L1016" t="s">
        <v>35</v>
      </c>
      <c r="M1016">
        <v>93</v>
      </c>
      <c r="N1016">
        <v>3</v>
      </c>
      <c r="O1016">
        <v>4</v>
      </c>
      <c r="P1016" t="s">
        <v>53</v>
      </c>
      <c r="Q1016">
        <v>2</v>
      </c>
      <c r="R1016" t="s">
        <v>37</v>
      </c>
      <c r="S1016">
        <v>16422</v>
      </c>
      <c r="T1016">
        <v>8847</v>
      </c>
      <c r="U1016">
        <v>3</v>
      </c>
      <c r="V1016" t="s">
        <v>38</v>
      </c>
      <c r="W1016">
        <v>11</v>
      </c>
      <c r="X1016">
        <v>3</v>
      </c>
      <c r="Y1016">
        <v>3</v>
      </c>
      <c r="Z1016">
        <v>0</v>
      </c>
      <c r="AA1016">
        <v>9</v>
      </c>
      <c r="AB1016" t="str">
        <f>IF(Table2[[#This Row],[TotalWorkingYears]]&lt;=5,"Early (0-5)",IF(Table2[[#This Row],[TotalWorkingYears]]&lt;=15,"Mid (6-15)","Senior (16+)"))</f>
        <v>Mid (6-15)</v>
      </c>
      <c r="AC1016">
        <v>3</v>
      </c>
      <c r="AD1016">
        <v>4</v>
      </c>
      <c r="AE1016" t="s">
        <v>64</v>
      </c>
      <c r="AF1016">
        <v>2</v>
      </c>
      <c r="AG1016">
        <v>1</v>
      </c>
      <c r="AH1016">
        <v>0</v>
      </c>
    </row>
    <row r="1017" spans="1:34" x14ac:dyDescent="0.3">
      <c r="A1017" t="s">
        <v>59</v>
      </c>
      <c r="B1017">
        <v>0</v>
      </c>
      <c r="C1017" t="s">
        <v>39</v>
      </c>
      <c r="D1017">
        <v>560</v>
      </c>
      <c r="E1017" t="s">
        <v>40</v>
      </c>
      <c r="F1017">
        <v>1</v>
      </c>
      <c r="G1017" t="str">
        <f>IF(Table2[[#This Row],[DistanceFromHome]]&lt;=5, "short", IF(Table2[[#This Row],[DistanceFromHome]]&lt;=15, "medium", "long"))</f>
        <v>short</v>
      </c>
      <c r="H1017">
        <v>4</v>
      </c>
      <c r="I1017" t="s">
        <v>44</v>
      </c>
      <c r="J1017">
        <v>1431</v>
      </c>
      <c r="K1017">
        <v>4</v>
      </c>
      <c r="L1017" t="s">
        <v>41</v>
      </c>
      <c r="M1017">
        <v>91</v>
      </c>
      <c r="N1017">
        <v>3</v>
      </c>
      <c r="O1017">
        <v>1</v>
      </c>
      <c r="P1017" t="s">
        <v>42</v>
      </c>
      <c r="Q1017">
        <v>1</v>
      </c>
      <c r="R1017" t="s">
        <v>47</v>
      </c>
      <c r="S1017">
        <v>2996</v>
      </c>
      <c r="T1017">
        <v>20284</v>
      </c>
      <c r="U1017">
        <v>5</v>
      </c>
      <c r="V1017" t="s">
        <v>38</v>
      </c>
      <c r="W1017">
        <v>14</v>
      </c>
      <c r="X1017">
        <v>3</v>
      </c>
      <c r="Y1017">
        <v>3</v>
      </c>
      <c r="Z1017">
        <v>2</v>
      </c>
      <c r="AA1017">
        <v>10</v>
      </c>
      <c r="AB1017" t="str">
        <f>IF(Table2[[#This Row],[TotalWorkingYears]]&lt;=5,"Early (0-5)",IF(Table2[[#This Row],[TotalWorkingYears]]&lt;=15,"Mid (6-15)","Senior (16+)"))</f>
        <v>Mid (6-15)</v>
      </c>
      <c r="AC1017">
        <v>2</v>
      </c>
      <c r="AD1017">
        <v>3</v>
      </c>
      <c r="AE1017" t="s">
        <v>64</v>
      </c>
      <c r="AF1017">
        <v>3</v>
      </c>
      <c r="AG1017">
        <v>1</v>
      </c>
      <c r="AH1017">
        <v>3</v>
      </c>
    </row>
    <row r="1018" spans="1:34" x14ac:dyDescent="0.3">
      <c r="A1018" t="s">
        <v>59</v>
      </c>
      <c r="B1018">
        <v>1</v>
      </c>
      <c r="C1018" t="s">
        <v>32</v>
      </c>
      <c r="D1018">
        <v>202</v>
      </c>
      <c r="E1018" t="s">
        <v>40</v>
      </c>
      <c r="F1018">
        <v>8</v>
      </c>
      <c r="G1018" t="str">
        <f>IF(Table2[[#This Row],[DistanceFromHome]]&lt;=5, "short", IF(Table2[[#This Row],[DistanceFromHome]]&lt;=15, "medium", "long"))</f>
        <v>medium</v>
      </c>
      <c r="H1018">
        <v>3</v>
      </c>
      <c r="I1018" t="s">
        <v>34</v>
      </c>
      <c r="J1018">
        <v>1433</v>
      </c>
      <c r="K1018">
        <v>1</v>
      </c>
      <c r="L1018" t="s">
        <v>35</v>
      </c>
      <c r="M1018">
        <v>34</v>
      </c>
      <c r="N1018">
        <v>2</v>
      </c>
      <c r="O1018">
        <v>1</v>
      </c>
      <c r="P1018" t="s">
        <v>42</v>
      </c>
      <c r="Q1018">
        <v>2</v>
      </c>
      <c r="R1018" t="s">
        <v>37</v>
      </c>
      <c r="S1018">
        <v>1261</v>
      </c>
      <c r="T1018">
        <v>22262</v>
      </c>
      <c r="U1018">
        <v>1</v>
      </c>
      <c r="V1018" t="s">
        <v>38</v>
      </c>
      <c r="W1018">
        <v>12</v>
      </c>
      <c r="X1018">
        <v>3</v>
      </c>
      <c r="Y1018">
        <v>3</v>
      </c>
      <c r="Z1018">
        <v>0</v>
      </c>
      <c r="AA1018">
        <v>1</v>
      </c>
      <c r="AB1018" t="str">
        <f>IF(Table2[[#This Row],[TotalWorkingYears]]&lt;=5,"Early (0-5)",IF(Table2[[#This Row],[TotalWorkingYears]]&lt;=15,"Mid (6-15)","Senior (16+)"))</f>
        <v>Early (0-5)</v>
      </c>
      <c r="AC1018">
        <v>3</v>
      </c>
      <c r="AD1018">
        <v>4</v>
      </c>
      <c r="AE1018" t="s">
        <v>63</v>
      </c>
      <c r="AF1018">
        <v>0</v>
      </c>
      <c r="AG1018">
        <v>0</v>
      </c>
      <c r="AH1018">
        <v>0</v>
      </c>
    </row>
    <row r="1019" spans="1:34" x14ac:dyDescent="0.3">
      <c r="A1019" t="s">
        <v>59</v>
      </c>
      <c r="B1019">
        <v>0</v>
      </c>
      <c r="C1019" t="s">
        <v>32</v>
      </c>
      <c r="D1019">
        <v>1377</v>
      </c>
      <c r="E1019" t="s">
        <v>40</v>
      </c>
      <c r="F1019">
        <v>11</v>
      </c>
      <c r="G1019" t="str">
        <f>IF(Table2[[#This Row],[DistanceFromHome]]&lt;=5, "short", IF(Table2[[#This Row],[DistanceFromHome]]&lt;=15, "medium", "long"))</f>
        <v>medium</v>
      </c>
      <c r="H1019">
        <v>1</v>
      </c>
      <c r="I1019" t="s">
        <v>34</v>
      </c>
      <c r="J1019">
        <v>1434</v>
      </c>
      <c r="K1019">
        <v>2</v>
      </c>
      <c r="L1019" t="s">
        <v>41</v>
      </c>
      <c r="M1019">
        <v>91</v>
      </c>
      <c r="N1019">
        <v>3</v>
      </c>
      <c r="O1019">
        <v>1</v>
      </c>
      <c r="P1019" t="s">
        <v>45</v>
      </c>
      <c r="Q1019">
        <v>1</v>
      </c>
      <c r="R1019" t="s">
        <v>43</v>
      </c>
      <c r="S1019">
        <v>2099</v>
      </c>
      <c r="T1019">
        <v>7679</v>
      </c>
      <c r="U1019">
        <v>0</v>
      </c>
      <c r="V1019" t="s">
        <v>38</v>
      </c>
      <c r="W1019">
        <v>14</v>
      </c>
      <c r="X1019">
        <v>3</v>
      </c>
      <c r="Y1019">
        <v>2</v>
      </c>
      <c r="Z1019">
        <v>0</v>
      </c>
      <c r="AA1019">
        <v>6</v>
      </c>
      <c r="AB1019" t="str">
        <f>IF(Table2[[#This Row],[TotalWorkingYears]]&lt;=5,"Early (0-5)",IF(Table2[[#This Row],[TotalWorkingYears]]&lt;=15,"Mid (6-15)","Senior (16+)"))</f>
        <v>Mid (6-15)</v>
      </c>
      <c r="AC1019">
        <v>3</v>
      </c>
      <c r="AD1019">
        <v>4</v>
      </c>
      <c r="AE1019" t="s">
        <v>64</v>
      </c>
      <c r="AF1019">
        <v>0</v>
      </c>
      <c r="AG1019">
        <v>1</v>
      </c>
      <c r="AH1019">
        <v>4</v>
      </c>
    </row>
    <row r="1020" spans="1:34" x14ac:dyDescent="0.3">
      <c r="A1020" t="s">
        <v>57</v>
      </c>
      <c r="B1020">
        <v>0</v>
      </c>
      <c r="C1020" t="s">
        <v>32</v>
      </c>
      <c r="D1020">
        <v>172</v>
      </c>
      <c r="E1020" t="s">
        <v>40</v>
      </c>
      <c r="F1020">
        <v>4</v>
      </c>
      <c r="G1020" t="str">
        <f>IF(Table2[[#This Row],[DistanceFromHome]]&lt;=5, "short", IF(Table2[[#This Row],[DistanceFromHome]]&lt;=15, "medium", "long"))</f>
        <v>short</v>
      </c>
      <c r="H1020">
        <v>4</v>
      </c>
      <c r="I1020" t="s">
        <v>34</v>
      </c>
      <c r="J1020">
        <v>1435</v>
      </c>
      <c r="K1020">
        <v>1</v>
      </c>
      <c r="L1020" t="s">
        <v>41</v>
      </c>
      <c r="M1020">
        <v>37</v>
      </c>
      <c r="N1020">
        <v>2</v>
      </c>
      <c r="O1020">
        <v>2</v>
      </c>
      <c r="P1020" t="s">
        <v>45</v>
      </c>
      <c r="Q1020">
        <v>4</v>
      </c>
      <c r="R1020" t="s">
        <v>37</v>
      </c>
      <c r="S1020">
        <v>5810</v>
      </c>
      <c r="T1020">
        <v>22604</v>
      </c>
      <c r="U1020">
        <v>1</v>
      </c>
      <c r="V1020" t="s">
        <v>38</v>
      </c>
      <c r="W1020">
        <v>16</v>
      </c>
      <c r="X1020">
        <v>3</v>
      </c>
      <c r="Y1020">
        <v>3</v>
      </c>
      <c r="Z1020">
        <v>0</v>
      </c>
      <c r="AA1020">
        <v>10</v>
      </c>
      <c r="AB1020" t="str">
        <f>IF(Table2[[#This Row],[TotalWorkingYears]]&lt;=5,"Early (0-5)",IF(Table2[[#This Row],[TotalWorkingYears]]&lt;=15,"Mid (6-15)","Senior (16+)"))</f>
        <v>Mid (6-15)</v>
      </c>
      <c r="AC1020">
        <v>2</v>
      </c>
      <c r="AD1020">
        <v>2</v>
      </c>
      <c r="AE1020" t="s">
        <v>62</v>
      </c>
      <c r="AF1020">
        <v>4</v>
      </c>
      <c r="AG1020">
        <v>1</v>
      </c>
      <c r="AH1020">
        <v>8</v>
      </c>
    </row>
    <row r="1021" spans="1:34" x14ac:dyDescent="0.3">
      <c r="A1021" t="s">
        <v>57</v>
      </c>
      <c r="B1021">
        <v>0</v>
      </c>
      <c r="C1021" t="s">
        <v>32</v>
      </c>
      <c r="D1021">
        <v>329</v>
      </c>
      <c r="E1021" t="s">
        <v>33</v>
      </c>
      <c r="F1021">
        <v>16</v>
      </c>
      <c r="G1021" t="str">
        <f>IF(Table2[[#This Row],[DistanceFromHome]]&lt;=5, "short", IF(Table2[[#This Row],[DistanceFromHome]]&lt;=15, "medium", "long"))</f>
        <v>long</v>
      </c>
      <c r="H1021">
        <v>4</v>
      </c>
      <c r="I1021" t="s">
        <v>54</v>
      </c>
      <c r="J1021">
        <v>1436</v>
      </c>
      <c r="K1021">
        <v>3</v>
      </c>
      <c r="L1021" t="s">
        <v>35</v>
      </c>
      <c r="M1021">
        <v>98</v>
      </c>
      <c r="N1021">
        <v>2</v>
      </c>
      <c r="O1021">
        <v>2</v>
      </c>
      <c r="P1021" t="s">
        <v>36</v>
      </c>
      <c r="Q1021">
        <v>1</v>
      </c>
      <c r="R1021" t="s">
        <v>43</v>
      </c>
      <c r="S1021">
        <v>5647</v>
      </c>
      <c r="T1021">
        <v>13494</v>
      </c>
      <c r="U1021">
        <v>4</v>
      </c>
      <c r="V1021" t="s">
        <v>38</v>
      </c>
      <c r="W1021">
        <v>13</v>
      </c>
      <c r="X1021">
        <v>3</v>
      </c>
      <c r="Y1021">
        <v>1</v>
      </c>
      <c r="Z1021">
        <v>2</v>
      </c>
      <c r="AA1021">
        <v>11</v>
      </c>
      <c r="AB1021" t="str">
        <f>IF(Table2[[#This Row],[TotalWorkingYears]]&lt;=5,"Early (0-5)",IF(Table2[[#This Row],[TotalWorkingYears]]&lt;=15,"Mid (6-15)","Senior (16+)"))</f>
        <v>Mid (6-15)</v>
      </c>
      <c r="AC1021">
        <v>3</v>
      </c>
      <c r="AD1021">
        <v>2</v>
      </c>
      <c r="AE1021" t="s">
        <v>64</v>
      </c>
      <c r="AF1021">
        <v>2</v>
      </c>
      <c r="AG1021">
        <v>0</v>
      </c>
      <c r="AH1021">
        <v>2</v>
      </c>
    </row>
    <row r="1022" spans="1:34" x14ac:dyDescent="0.3">
      <c r="A1022" t="s">
        <v>58</v>
      </c>
      <c r="B1022">
        <v>0</v>
      </c>
      <c r="C1022" t="s">
        <v>32</v>
      </c>
      <c r="D1022">
        <v>465</v>
      </c>
      <c r="E1022" t="s">
        <v>40</v>
      </c>
      <c r="F1022">
        <v>1</v>
      </c>
      <c r="G1022" t="str">
        <f>IF(Table2[[#This Row],[DistanceFromHome]]&lt;=5, "short", IF(Table2[[#This Row],[DistanceFromHome]]&lt;=15, "medium", "long"))</f>
        <v>short</v>
      </c>
      <c r="H1022">
        <v>3</v>
      </c>
      <c r="I1022" t="s">
        <v>55</v>
      </c>
      <c r="J1022">
        <v>1438</v>
      </c>
      <c r="K1022">
        <v>1</v>
      </c>
      <c r="L1022" t="s">
        <v>41</v>
      </c>
      <c r="M1022">
        <v>74</v>
      </c>
      <c r="N1022">
        <v>3</v>
      </c>
      <c r="O1022">
        <v>1</v>
      </c>
      <c r="P1022" t="s">
        <v>42</v>
      </c>
      <c r="Q1022">
        <v>4</v>
      </c>
      <c r="R1022" t="s">
        <v>43</v>
      </c>
      <c r="S1022">
        <v>3420</v>
      </c>
      <c r="T1022">
        <v>10205</v>
      </c>
      <c r="U1022">
        <v>7</v>
      </c>
      <c r="V1022" t="s">
        <v>38</v>
      </c>
      <c r="W1022">
        <v>12</v>
      </c>
      <c r="X1022">
        <v>3</v>
      </c>
      <c r="Y1022">
        <v>3</v>
      </c>
      <c r="Z1022">
        <v>1</v>
      </c>
      <c r="AA1022">
        <v>17</v>
      </c>
      <c r="AB1022" t="str">
        <f>IF(Table2[[#This Row],[TotalWorkingYears]]&lt;=5,"Early (0-5)",IF(Table2[[#This Row],[TotalWorkingYears]]&lt;=15,"Mid (6-15)","Senior (16+)"))</f>
        <v>Senior (16+)</v>
      </c>
      <c r="AC1022">
        <v>2</v>
      </c>
      <c r="AD1022">
        <v>2</v>
      </c>
      <c r="AE1022" t="s">
        <v>62</v>
      </c>
      <c r="AF1022">
        <v>5</v>
      </c>
      <c r="AG1022">
        <v>1</v>
      </c>
      <c r="AH1022">
        <v>2</v>
      </c>
    </row>
    <row r="1023" spans="1:34" x14ac:dyDescent="0.3">
      <c r="A1023" t="s">
        <v>60</v>
      </c>
      <c r="B1023">
        <v>1</v>
      </c>
      <c r="C1023" t="s">
        <v>32</v>
      </c>
      <c r="D1023">
        <v>383</v>
      </c>
      <c r="E1023" t="s">
        <v>33</v>
      </c>
      <c r="F1023">
        <v>9</v>
      </c>
      <c r="G1023" t="str">
        <f>IF(Table2[[#This Row],[DistanceFromHome]]&lt;=5, "short", IF(Table2[[#This Row],[DistanceFromHome]]&lt;=15, "medium", "long"))</f>
        <v>medium</v>
      </c>
      <c r="H1023">
        <v>2</v>
      </c>
      <c r="I1023" t="s">
        <v>34</v>
      </c>
      <c r="J1023">
        <v>1439</v>
      </c>
      <c r="K1023">
        <v>1</v>
      </c>
      <c r="L1023" t="s">
        <v>41</v>
      </c>
      <c r="M1023">
        <v>68</v>
      </c>
      <c r="N1023">
        <v>2</v>
      </c>
      <c r="O1023">
        <v>1</v>
      </c>
      <c r="P1023" t="s">
        <v>52</v>
      </c>
      <c r="Q1023">
        <v>1</v>
      </c>
      <c r="R1023" t="s">
        <v>43</v>
      </c>
      <c r="S1023">
        <v>4400</v>
      </c>
      <c r="T1023">
        <v>15182</v>
      </c>
      <c r="U1023">
        <v>3</v>
      </c>
      <c r="V1023" t="s">
        <v>38</v>
      </c>
      <c r="W1023">
        <v>12</v>
      </c>
      <c r="X1023">
        <v>3</v>
      </c>
      <c r="Y1023">
        <v>1</v>
      </c>
      <c r="Z1023">
        <v>0</v>
      </c>
      <c r="AA1023">
        <v>6</v>
      </c>
      <c r="AB1023" t="str">
        <f>IF(Table2[[#This Row],[TotalWorkingYears]]&lt;=5,"Early (0-5)",IF(Table2[[#This Row],[TotalWorkingYears]]&lt;=15,"Mid (6-15)","Senior (16+)"))</f>
        <v>Mid (6-15)</v>
      </c>
      <c r="AC1023">
        <v>2</v>
      </c>
      <c r="AD1023">
        <v>3</v>
      </c>
      <c r="AE1023" t="s">
        <v>64</v>
      </c>
      <c r="AF1023">
        <v>2</v>
      </c>
      <c r="AG1023">
        <v>2</v>
      </c>
      <c r="AH1023">
        <v>2</v>
      </c>
    </row>
    <row r="1024" spans="1:34" x14ac:dyDescent="0.3">
      <c r="A1024" t="s">
        <v>57</v>
      </c>
      <c r="B1024">
        <v>0</v>
      </c>
      <c r="C1024" t="s">
        <v>50</v>
      </c>
      <c r="D1024">
        <v>1413</v>
      </c>
      <c r="E1024" t="s">
        <v>40</v>
      </c>
      <c r="F1024">
        <v>5</v>
      </c>
      <c r="G1024" t="str">
        <f>IF(Table2[[#This Row],[DistanceFromHome]]&lt;=5, "short", IF(Table2[[#This Row],[DistanceFromHome]]&lt;=15, "medium", "long"))</f>
        <v>short</v>
      </c>
      <c r="H1024">
        <v>2</v>
      </c>
      <c r="I1024" t="s">
        <v>55</v>
      </c>
      <c r="J1024">
        <v>1440</v>
      </c>
      <c r="K1024">
        <v>3</v>
      </c>
      <c r="L1024" t="s">
        <v>41</v>
      </c>
      <c r="M1024">
        <v>84</v>
      </c>
      <c r="N1024">
        <v>4</v>
      </c>
      <c r="O1024">
        <v>1</v>
      </c>
      <c r="P1024" t="s">
        <v>45</v>
      </c>
      <c r="Q1024">
        <v>3</v>
      </c>
      <c r="R1024" t="s">
        <v>37</v>
      </c>
      <c r="S1024">
        <v>3500</v>
      </c>
      <c r="T1024">
        <v>25470</v>
      </c>
      <c r="U1024">
        <v>0</v>
      </c>
      <c r="V1024" t="s">
        <v>38</v>
      </c>
      <c r="W1024">
        <v>14</v>
      </c>
      <c r="X1024">
        <v>3</v>
      </c>
      <c r="Y1024">
        <v>1</v>
      </c>
      <c r="Z1024">
        <v>0</v>
      </c>
      <c r="AA1024">
        <v>7</v>
      </c>
      <c r="AB1024" t="str">
        <f>IF(Table2[[#This Row],[TotalWorkingYears]]&lt;=5,"Early (0-5)",IF(Table2[[#This Row],[TotalWorkingYears]]&lt;=15,"Mid (6-15)","Senior (16+)"))</f>
        <v>Mid (6-15)</v>
      </c>
      <c r="AC1024">
        <v>2</v>
      </c>
      <c r="AD1024">
        <v>1</v>
      </c>
      <c r="AE1024" t="s">
        <v>62</v>
      </c>
      <c r="AF1024">
        <v>5</v>
      </c>
      <c r="AG1024">
        <v>1</v>
      </c>
      <c r="AH1024">
        <v>3</v>
      </c>
    </row>
    <row r="1025" spans="1:34" x14ac:dyDescent="0.3">
      <c r="A1025" t="s">
        <v>58</v>
      </c>
      <c r="B1025">
        <v>0</v>
      </c>
      <c r="C1025" t="s">
        <v>32</v>
      </c>
      <c r="D1025">
        <v>1255</v>
      </c>
      <c r="E1025" t="s">
        <v>40</v>
      </c>
      <c r="F1025">
        <v>1</v>
      </c>
      <c r="G1025" t="str">
        <f>IF(Table2[[#This Row],[DistanceFromHome]]&lt;=5, "short", IF(Table2[[#This Row],[DistanceFromHome]]&lt;=15, "medium", "long"))</f>
        <v>short</v>
      </c>
      <c r="H1025">
        <v>2</v>
      </c>
      <c r="I1025" t="s">
        <v>34</v>
      </c>
      <c r="J1025">
        <v>1441</v>
      </c>
      <c r="K1025">
        <v>1</v>
      </c>
      <c r="L1025" t="s">
        <v>35</v>
      </c>
      <c r="M1025">
        <v>90</v>
      </c>
      <c r="N1025">
        <v>3</v>
      </c>
      <c r="O1025">
        <v>1</v>
      </c>
      <c r="P1025" t="s">
        <v>42</v>
      </c>
      <c r="Q1025">
        <v>1</v>
      </c>
      <c r="R1025" t="s">
        <v>43</v>
      </c>
      <c r="S1025">
        <v>2066</v>
      </c>
      <c r="T1025">
        <v>10494</v>
      </c>
      <c r="U1025">
        <v>2</v>
      </c>
      <c r="V1025" t="s">
        <v>38</v>
      </c>
      <c r="W1025">
        <v>22</v>
      </c>
      <c r="X1025">
        <v>4</v>
      </c>
      <c r="Y1025">
        <v>4</v>
      </c>
      <c r="Z1025">
        <v>1</v>
      </c>
      <c r="AA1025">
        <v>5</v>
      </c>
      <c r="AB1025" t="str">
        <f>IF(Table2[[#This Row],[TotalWorkingYears]]&lt;=5,"Early (0-5)",IF(Table2[[#This Row],[TotalWorkingYears]]&lt;=15,"Mid (6-15)","Senior (16+)"))</f>
        <v>Early (0-5)</v>
      </c>
      <c r="AC1025">
        <v>3</v>
      </c>
      <c r="AD1025">
        <v>4</v>
      </c>
      <c r="AE1025" t="s">
        <v>64</v>
      </c>
      <c r="AF1025">
        <v>2</v>
      </c>
      <c r="AG1025">
        <v>1</v>
      </c>
      <c r="AH1025">
        <v>0</v>
      </c>
    </row>
    <row r="1026" spans="1:34" x14ac:dyDescent="0.3">
      <c r="A1026" t="s">
        <v>58</v>
      </c>
      <c r="B1026">
        <v>0</v>
      </c>
      <c r="C1026" t="s">
        <v>32</v>
      </c>
      <c r="D1026">
        <v>359</v>
      </c>
      <c r="E1026" t="s">
        <v>40</v>
      </c>
      <c r="F1026">
        <v>2</v>
      </c>
      <c r="G1026" t="str">
        <f>IF(Table2[[#This Row],[DistanceFromHome]]&lt;=5, "short", IF(Table2[[#This Row],[DistanceFromHome]]&lt;=15, "medium", "long"))</f>
        <v>short</v>
      </c>
      <c r="H1026">
        <v>4</v>
      </c>
      <c r="I1026" t="s">
        <v>46</v>
      </c>
      <c r="J1026">
        <v>1443</v>
      </c>
      <c r="K1026">
        <v>1</v>
      </c>
      <c r="L1026" t="s">
        <v>35</v>
      </c>
      <c r="M1026">
        <v>82</v>
      </c>
      <c r="N1026">
        <v>3</v>
      </c>
      <c r="O1026">
        <v>4</v>
      </c>
      <c r="P1026" t="s">
        <v>53</v>
      </c>
      <c r="Q1026">
        <v>3</v>
      </c>
      <c r="R1026" t="s">
        <v>43</v>
      </c>
      <c r="S1026">
        <v>17169</v>
      </c>
      <c r="T1026">
        <v>26703</v>
      </c>
      <c r="U1026">
        <v>3</v>
      </c>
      <c r="V1026" t="s">
        <v>38</v>
      </c>
      <c r="W1026">
        <v>19</v>
      </c>
      <c r="X1026">
        <v>3</v>
      </c>
      <c r="Y1026">
        <v>2</v>
      </c>
      <c r="Z1026">
        <v>2</v>
      </c>
      <c r="AA1026">
        <v>26</v>
      </c>
      <c r="AB1026" t="str">
        <f>IF(Table2[[#This Row],[TotalWorkingYears]]&lt;=5,"Early (0-5)",IF(Table2[[#This Row],[TotalWorkingYears]]&lt;=15,"Mid (6-15)","Senior (16+)"))</f>
        <v>Senior (16+)</v>
      </c>
      <c r="AC1026">
        <v>2</v>
      </c>
      <c r="AD1026">
        <v>4</v>
      </c>
      <c r="AE1026" t="s">
        <v>65</v>
      </c>
      <c r="AF1026">
        <v>17</v>
      </c>
      <c r="AG1026">
        <v>5</v>
      </c>
      <c r="AH1026">
        <v>6</v>
      </c>
    </row>
    <row r="1027" spans="1:34" x14ac:dyDescent="0.3">
      <c r="A1027" t="s">
        <v>60</v>
      </c>
      <c r="B1027">
        <v>0</v>
      </c>
      <c r="C1027" t="s">
        <v>32</v>
      </c>
      <c r="D1027">
        <v>1476</v>
      </c>
      <c r="E1027" t="s">
        <v>33</v>
      </c>
      <c r="F1027">
        <v>4</v>
      </c>
      <c r="G1027" t="str">
        <f>IF(Table2[[#This Row],[DistanceFromHome]]&lt;=5, "short", IF(Table2[[#This Row],[DistanceFromHome]]&lt;=15, "medium", "long"))</f>
        <v>short</v>
      </c>
      <c r="H1027">
        <v>1</v>
      </c>
      <c r="I1027" t="s">
        <v>46</v>
      </c>
      <c r="J1027">
        <v>1445</v>
      </c>
      <c r="K1027">
        <v>4</v>
      </c>
      <c r="L1027" t="s">
        <v>35</v>
      </c>
      <c r="M1027">
        <v>42</v>
      </c>
      <c r="N1027">
        <v>3</v>
      </c>
      <c r="O1027">
        <v>2</v>
      </c>
      <c r="P1027" t="s">
        <v>36</v>
      </c>
      <c r="Q1027">
        <v>3</v>
      </c>
      <c r="R1027" t="s">
        <v>43</v>
      </c>
      <c r="S1027">
        <v>4162</v>
      </c>
      <c r="T1027">
        <v>15211</v>
      </c>
      <c r="U1027">
        <v>1</v>
      </c>
      <c r="V1027" t="s">
        <v>31</v>
      </c>
      <c r="W1027">
        <v>12</v>
      </c>
      <c r="X1027">
        <v>3</v>
      </c>
      <c r="Y1027">
        <v>3</v>
      </c>
      <c r="Z1027">
        <v>2</v>
      </c>
      <c r="AA1027">
        <v>5</v>
      </c>
      <c r="AB1027" t="str">
        <f>IF(Table2[[#This Row],[TotalWorkingYears]]&lt;=5,"Early (0-5)",IF(Table2[[#This Row],[TotalWorkingYears]]&lt;=15,"Mid (6-15)","Senior (16+)"))</f>
        <v>Early (0-5)</v>
      </c>
      <c r="AC1027">
        <v>3</v>
      </c>
      <c r="AD1027">
        <v>3</v>
      </c>
      <c r="AE1027" t="s">
        <v>64</v>
      </c>
      <c r="AF1027">
        <v>4</v>
      </c>
      <c r="AG1027">
        <v>0</v>
      </c>
      <c r="AH1027">
        <v>3</v>
      </c>
    </row>
    <row r="1028" spans="1:34" x14ac:dyDescent="0.3">
      <c r="A1028" t="s">
        <v>59</v>
      </c>
      <c r="B1028">
        <v>0</v>
      </c>
      <c r="C1028" t="s">
        <v>32</v>
      </c>
      <c r="D1028">
        <v>601</v>
      </c>
      <c r="E1028" t="s">
        <v>33</v>
      </c>
      <c r="F1028">
        <v>7</v>
      </c>
      <c r="G1028" t="str">
        <f>IF(Table2[[#This Row],[DistanceFromHome]]&lt;=5, "short", IF(Table2[[#This Row],[DistanceFromHome]]&lt;=15, "medium", "long"))</f>
        <v>medium</v>
      </c>
      <c r="H1028">
        <v>5</v>
      </c>
      <c r="I1028" t="s">
        <v>54</v>
      </c>
      <c r="J1028">
        <v>1446</v>
      </c>
      <c r="K1028">
        <v>4</v>
      </c>
      <c r="L1028" t="s">
        <v>41</v>
      </c>
      <c r="M1028">
        <v>97</v>
      </c>
      <c r="N1028">
        <v>3</v>
      </c>
      <c r="O1028">
        <v>2</v>
      </c>
      <c r="P1028" t="s">
        <v>36</v>
      </c>
      <c r="Q1028">
        <v>4</v>
      </c>
      <c r="R1028" t="s">
        <v>43</v>
      </c>
      <c r="S1028">
        <v>9204</v>
      </c>
      <c r="T1028">
        <v>23343</v>
      </c>
      <c r="U1028">
        <v>4</v>
      </c>
      <c r="V1028" t="s">
        <v>38</v>
      </c>
      <c r="W1028">
        <v>12</v>
      </c>
      <c r="X1028">
        <v>3</v>
      </c>
      <c r="Y1028">
        <v>3</v>
      </c>
      <c r="Z1028">
        <v>1</v>
      </c>
      <c r="AA1028">
        <v>7</v>
      </c>
      <c r="AB1028" t="str">
        <f>IF(Table2[[#This Row],[TotalWorkingYears]]&lt;=5,"Early (0-5)",IF(Table2[[#This Row],[TotalWorkingYears]]&lt;=15,"Mid (6-15)","Senior (16+)"))</f>
        <v>Mid (6-15)</v>
      </c>
      <c r="AC1028">
        <v>3</v>
      </c>
      <c r="AD1028">
        <v>2</v>
      </c>
      <c r="AE1028" t="s">
        <v>64</v>
      </c>
      <c r="AF1028">
        <v>3</v>
      </c>
      <c r="AG1028">
        <v>0</v>
      </c>
      <c r="AH1028">
        <v>3</v>
      </c>
    </row>
    <row r="1029" spans="1:34" x14ac:dyDescent="0.3">
      <c r="A1029" t="s">
        <v>59</v>
      </c>
      <c r="B1029">
        <v>0</v>
      </c>
      <c r="C1029" t="s">
        <v>32</v>
      </c>
      <c r="D1029">
        <v>401</v>
      </c>
      <c r="E1029" t="s">
        <v>40</v>
      </c>
      <c r="F1029">
        <v>1</v>
      </c>
      <c r="G1029" t="str">
        <f>IF(Table2[[#This Row],[DistanceFromHome]]&lt;=5, "short", IF(Table2[[#This Row],[DistanceFromHome]]&lt;=15, "medium", "long"))</f>
        <v>short</v>
      </c>
      <c r="H1029">
        <v>3</v>
      </c>
      <c r="I1029" t="s">
        <v>34</v>
      </c>
      <c r="J1029">
        <v>1447</v>
      </c>
      <c r="K1029">
        <v>4</v>
      </c>
      <c r="L1029" t="s">
        <v>35</v>
      </c>
      <c r="M1029">
        <v>86</v>
      </c>
      <c r="N1029">
        <v>2</v>
      </c>
      <c r="O1029">
        <v>1</v>
      </c>
      <c r="P1029" t="s">
        <v>45</v>
      </c>
      <c r="Q1029">
        <v>2</v>
      </c>
      <c r="R1029" t="s">
        <v>43</v>
      </c>
      <c r="S1029">
        <v>3294</v>
      </c>
      <c r="T1029">
        <v>3708</v>
      </c>
      <c r="U1029">
        <v>5</v>
      </c>
      <c r="V1029" t="s">
        <v>38</v>
      </c>
      <c r="W1029">
        <v>17</v>
      </c>
      <c r="X1029">
        <v>3</v>
      </c>
      <c r="Y1029">
        <v>1</v>
      </c>
      <c r="Z1029">
        <v>1</v>
      </c>
      <c r="AA1029">
        <v>7</v>
      </c>
      <c r="AB1029" t="str">
        <f>IF(Table2[[#This Row],[TotalWorkingYears]]&lt;=5,"Early (0-5)",IF(Table2[[#This Row],[TotalWorkingYears]]&lt;=15,"Mid (6-15)","Senior (16+)"))</f>
        <v>Mid (6-15)</v>
      </c>
      <c r="AC1029">
        <v>2</v>
      </c>
      <c r="AD1029">
        <v>2</v>
      </c>
      <c r="AE1029" t="s">
        <v>64</v>
      </c>
      <c r="AF1029">
        <v>4</v>
      </c>
      <c r="AG1029">
        <v>0</v>
      </c>
      <c r="AH1029">
        <v>2</v>
      </c>
    </row>
    <row r="1030" spans="1:34" x14ac:dyDescent="0.3">
      <c r="A1030" t="s">
        <v>57</v>
      </c>
      <c r="B1030">
        <v>0</v>
      </c>
      <c r="C1030" t="s">
        <v>32</v>
      </c>
      <c r="D1030">
        <v>1283</v>
      </c>
      <c r="E1030" t="s">
        <v>40</v>
      </c>
      <c r="F1030">
        <v>5</v>
      </c>
      <c r="G1030" t="str">
        <f>IF(Table2[[#This Row],[DistanceFromHome]]&lt;=5, "short", IF(Table2[[#This Row],[DistanceFromHome]]&lt;=15, "medium", "long"))</f>
        <v>short</v>
      </c>
      <c r="H1030">
        <v>5</v>
      </c>
      <c r="I1030" t="s">
        <v>46</v>
      </c>
      <c r="J1030">
        <v>1448</v>
      </c>
      <c r="K1030">
        <v>2</v>
      </c>
      <c r="L1030" t="s">
        <v>41</v>
      </c>
      <c r="M1030">
        <v>90</v>
      </c>
      <c r="N1030">
        <v>4</v>
      </c>
      <c r="O1030">
        <v>1</v>
      </c>
      <c r="P1030" t="s">
        <v>42</v>
      </c>
      <c r="Q1030">
        <v>3</v>
      </c>
      <c r="R1030" t="s">
        <v>43</v>
      </c>
      <c r="S1030">
        <v>2127</v>
      </c>
      <c r="T1030">
        <v>5561</v>
      </c>
      <c r="U1030">
        <v>2</v>
      </c>
      <c r="V1030" t="s">
        <v>31</v>
      </c>
      <c r="W1030">
        <v>12</v>
      </c>
      <c r="X1030">
        <v>3</v>
      </c>
      <c r="Y1030">
        <v>1</v>
      </c>
      <c r="Z1030">
        <v>0</v>
      </c>
      <c r="AA1030">
        <v>7</v>
      </c>
      <c r="AB1030" t="str">
        <f>IF(Table2[[#This Row],[TotalWorkingYears]]&lt;=5,"Early (0-5)",IF(Table2[[#This Row],[TotalWorkingYears]]&lt;=15,"Mid (6-15)","Senior (16+)"))</f>
        <v>Mid (6-15)</v>
      </c>
      <c r="AC1030">
        <v>5</v>
      </c>
      <c r="AD1030">
        <v>2</v>
      </c>
      <c r="AE1030" t="s">
        <v>64</v>
      </c>
      <c r="AF1030">
        <v>2</v>
      </c>
      <c r="AG1030">
        <v>0</v>
      </c>
      <c r="AH1030">
        <v>3</v>
      </c>
    </row>
    <row r="1031" spans="1:34" x14ac:dyDescent="0.3">
      <c r="A1031" t="s">
        <v>57</v>
      </c>
      <c r="B1031">
        <v>0</v>
      </c>
      <c r="C1031" t="s">
        <v>50</v>
      </c>
      <c r="D1031">
        <v>663</v>
      </c>
      <c r="E1031" t="s">
        <v>40</v>
      </c>
      <c r="F1031">
        <v>9</v>
      </c>
      <c r="G1031" t="str">
        <f>IF(Table2[[#This Row],[DistanceFromHome]]&lt;=5, "short", IF(Table2[[#This Row],[DistanceFromHome]]&lt;=15, "medium", "long"))</f>
        <v>medium</v>
      </c>
      <c r="H1031">
        <v>4</v>
      </c>
      <c r="I1031" t="s">
        <v>44</v>
      </c>
      <c r="J1031">
        <v>1449</v>
      </c>
      <c r="K1031">
        <v>3</v>
      </c>
      <c r="L1031" t="s">
        <v>41</v>
      </c>
      <c r="M1031">
        <v>81</v>
      </c>
      <c r="N1031">
        <v>3</v>
      </c>
      <c r="O1031">
        <v>2</v>
      </c>
      <c r="P1031" t="s">
        <v>45</v>
      </c>
      <c r="Q1031">
        <v>3</v>
      </c>
      <c r="R1031" t="s">
        <v>47</v>
      </c>
      <c r="S1031">
        <v>3975</v>
      </c>
      <c r="T1031">
        <v>23099</v>
      </c>
      <c r="U1031">
        <v>3</v>
      </c>
      <c r="V1031" t="s">
        <v>38</v>
      </c>
      <c r="W1031">
        <v>11</v>
      </c>
      <c r="X1031">
        <v>3</v>
      </c>
      <c r="Y1031">
        <v>3</v>
      </c>
      <c r="Z1031">
        <v>2</v>
      </c>
      <c r="AA1031">
        <v>11</v>
      </c>
      <c r="AB1031" t="str">
        <f>IF(Table2[[#This Row],[TotalWorkingYears]]&lt;=5,"Early (0-5)",IF(Table2[[#This Row],[TotalWorkingYears]]&lt;=15,"Mid (6-15)","Senior (16+)"))</f>
        <v>Mid (6-15)</v>
      </c>
      <c r="AC1031">
        <v>2</v>
      </c>
      <c r="AD1031">
        <v>4</v>
      </c>
      <c r="AE1031" t="s">
        <v>62</v>
      </c>
      <c r="AF1031">
        <v>7</v>
      </c>
      <c r="AG1031">
        <v>0</v>
      </c>
      <c r="AH1031">
        <v>7</v>
      </c>
    </row>
    <row r="1032" spans="1:34" x14ac:dyDescent="0.3">
      <c r="A1032" t="s">
        <v>59</v>
      </c>
      <c r="B1032">
        <v>0</v>
      </c>
      <c r="C1032" t="s">
        <v>32</v>
      </c>
      <c r="D1032">
        <v>326</v>
      </c>
      <c r="E1032" t="s">
        <v>33</v>
      </c>
      <c r="F1032">
        <v>8</v>
      </c>
      <c r="G1032" t="str">
        <f>IF(Table2[[#This Row],[DistanceFromHome]]&lt;=5, "short", IF(Table2[[#This Row],[DistanceFromHome]]&lt;=15, "medium", "long"))</f>
        <v>medium</v>
      </c>
      <c r="H1032">
        <v>2</v>
      </c>
      <c r="I1032" t="s">
        <v>34</v>
      </c>
      <c r="J1032">
        <v>1453</v>
      </c>
      <c r="K1032">
        <v>1</v>
      </c>
      <c r="L1032" t="s">
        <v>41</v>
      </c>
      <c r="M1032">
        <v>31</v>
      </c>
      <c r="N1032">
        <v>3</v>
      </c>
      <c r="O1032">
        <v>3</v>
      </c>
      <c r="P1032" t="s">
        <v>36</v>
      </c>
      <c r="Q1032">
        <v>4</v>
      </c>
      <c r="R1032" t="s">
        <v>47</v>
      </c>
      <c r="S1032">
        <v>10793</v>
      </c>
      <c r="T1032">
        <v>8386</v>
      </c>
      <c r="U1032">
        <v>1</v>
      </c>
      <c r="V1032" t="s">
        <v>38</v>
      </c>
      <c r="W1032">
        <v>18</v>
      </c>
      <c r="X1032">
        <v>3</v>
      </c>
      <c r="Y1032">
        <v>1</v>
      </c>
      <c r="Z1032">
        <v>1</v>
      </c>
      <c r="AA1032">
        <v>13</v>
      </c>
      <c r="AB1032" t="str">
        <f>IF(Table2[[#This Row],[TotalWorkingYears]]&lt;=5,"Early (0-5)",IF(Table2[[#This Row],[TotalWorkingYears]]&lt;=15,"Mid (6-15)","Senior (16+)"))</f>
        <v>Mid (6-15)</v>
      </c>
      <c r="AC1032">
        <v>5</v>
      </c>
      <c r="AD1032">
        <v>3</v>
      </c>
      <c r="AE1032" t="s">
        <v>65</v>
      </c>
      <c r="AF1032">
        <v>7</v>
      </c>
      <c r="AG1032">
        <v>9</v>
      </c>
      <c r="AH1032">
        <v>9</v>
      </c>
    </row>
    <row r="1033" spans="1:34" x14ac:dyDescent="0.3">
      <c r="A1033" t="s">
        <v>58</v>
      </c>
      <c r="B1033">
        <v>1</v>
      </c>
      <c r="C1033" t="s">
        <v>32</v>
      </c>
      <c r="D1033">
        <v>377</v>
      </c>
      <c r="E1033" t="s">
        <v>33</v>
      </c>
      <c r="F1033">
        <v>9</v>
      </c>
      <c r="G1033" t="str">
        <f>IF(Table2[[#This Row],[DistanceFromHome]]&lt;=5, "short", IF(Table2[[#This Row],[DistanceFromHome]]&lt;=15, "medium", "long"))</f>
        <v>medium</v>
      </c>
      <c r="H1033">
        <v>3</v>
      </c>
      <c r="I1033" t="s">
        <v>54</v>
      </c>
      <c r="J1033">
        <v>1457</v>
      </c>
      <c r="K1033">
        <v>1</v>
      </c>
      <c r="L1033" t="s">
        <v>41</v>
      </c>
      <c r="M1033">
        <v>52</v>
      </c>
      <c r="N1033">
        <v>3</v>
      </c>
      <c r="O1033">
        <v>3</v>
      </c>
      <c r="P1033" t="s">
        <v>36</v>
      </c>
      <c r="Q1033">
        <v>4</v>
      </c>
      <c r="R1033" t="s">
        <v>47</v>
      </c>
      <c r="S1033">
        <v>10096</v>
      </c>
      <c r="T1033">
        <v>15986</v>
      </c>
      <c r="U1033">
        <v>4</v>
      </c>
      <c r="V1033" t="s">
        <v>38</v>
      </c>
      <c r="W1033">
        <v>11</v>
      </c>
      <c r="X1033">
        <v>3</v>
      </c>
      <c r="Y1033">
        <v>1</v>
      </c>
      <c r="Z1033">
        <v>1</v>
      </c>
      <c r="AA1033">
        <v>28</v>
      </c>
      <c r="AB1033" t="str">
        <f>IF(Table2[[#This Row],[TotalWorkingYears]]&lt;=5,"Early (0-5)",IF(Table2[[#This Row],[TotalWorkingYears]]&lt;=15,"Mid (6-15)","Senior (16+)"))</f>
        <v>Senior (16+)</v>
      </c>
      <c r="AC1033">
        <v>1</v>
      </c>
      <c r="AD1033">
        <v>4</v>
      </c>
      <c r="AE1033" t="s">
        <v>62</v>
      </c>
      <c r="AF1033">
        <v>7</v>
      </c>
      <c r="AG1033">
        <v>4</v>
      </c>
      <c r="AH1033">
        <v>3</v>
      </c>
    </row>
    <row r="1034" spans="1:34" x14ac:dyDescent="0.3">
      <c r="A1034" t="s">
        <v>57</v>
      </c>
      <c r="B1034">
        <v>1</v>
      </c>
      <c r="C1034" t="s">
        <v>50</v>
      </c>
      <c r="D1034">
        <v>592</v>
      </c>
      <c r="E1034" t="s">
        <v>40</v>
      </c>
      <c r="F1034">
        <v>2</v>
      </c>
      <c r="G1034" t="str">
        <f>IF(Table2[[#This Row],[DistanceFromHome]]&lt;=5, "short", IF(Table2[[#This Row],[DistanceFromHome]]&lt;=15, "medium", "long"))</f>
        <v>short</v>
      </c>
      <c r="H1034">
        <v>3</v>
      </c>
      <c r="I1034" t="s">
        <v>34</v>
      </c>
      <c r="J1034">
        <v>1458</v>
      </c>
      <c r="K1034">
        <v>1</v>
      </c>
      <c r="L1034" t="s">
        <v>35</v>
      </c>
      <c r="M1034">
        <v>54</v>
      </c>
      <c r="N1034">
        <v>2</v>
      </c>
      <c r="O1034">
        <v>1</v>
      </c>
      <c r="P1034" t="s">
        <v>45</v>
      </c>
      <c r="Q1034">
        <v>1</v>
      </c>
      <c r="R1034" t="s">
        <v>37</v>
      </c>
      <c r="S1034">
        <v>3646</v>
      </c>
      <c r="T1034">
        <v>17181</v>
      </c>
      <c r="U1034">
        <v>2</v>
      </c>
      <c r="V1034" t="s">
        <v>31</v>
      </c>
      <c r="W1034">
        <v>23</v>
      </c>
      <c r="X1034">
        <v>4</v>
      </c>
      <c r="Y1034">
        <v>2</v>
      </c>
      <c r="Z1034">
        <v>0</v>
      </c>
      <c r="AA1034">
        <v>11</v>
      </c>
      <c r="AB1034" t="str">
        <f>IF(Table2[[#This Row],[TotalWorkingYears]]&lt;=5,"Early (0-5)",IF(Table2[[#This Row],[TotalWorkingYears]]&lt;=15,"Mid (6-15)","Senior (16+)"))</f>
        <v>Mid (6-15)</v>
      </c>
      <c r="AC1034">
        <v>2</v>
      </c>
      <c r="AD1034">
        <v>4</v>
      </c>
      <c r="AE1034" t="s">
        <v>63</v>
      </c>
      <c r="AF1034">
        <v>0</v>
      </c>
      <c r="AG1034">
        <v>0</v>
      </c>
      <c r="AH1034">
        <v>0</v>
      </c>
    </row>
    <row r="1035" spans="1:34" x14ac:dyDescent="0.3">
      <c r="A1035" t="s">
        <v>59</v>
      </c>
      <c r="B1035">
        <v>1</v>
      </c>
      <c r="C1035" t="s">
        <v>39</v>
      </c>
      <c r="D1035">
        <v>1445</v>
      </c>
      <c r="E1035" t="s">
        <v>40</v>
      </c>
      <c r="F1035">
        <v>1</v>
      </c>
      <c r="G1035" t="str">
        <f>IF(Table2[[#This Row],[DistanceFromHome]]&lt;=5, "short", IF(Table2[[#This Row],[DistanceFromHome]]&lt;=15, "medium", "long"))</f>
        <v>short</v>
      </c>
      <c r="H1035">
        <v>5</v>
      </c>
      <c r="I1035" t="s">
        <v>34</v>
      </c>
      <c r="J1035">
        <v>1459</v>
      </c>
      <c r="K1035">
        <v>3</v>
      </c>
      <c r="L1035" t="s">
        <v>35</v>
      </c>
      <c r="M1035">
        <v>100</v>
      </c>
      <c r="N1035">
        <v>4</v>
      </c>
      <c r="O1035">
        <v>3</v>
      </c>
      <c r="P1035" t="s">
        <v>48</v>
      </c>
      <c r="Q1035">
        <v>2</v>
      </c>
      <c r="R1035" t="s">
        <v>37</v>
      </c>
      <c r="S1035">
        <v>7446</v>
      </c>
      <c r="T1035">
        <v>8931</v>
      </c>
      <c r="U1035">
        <v>1</v>
      </c>
      <c r="V1035" t="s">
        <v>38</v>
      </c>
      <c r="W1035">
        <v>11</v>
      </c>
      <c r="X1035">
        <v>3</v>
      </c>
      <c r="Y1035">
        <v>1</v>
      </c>
      <c r="Z1035">
        <v>0</v>
      </c>
      <c r="AA1035">
        <v>10</v>
      </c>
      <c r="AB1035" t="str">
        <f>IF(Table2[[#This Row],[TotalWorkingYears]]&lt;=5,"Early (0-5)",IF(Table2[[#This Row],[TotalWorkingYears]]&lt;=15,"Mid (6-15)","Senior (16+)"))</f>
        <v>Mid (6-15)</v>
      </c>
      <c r="AC1035">
        <v>2</v>
      </c>
      <c r="AD1035">
        <v>3</v>
      </c>
      <c r="AE1035" t="s">
        <v>62</v>
      </c>
      <c r="AF1035">
        <v>8</v>
      </c>
      <c r="AG1035">
        <v>4</v>
      </c>
      <c r="AH1035">
        <v>7</v>
      </c>
    </row>
    <row r="1036" spans="1:34" x14ac:dyDescent="0.3">
      <c r="A1036" t="s">
        <v>57</v>
      </c>
      <c r="B1036">
        <v>0</v>
      </c>
      <c r="C1036" t="s">
        <v>32</v>
      </c>
      <c r="D1036">
        <v>1038</v>
      </c>
      <c r="E1036" t="s">
        <v>40</v>
      </c>
      <c r="F1036">
        <v>20</v>
      </c>
      <c r="G1036" t="str">
        <f>IF(Table2[[#This Row],[DistanceFromHome]]&lt;=5, "short", IF(Table2[[#This Row],[DistanceFromHome]]&lt;=15, "medium", "long"))</f>
        <v>long</v>
      </c>
      <c r="H1036">
        <v>3</v>
      </c>
      <c r="I1036" t="s">
        <v>46</v>
      </c>
      <c r="J1036">
        <v>1460</v>
      </c>
      <c r="K1036">
        <v>2</v>
      </c>
      <c r="L1036" t="s">
        <v>41</v>
      </c>
      <c r="M1036">
        <v>95</v>
      </c>
      <c r="N1036">
        <v>1</v>
      </c>
      <c r="O1036">
        <v>3</v>
      </c>
      <c r="P1036" t="s">
        <v>49</v>
      </c>
      <c r="Q1036">
        <v>1</v>
      </c>
      <c r="R1036" t="s">
        <v>47</v>
      </c>
      <c r="S1036">
        <v>10851</v>
      </c>
      <c r="T1036">
        <v>19863</v>
      </c>
      <c r="U1036">
        <v>2</v>
      </c>
      <c r="V1036" t="s">
        <v>31</v>
      </c>
      <c r="W1036">
        <v>18</v>
      </c>
      <c r="X1036">
        <v>3</v>
      </c>
      <c r="Y1036">
        <v>2</v>
      </c>
      <c r="Z1036">
        <v>1</v>
      </c>
      <c r="AA1036">
        <v>24</v>
      </c>
      <c r="AB1036" t="str">
        <f>IF(Table2[[#This Row],[TotalWorkingYears]]&lt;=5,"Early (0-5)",IF(Table2[[#This Row],[TotalWorkingYears]]&lt;=15,"Mid (6-15)","Senior (16+)"))</f>
        <v>Senior (16+)</v>
      </c>
      <c r="AC1036">
        <v>2</v>
      </c>
      <c r="AD1036">
        <v>3</v>
      </c>
      <c r="AE1036" t="s">
        <v>62</v>
      </c>
      <c r="AF1036">
        <v>7</v>
      </c>
      <c r="AG1036">
        <v>0</v>
      </c>
      <c r="AH1036">
        <v>7</v>
      </c>
    </row>
    <row r="1037" spans="1:34" x14ac:dyDescent="0.3">
      <c r="A1037" t="s">
        <v>59</v>
      </c>
      <c r="B1037">
        <v>0</v>
      </c>
      <c r="C1037" t="s">
        <v>32</v>
      </c>
      <c r="D1037">
        <v>1398</v>
      </c>
      <c r="E1037" t="s">
        <v>56</v>
      </c>
      <c r="F1037">
        <v>8</v>
      </c>
      <c r="G1037" t="str">
        <f>IF(Table2[[#This Row],[DistanceFromHome]]&lt;=5, "short", IF(Table2[[#This Row],[DistanceFromHome]]&lt;=15, "medium", "long"))</f>
        <v>medium</v>
      </c>
      <c r="H1037">
        <v>2</v>
      </c>
      <c r="I1037" t="s">
        <v>46</v>
      </c>
      <c r="J1037">
        <v>1461</v>
      </c>
      <c r="K1037">
        <v>4</v>
      </c>
      <c r="L1037" t="s">
        <v>35</v>
      </c>
      <c r="M1037">
        <v>96</v>
      </c>
      <c r="N1037">
        <v>4</v>
      </c>
      <c r="O1037">
        <v>1</v>
      </c>
      <c r="P1037" t="s">
        <v>56</v>
      </c>
      <c r="Q1037">
        <v>2</v>
      </c>
      <c r="R1037" t="s">
        <v>37</v>
      </c>
      <c r="S1037">
        <v>2109</v>
      </c>
      <c r="T1037">
        <v>24609</v>
      </c>
      <c r="U1037">
        <v>9</v>
      </c>
      <c r="V1037" t="s">
        <v>38</v>
      </c>
      <c r="W1037">
        <v>18</v>
      </c>
      <c r="X1037">
        <v>3</v>
      </c>
      <c r="Y1037">
        <v>4</v>
      </c>
      <c r="Z1037">
        <v>0</v>
      </c>
      <c r="AA1037">
        <v>8</v>
      </c>
      <c r="AB1037" t="str">
        <f>IF(Table2[[#This Row],[TotalWorkingYears]]&lt;=5,"Early (0-5)",IF(Table2[[#This Row],[TotalWorkingYears]]&lt;=15,"Mid (6-15)","Senior (16+)"))</f>
        <v>Mid (6-15)</v>
      </c>
      <c r="AC1037">
        <v>3</v>
      </c>
      <c r="AD1037">
        <v>3</v>
      </c>
      <c r="AE1037" t="s">
        <v>64</v>
      </c>
      <c r="AF1037">
        <v>2</v>
      </c>
      <c r="AG1037">
        <v>0</v>
      </c>
      <c r="AH1037">
        <v>2</v>
      </c>
    </row>
    <row r="1038" spans="1:34" x14ac:dyDescent="0.3">
      <c r="A1038" t="s">
        <v>59</v>
      </c>
      <c r="B1038">
        <v>1</v>
      </c>
      <c r="C1038" t="s">
        <v>39</v>
      </c>
      <c r="D1038">
        <v>523</v>
      </c>
      <c r="E1038" t="s">
        <v>40</v>
      </c>
      <c r="F1038">
        <v>2</v>
      </c>
      <c r="G1038" t="str">
        <f>IF(Table2[[#This Row],[DistanceFromHome]]&lt;=5, "short", IF(Table2[[#This Row],[DistanceFromHome]]&lt;=15, "medium", "long"))</f>
        <v>short</v>
      </c>
      <c r="H1038">
        <v>3</v>
      </c>
      <c r="I1038" t="s">
        <v>34</v>
      </c>
      <c r="J1038">
        <v>1464</v>
      </c>
      <c r="K1038">
        <v>2</v>
      </c>
      <c r="L1038" t="s">
        <v>41</v>
      </c>
      <c r="M1038">
        <v>94</v>
      </c>
      <c r="N1038">
        <v>3</v>
      </c>
      <c r="O1038">
        <v>1</v>
      </c>
      <c r="P1038" t="s">
        <v>45</v>
      </c>
      <c r="Q1038">
        <v>4</v>
      </c>
      <c r="R1038" t="s">
        <v>43</v>
      </c>
      <c r="S1038">
        <v>3722</v>
      </c>
      <c r="T1038">
        <v>21081</v>
      </c>
      <c r="U1038">
        <v>6</v>
      </c>
      <c r="V1038" t="s">
        <v>31</v>
      </c>
      <c r="W1038">
        <v>13</v>
      </c>
      <c r="X1038">
        <v>3</v>
      </c>
      <c r="Y1038">
        <v>3</v>
      </c>
      <c r="Z1038">
        <v>1</v>
      </c>
      <c r="AA1038">
        <v>7</v>
      </c>
      <c r="AB1038" t="str">
        <f>IF(Table2[[#This Row],[TotalWorkingYears]]&lt;=5,"Early (0-5)",IF(Table2[[#This Row],[TotalWorkingYears]]&lt;=15,"Mid (6-15)","Senior (16+)"))</f>
        <v>Mid (6-15)</v>
      </c>
      <c r="AC1038">
        <v>2</v>
      </c>
      <c r="AD1038">
        <v>1</v>
      </c>
      <c r="AE1038" t="s">
        <v>63</v>
      </c>
      <c r="AF1038">
        <v>2</v>
      </c>
      <c r="AG1038">
        <v>2</v>
      </c>
      <c r="AH1038">
        <v>2</v>
      </c>
    </row>
    <row r="1039" spans="1:34" x14ac:dyDescent="0.3">
      <c r="A1039" t="s">
        <v>57</v>
      </c>
      <c r="B1039">
        <v>0</v>
      </c>
      <c r="C1039" t="s">
        <v>32</v>
      </c>
      <c r="D1039">
        <v>1448</v>
      </c>
      <c r="E1039" t="s">
        <v>40</v>
      </c>
      <c r="F1039">
        <v>29</v>
      </c>
      <c r="G1039" t="str">
        <f>IF(Table2[[#This Row],[DistanceFromHome]]&lt;=5, "short", IF(Table2[[#This Row],[DistanceFromHome]]&lt;=15, "medium", "long"))</f>
        <v>long</v>
      </c>
      <c r="H1039">
        <v>3</v>
      </c>
      <c r="I1039" t="s">
        <v>55</v>
      </c>
      <c r="J1039">
        <v>1465</v>
      </c>
      <c r="K1039">
        <v>2</v>
      </c>
      <c r="L1039" t="s">
        <v>41</v>
      </c>
      <c r="M1039">
        <v>55</v>
      </c>
      <c r="N1039">
        <v>3</v>
      </c>
      <c r="O1039">
        <v>3</v>
      </c>
      <c r="P1039" t="s">
        <v>48</v>
      </c>
      <c r="Q1039">
        <v>4</v>
      </c>
      <c r="R1039" t="s">
        <v>43</v>
      </c>
      <c r="S1039">
        <v>9380</v>
      </c>
      <c r="T1039">
        <v>14720</v>
      </c>
      <c r="U1039">
        <v>4</v>
      </c>
      <c r="V1039" t="s">
        <v>31</v>
      </c>
      <c r="W1039">
        <v>18</v>
      </c>
      <c r="X1039">
        <v>3</v>
      </c>
      <c r="Y1039">
        <v>4</v>
      </c>
      <c r="Z1039">
        <v>2</v>
      </c>
      <c r="AA1039">
        <v>10</v>
      </c>
      <c r="AB1039" t="str">
        <f>IF(Table2[[#This Row],[TotalWorkingYears]]&lt;=5,"Early (0-5)",IF(Table2[[#This Row],[TotalWorkingYears]]&lt;=15,"Mid (6-15)","Senior (16+)"))</f>
        <v>Mid (6-15)</v>
      </c>
      <c r="AC1039">
        <v>4</v>
      </c>
      <c r="AD1039">
        <v>4</v>
      </c>
      <c r="AE1039" t="s">
        <v>64</v>
      </c>
      <c r="AF1039">
        <v>1</v>
      </c>
      <c r="AG1039">
        <v>1</v>
      </c>
      <c r="AH1039">
        <v>2</v>
      </c>
    </row>
    <row r="1040" spans="1:34" x14ac:dyDescent="0.3">
      <c r="A1040" t="s">
        <v>58</v>
      </c>
      <c r="B1040">
        <v>0</v>
      </c>
      <c r="C1040" t="s">
        <v>32</v>
      </c>
      <c r="D1040">
        <v>1221</v>
      </c>
      <c r="E1040" t="s">
        <v>33</v>
      </c>
      <c r="F1040">
        <v>7</v>
      </c>
      <c r="G1040" t="str">
        <f>IF(Table2[[#This Row],[DistanceFromHome]]&lt;=5, "short", IF(Table2[[#This Row],[DistanceFromHome]]&lt;=15, "medium", "long"))</f>
        <v>medium</v>
      </c>
      <c r="H1040">
        <v>3</v>
      </c>
      <c r="I1040" t="s">
        <v>54</v>
      </c>
      <c r="J1040">
        <v>1466</v>
      </c>
      <c r="K1040">
        <v>3</v>
      </c>
      <c r="L1040" t="s">
        <v>41</v>
      </c>
      <c r="M1040">
        <v>96</v>
      </c>
      <c r="N1040">
        <v>3</v>
      </c>
      <c r="O1040">
        <v>2</v>
      </c>
      <c r="P1040" t="s">
        <v>36</v>
      </c>
      <c r="Q1040">
        <v>1</v>
      </c>
      <c r="R1040" t="s">
        <v>47</v>
      </c>
      <c r="S1040">
        <v>5486</v>
      </c>
      <c r="T1040">
        <v>24795</v>
      </c>
      <c r="U1040">
        <v>4</v>
      </c>
      <c r="V1040" t="s">
        <v>38</v>
      </c>
      <c r="W1040">
        <v>11</v>
      </c>
      <c r="X1040">
        <v>3</v>
      </c>
      <c r="Y1040">
        <v>1</v>
      </c>
      <c r="Z1040">
        <v>3</v>
      </c>
      <c r="AA1040">
        <v>15</v>
      </c>
      <c r="AB1040" t="str">
        <f>IF(Table2[[#This Row],[TotalWorkingYears]]&lt;=5,"Early (0-5)",IF(Table2[[#This Row],[TotalWorkingYears]]&lt;=15,"Mid (6-15)","Senior (16+)"))</f>
        <v>Mid (6-15)</v>
      </c>
      <c r="AC1040">
        <v>3</v>
      </c>
      <c r="AD1040">
        <v>3</v>
      </c>
      <c r="AE1040" t="s">
        <v>63</v>
      </c>
      <c r="AF1040">
        <v>2</v>
      </c>
      <c r="AG1040">
        <v>2</v>
      </c>
      <c r="AH1040">
        <v>2</v>
      </c>
    </row>
    <row r="1041" spans="1:34" x14ac:dyDescent="0.3">
      <c r="A1041" t="s">
        <v>59</v>
      </c>
      <c r="B1041">
        <v>1</v>
      </c>
      <c r="C1041" t="s">
        <v>32</v>
      </c>
      <c r="D1041">
        <v>1107</v>
      </c>
      <c r="E1041" t="s">
        <v>56</v>
      </c>
      <c r="F1041">
        <v>9</v>
      </c>
      <c r="G1041" t="str">
        <f>IF(Table2[[#This Row],[DistanceFromHome]]&lt;=5, "short", IF(Table2[[#This Row],[DistanceFromHome]]&lt;=15, "medium", "long"))</f>
        <v>medium</v>
      </c>
      <c r="H1041">
        <v>4</v>
      </c>
      <c r="I1041" t="s">
        <v>55</v>
      </c>
      <c r="J1041">
        <v>1467</v>
      </c>
      <c r="K1041">
        <v>1</v>
      </c>
      <c r="L1041" t="s">
        <v>35</v>
      </c>
      <c r="M1041">
        <v>52</v>
      </c>
      <c r="N1041">
        <v>3</v>
      </c>
      <c r="O1041">
        <v>1</v>
      </c>
      <c r="P1041" t="s">
        <v>56</v>
      </c>
      <c r="Q1041">
        <v>3</v>
      </c>
      <c r="R1041" t="s">
        <v>43</v>
      </c>
      <c r="S1041">
        <v>2742</v>
      </c>
      <c r="T1041">
        <v>3072</v>
      </c>
      <c r="U1041">
        <v>1</v>
      </c>
      <c r="V1041" t="s">
        <v>38</v>
      </c>
      <c r="W1041">
        <v>15</v>
      </c>
      <c r="X1041">
        <v>3</v>
      </c>
      <c r="Y1041">
        <v>4</v>
      </c>
      <c r="Z1041">
        <v>0</v>
      </c>
      <c r="AA1041">
        <v>2</v>
      </c>
      <c r="AB1041" t="str">
        <f>IF(Table2[[#This Row],[TotalWorkingYears]]&lt;=5,"Early (0-5)",IF(Table2[[#This Row],[TotalWorkingYears]]&lt;=15,"Mid (6-15)","Senior (16+)"))</f>
        <v>Early (0-5)</v>
      </c>
      <c r="AC1041">
        <v>0</v>
      </c>
      <c r="AD1041">
        <v>3</v>
      </c>
      <c r="AE1041" t="s">
        <v>63</v>
      </c>
      <c r="AF1041">
        <v>2</v>
      </c>
      <c r="AG1041">
        <v>2</v>
      </c>
      <c r="AH1041">
        <v>2</v>
      </c>
    </row>
    <row r="1042" spans="1:34" x14ac:dyDescent="0.3">
      <c r="A1042" t="s">
        <v>57</v>
      </c>
      <c r="B1042">
        <v>0</v>
      </c>
      <c r="C1042" t="s">
        <v>50</v>
      </c>
      <c r="D1042">
        <v>218</v>
      </c>
      <c r="E1042" t="s">
        <v>40</v>
      </c>
      <c r="F1042">
        <v>8</v>
      </c>
      <c r="G1042" t="str">
        <f>IF(Table2[[#This Row],[DistanceFromHome]]&lt;=5, "short", IF(Table2[[#This Row],[DistanceFromHome]]&lt;=15, "medium", "long"))</f>
        <v>medium</v>
      </c>
      <c r="H1042">
        <v>1</v>
      </c>
      <c r="I1042" t="s">
        <v>46</v>
      </c>
      <c r="J1042">
        <v>1468</v>
      </c>
      <c r="K1042">
        <v>4</v>
      </c>
      <c r="L1042" t="s">
        <v>41</v>
      </c>
      <c r="M1042">
        <v>55</v>
      </c>
      <c r="N1042">
        <v>2</v>
      </c>
      <c r="O1042">
        <v>3</v>
      </c>
      <c r="P1042" t="s">
        <v>53</v>
      </c>
      <c r="Q1042">
        <v>2</v>
      </c>
      <c r="R1042" t="s">
        <v>47</v>
      </c>
      <c r="S1042">
        <v>13757</v>
      </c>
      <c r="T1042">
        <v>25178</v>
      </c>
      <c r="U1042">
        <v>2</v>
      </c>
      <c r="V1042" t="s">
        <v>38</v>
      </c>
      <c r="W1042">
        <v>11</v>
      </c>
      <c r="X1042">
        <v>3</v>
      </c>
      <c r="Y1042">
        <v>3</v>
      </c>
      <c r="Z1042">
        <v>1</v>
      </c>
      <c r="AA1042">
        <v>16</v>
      </c>
      <c r="AB1042" t="str">
        <f>IF(Table2[[#This Row],[TotalWorkingYears]]&lt;=5,"Early (0-5)",IF(Table2[[#This Row],[TotalWorkingYears]]&lt;=15,"Mid (6-15)","Senior (16+)"))</f>
        <v>Senior (16+)</v>
      </c>
      <c r="AC1042">
        <v>5</v>
      </c>
      <c r="AD1042">
        <v>3</v>
      </c>
      <c r="AE1042" t="s">
        <v>62</v>
      </c>
      <c r="AF1042">
        <v>8</v>
      </c>
      <c r="AG1042">
        <v>4</v>
      </c>
      <c r="AH1042">
        <v>8</v>
      </c>
    </row>
    <row r="1043" spans="1:34" x14ac:dyDescent="0.3">
      <c r="A1043" t="s">
        <v>59</v>
      </c>
      <c r="B1043">
        <v>0</v>
      </c>
      <c r="C1043" t="s">
        <v>32</v>
      </c>
      <c r="D1043">
        <v>866</v>
      </c>
      <c r="E1043" t="s">
        <v>33</v>
      </c>
      <c r="F1043">
        <v>5</v>
      </c>
      <c r="G1043" t="str">
        <f>IF(Table2[[#This Row],[DistanceFromHome]]&lt;=5, "short", IF(Table2[[#This Row],[DistanceFromHome]]&lt;=15, "medium", "long"))</f>
        <v>short</v>
      </c>
      <c r="H1043">
        <v>3</v>
      </c>
      <c r="I1043" t="s">
        <v>46</v>
      </c>
      <c r="J1043">
        <v>1469</v>
      </c>
      <c r="K1043">
        <v>4</v>
      </c>
      <c r="L1043" t="s">
        <v>41</v>
      </c>
      <c r="M1043">
        <v>84</v>
      </c>
      <c r="N1043">
        <v>3</v>
      </c>
      <c r="O1043">
        <v>2</v>
      </c>
      <c r="P1043" t="s">
        <v>36</v>
      </c>
      <c r="Q1043">
        <v>1</v>
      </c>
      <c r="R1043" t="s">
        <v>37</v>
      </c>
      <c r="S1043">
        <v>8463</v>
      </c>
      <c r="T1043">
        <v>23490</v>
      </c>
      <c r="U1043">
        <v>0</v>
      </c>
      <c r="V1043" t="s">
        <v>38</v>
      </c>
      <c r="W1043">
        <v>18</v>
      </c>
      <c r="X1043">
        <v>3</v>
      </c>
      <c r="Y1043">
        <v>4</v>
      </c>
      <c r="Z1043">
        <v>0</v>
      </c>
      <c r="AA1043">
        <v>6</v>
      </c>
      <c r="AB1043" t="str">
        <f>IF(Table2[[#This Row],[TotalWorkingYears]]&lt;=5,"Early (0-5)",IF(Table2[[#This Row],[TotalWorkingYears]]&lt;=15,"Mid (6-15)","Senior (16+)"))</f>
        <v>Mid (6-15)</v>
      </c>
      <c r="AC1043">
        <v>4</v>
      </c>
      <c r="AD1043">
        <v>3</v>
      </c>
      <c r="AE1043" t="s">
        <v>64</v>
      </c>
      <c r="AF1043">
        <v>4</v>
      </c>
      <c r="AG1043">
        <v>1</v>
      </c>
      <c r="AH1043">
        <v>3</v>
      </c>
    </row>
    <row r="1044" spans="1:34" x14ac:dyDescent="0.3">
      <c r="A1044" t="s">
        <v>57</v>
      </c>
      <c r="B1044">
        <v>0</v>
      </c>
      <c r="C1044" t="s">
        <v>50</v>
      </c>
      <c r="D1044">
        <v>981</v>
      </c>
      <c r="E1044" t="s">
        <v>40</v>
      </c>
      <c r="F1044">
        <v>5</v>
      </c>
      <c r="G1044" t="str">
        <f>IF(Table2[[#This Row],[DistanceFromHome]]&lt;=5, "short", IF(Table2[[#This Row],[DistanceFromHome]]&lt;=15, "medium", "long"))</f>
        <v>short</v>
      </c>
      <c r="H1044">
        <v>3</v>
      </c>
      <c r="I1044" t="s">
        <v>34</v>
      </c>
      <c r="J1044">
        <v>1471</v>
      </c>
      <c r="K1044">
        <v>3</v>
      </c>
      <c r="L1044" t="s">
        <v>41</v>
      </c>
      <c r="M1044">
        <v>90</v>
      </c>
      <c r="N1044">
        <v>2</v>
      </c>
      <c r="O1044">
        <v>1</v>
      </c>
      <c r="P1044" t="s">
        <v>45</v>
      </c>
      <c r="Q1044">
        <v>3</v>
      </c>
      <c r="R1044" t="s">
        <v>37</v>
      </c>
      <c r="S1044">
        <v>3162</v>
      </c>
      <c r="T1044">
        <v>7973</v>
      </c>
      <c r="U1044">
        <v>3</v>
      </c>
      <c r="V1044" t="s">
        <v>38</v>
      </c>
      <c r="W1044">
        <v>14</v>
      </c>
      <c r="X1044">
        <v>3</v>
      </c>
      <c r="Y1044">
        <v>4</v>
      </c>
      <c r="Z1044">
        <v>0</v>
      </c>
      <c r="AA1044">
        <v>7</v>
      </c>
      <c r="AB1044" t="str">
        <f>IF(Table2[[#This Row],[TotalWorkingYears]]&lt;=5,"Early (0-5)",IF(Table2[[#This Row],[TotalWorkingYears]]&lt;=15,"Mid (6-15)","Senior (16+)"))</f>
        <v>Mid (6-15)</v>
      </c>
      <c r="AC1044">
        <v>5</v>
      </c>
      <c r="AD1044">
        <v>3</v>
      </c>
      <c r="AE1044" t="s">
        <v>64</v>
      </c>
      <c r="AF1044">
        <v>2</v>
      </c>
      <c r="AG1044">
        <v>0</v>
      </c>
      <c r="AH1044">
        <v>3</v>
      </c>
    </row>
    <row r="1045" spans="1:34" x14ac:dyDescent="0.3">
      <c r="A1045" t="s">
        <v>58</v>
      </c>
      <c r="B1045">
        <v>0</v>
      </c>
      <c r="C1045" t="s">
        <v>32</v>
      </c>
      <c r="D1045">
        <v>447</v>
      </c>
      <c r="E1045" t="s">
        <v>40</v>
      </c>
      <c r="F1045">
        <v>2</v>
      </c>
      <c r="G1045" t="str">
        <f>IF(Table2[[#This Row],[DistanceFromHome]]&lt;=5, "short", IF(Table2[[#This Row],[DistanceFromHome]]&lt;=15, "medium", "long"))</f>
        <v>short</v>
      </c>
      <c r="H1045">
        <v>3</v>
      </c>
      <c r="I1045" t="s">
        <v>46</v>
      </c>
      <c r="J1045">
        <v>1472</v>
      </c>
      <c r="K1045">
        <v>4</v>
      </c>
      <c r="L1045" t="s">
        <v>41</v>
      </c>
      <c r="M1045">
        <v>39</v>
      </c>
      <c r="N1045">
        <v>4</v>
      </c>
      <c r="O1045">
        <v>4</v>
      </c>
      <c r="P1045" t="s">
        <v>53</v>
      </c>
      <c r="Q1045">
        <v>2</v>
      </c>
      <c r="R1045" t="s">
        <v>37</v>
      </c>
      <c r="S1045">
        <v>16598</v>
      </c>
      <c r="T1045">
        <v>19764</v>
      </c>
      <c r="U1045">
        <v>4</v>
      </c>
      <c r="V1045" t="s">
        <v>38</v>
      </c>
      <c r="W1045">
        <v>12</v>
      </c>
      <c r="X1045">
        <v>3</v>
      </c>
      <c r="Y1045">
        <v>2</v>
      </c>
      <c r="Z1045">
        <v>0</v>
      </c>
      <c r="AA1045">
        <v>35</v>
      </c>
      <c r="AB1045" t="str">
        <f>IF(Table2[[#This Row],[TotalWorkingYears]]&lt;=5,"Early (0-5)",IF(Table2[[#This Row],[TotalWorkingYears]]&lt;=15,"Mid (6-15)","Senior (16+)"))</f>
        <v>Senior (16+)</v>
      </c>
      <c r="AC1045">
        <v>2</v>
      </c>
      <c r="AD1045">
        <v>2</v>
      </c>
      <c r="AE1045" t="s">
        <v>62</v>
      </c>
      <c r="AF1045">
        <v>8</v>
      </c>
      <c r="AG1045">
        <v>8</v>
      </c>
      <c r="AH1045">
        <v>8</v>
      </c>
    </row>
    <row r="1046" spans="1:34" x14ac:dyDescent="0.3">
      <c r="A1046" t="s">
        <v>58</v>
      </c>
      <c r="B1046">
        <v>0</v>
      </c>
      <c r="C1046" t="s">
        <v>32</v>
      </c>
      <c r="D1046">
        <v>1495</v>
      </c>
      <c r="E1046" t="s">
        <v>40</v>
      </c>
      <c r="F1046">
        <v>5</v>
      </c>
      <c r="G1046" t="str">
        <f>IF(Table2[[#This Row],[DistanceFromHome]]&lt;=5, "short", IF(Table2[[#This Row],[DistanceFromHome]]&lt;=15, "medium", "long"))</f>
        <v>short</v>
      </c>
      <c r="H1046">
        <v>4</v>
      </c>
      <c r="I1046" t="s">
        <v>55</v>
      </c>
      <c r="J1046">
        <v>1473</v>
      </c>
      <c r="K1046">
        <v>1</v>
      </c>
      <c r="L1046" t="s">
        <v>41</v>
      </c>
      <c r="M1046">
        <v>96</v>
      </c>
      <c r="N1046">
        <v>3</v>
      </c>
      <c r="O1046">
        <v>2</v>
      </c>
      <c r="P1046" t="s">
        <v>49</v>
      </c>
      <c r="Q1046">
        <v>3</v>
      </c>
      <c r="R1046" t="s">
        <v>43</v>
      </c>
      <c r="S1046">
        <v>6651</v>
      </c>
      <c r="T1046">
        <v>21534</v>
      </c>
      <c r="U1046">
        <v>2</v>
      </c>
      <c r="V1046" t="s">
        <v>38</v>
      </c>
      <c r="W1046">
        <v>14</v>
      </c>
      <c r="X1046">
        <v>3</v>
      </c>
      <c r="Y1046">
        <v>2</v>
      </c>
      <c r="Z1046">
        <v>1</v>
      </c>
      <c r="AA1046">
        <v>20</v>
      </c>
      <c r="AB1046" t="str">
        <f>IF(Table2[[#This Row],[TotalWorkingYears]]&lt;=5,"Early (0-5)",IF(Table2[[#This Row],[TotalWorkingYears]]&lt;=15,"Mid (6-15)","Senior (16+)"))</f>
        <v>Senior (16+)</v>
      </c>
      <c r="AC1046">
        <v>0</v>
      </c>
      <c r="AD1046">
        <v>2</v>
      </c>
      <c r="AE1046" t="s">
        <v>64</v>
      </c>
      <c r="AF1046">
        <v>2</v>
      </c>
      <c r="AG1046">
        <v>1</v>
      </c>
      <c r="AH1046">
        <v>2</v>
      </c>
    </row>
    <row r="1047" spans="1:34" x14ac:dyDescent="0.3">
      <c r="A1047" t="s">
        <v>57</v>
      </c>
      <c r="B1047">
        <v>0</v>
      </c>
      <c r="C1047" t="s">
        <v>32</v>
      </c>
      <c r="D1047">
        <v>896</v>
      </c>
      <c r="E1047" t="s">
        <v>40</v>
      </c>
      <c r="F1047">
        <v>2</v>
      </c>
      <c r="G1047" t="str">
        <f>IF(Table2[[#This Row],[DistanceFromHome]]&lt;=5, "short", IF(Table2[[#This Row],[DistanceFromHome]]&lt;=15, "medium", "long"))</f>
        <v>short</v>
      </c>
      <c r="H1047">
        <v>3</v>
      </c>
      <c r="I1047" t="s">
        <v>46</v>
      </c>
      <c r="J1047">
        <v>1474</v>
      </c>
      <c r="K1047">
        <v>3</v>
      </c>
      <c r="L1047" t="s">
        <v>41</v>
      </c>
      <c r="M1047">
        <v>68</v>
      </c>
      <c r="N1047">
        <v>3</v>
      </c>
      <c r="O1047">
        <v>1</v>
      </c>
      <c r="P1047" t="s">
        <v>42</v>
      </c>
      <c r="Q1047">
        <v>3</v>
      </c>
      <c r="R1047" t="s">
        <v>47</v>
      </c>
      <c r="S1047">
        <v>2345</v>
      </c>
      <c r="T1047">
        <v>8045</v>
      </c>
      <c r="U1047">
        <v>2</v>
      </c>
      <c r="V1047" t="s">
        <v>38</v>
      </c>
      <c r="W1047">
        <v>14</v>
      </c>
      <c r="X1047">
        <v>3</v>
      </c>
      <c r="Y1047">
        <v>3</v>
      </c>
      <c r="Z1047">
        <v>1</v>
      </c>
      <c r="AA1047">
        <v>8</v>
      </c>
      <c r="AB1047" t="str">
        <f>IF(Table2[[#This Row],[TotalWorkingYears]]&lt;=5,"Early (0-5)",IF(Table2[[#This Row],[TotalWorkingYears]]&lt;=15,"Mid (6-15)","Senior (16+)"))</f>
        <v>Mid (6-15)</v>
      </c>
      <c r="AC1047">
        <v>3</v>
      </c>
      <c r="AD1047">
        <v>4</v>
      </c>
      <c r="AE1047" t="s">
        <v>64</v>
      </c>
      <c r="AF1047">
        <v>1</v>
      </c>
      <c r="AG1047">
        <v>1</v>
      </c>
      <c r="AH1047">
        <v>2</v>
      </c>
    </row>
    <row r="1048" spans="1:34" x14ac:dyDescent="0.3">
      <c r="A1048" t="s">
        <v>57</v>
      </c>
      <c r="B1048">
        <v>0</v>
      </c>
      <c r="C1048" t="s">
        <v>32</v>
      </c>
      <c r="D1048">
        <v>1467</v>
      </c>
      <c r="E1048" t="s">
        <v>40</v>
      </c>
      <c r="F1048">
        <v>20</v>
      </c>
      <c r="G1048" t="str">
        <f>IF(Table2[[#This Row],[DistanceFromHome]]&lt;=5, "short", IF(Table2[[#This Row],[DistanceFromHome]]&lt;=15, "medium", "long"))</f>
        <v>long</v>
      </c>
      <c r="H1048">
        <v>3</v>
      </c>
      <c r="I1048" t="s">
        <v>34</v>
      </c>
      <c r="J1048">
        <v>1475</v>
      </c>
      <c r="K1048">
        <v>4</v>
      </c>
      <c r="L1048" t="s">
        <v>41</v>
      </c>
      <c r="M1048">
        <v>49</v>
      </c>
      <c r="N1048">
        <v>3</v>
      </c>
      <c r="O1048">
        <v>1</v>
      </c>
      <c r="P1048" t="s">
        <v>42</v>
      </c>
      <c r="Q1048">
        <v>2</v>
      </c>
      <c r="R1048" t="s">
        <v>37</v>
      </c>
      <c r="S1048">
        <v>3420</v>
      </c>
      <c r="T1048">
        <v>21158</v>
      </c>
      <c r="U1048">
        <v>1</v>
      </c>
      <c r="V1048" t="s">
        <v>38</v>
      </c>
      <c r="W1048">
        <v>13</v>
      </c>
      <c r="X1048">
        <v>3</v>
      </c>
      <c r="Y1048">
        <v>3</v>
      </c>
      <c r="Z1048">
        <v>0</v>
      </c>
      <c r="AA1048">
        <v>6</v>
      </c>
      <c r="AB1048" t="str">
        <f>IF(Table2[[#This Row],[TotalWorkingYears]]&lt;=5,"Early (0-5)",IF(Table2[[#This Row],[TotalWorkingYears]]&lt;=15,"Mid (6-15)","Senior (16+)"))</f>
        <v>Mid (6-15)</v>
      </c>
      <c r="AC1048">
        <v>3</v>
      </c>
      <c r="AD1048">
        <v>2</v>
      </c>
      <c r="AE1048" t="s">
        <v>64</v>
      </c>
      <c r="AF1048">
        <v>2</v>
      </c>
      <c r="AG1048">
        <v>1</v>
      </c>
      <c r="AH1048">
        <v>3</v>
      </c>
    </row>
    <row r="1049" spans="1:34" x14ac:dyDescent="0.3">
      <c r="A1049" t="s">
        <v>59</v>
      </c>
      <c r="B1049">
        <v>0</v>
      </c>
      <c r="C1049" t="s">
        <v>39</v>
      </c>
      <c r="D1049">
        <v>430</v>
      </c>
      <c r="E1049" t="s">
        <v>33</v>
      </c>
      <c r="F1049">
        <v>7</v>
      </c>
      <c r="G1049" t="str">
        <f>IF(Table2[[#This Row],[DistanceFromHome]]&lt;=5, "short", IF(Table2[[#This Row],[DistanceFromHome]]&lt;=15, "medium", "long"))</f>
        <v>medium</v>
      </c>
      <c r="H1049">
        <v>3</v>
      </c>
      <c r="I1049" t="s">
        <v>46</v>
      </c>
      <c r="J1049">
        <v>1477</v>
      </c>
      <c r="K1049">
        <v>4</v>
      </c>
      <c r="L1049" t="s">
        <v>41</v>
      </c>
      <c r="M1049">
        <v>54</v>
      </c>
      <c r="N1049">
        <v>3</v>
      </c>
      <c r="O1049">
        <v>2</v>
      </c>
      <c r="P1049" t="s">
        <v>36</v>
      </c>
      <c r="Q1049">
        <v>1</v>
      </c>
      <c r="R1049" t="s">
        <v>43</v>
      </c>
      <c r="S1049">
        <v>4373</v>
      </c>
      <c r="T1049">
        <v>17456</v>
      </c>
      <c r="U1049">
        <v>0</v>
      </c>
      <c r="V1049" t="s">
        <v>38</v>
      </c>
      <c r="W1049">
        <v>14</v>
      </c>
      <c r="X1049">
        <v>3</v>
      </c>
      <c r="Y1049">
        <v>1</v>
      </c>
      <c r="Z1049">
        <v>2</v>
      </c>
      <c r="AA1049">
        <v>5</v>
      </c>
      <c r="AB1049" t="str">
        <f>IF(Table2[[#This Row],[TotalWorkingYears]]&lt;=5,"Early (0-5)",IF(Table2[[#This Row],[TotalWorkingYears]]&lt;=15,"Mid (6-15)","Senior (16+)"))</f>
        <v>Early (0-5)</v>
      </c>
      <c r="AC1049">
        <v>2</v>
      </c>
      <c r="AD1049">
        <v>3</v>
      </c>
      <c r="AE1049" t="s">
        <v>64</v>
      </c>
      <c r="AF1049">
        <v>3</v>
      </c>
      <c r="AG1049">
        <v>0</v>
      </c>
      <c r="AH1049">
        <v>3</v>
      </c>
    </row>
    <row r="1050" spans="1:34" x14ac:dyDescent="0.3">
      <c r="A1050" t="s">
        <v>59</v>
      </c>
      <c r="B1050">
        <v>0</v>
      </c>
      <c r="C1050" t="s">
        <v>32</v>
      </c>
      <c r="D1050">
        <v>1326</v>
      </c>
      <c r="E1050" t="s">
        <v>33</v>
      </c>
      <c r="F1050">
        <v>3</v>
      </c>
      <c r="G1050" t="str">
        <f>IF(Table2[[#This Row],[DistanceFromHome]]&lt;=5, "short", IF(Table2[[#This Row],[DistanceFromHome]]&lt;=15, "medium", "long"))</f>
        <v>short</v>
      </c>
      <c r="H1050">
        <v>3</v>
      </c>
      <c r="I1050" t="s">
        <v>44</v>
      </c>
      <c r="J1050">
        <v>1478</v>
      </c>
      <c r="K1050">
        <v>4</v>
      </c>
      <c r="L1050" t="s">
        <v>41</v>
      </c>
      <c r="M1050">
        <v>81</v>
      </c>
      <c r="N1050">
        <v>1</v>
      </c>
      <c r="O1050">
        <v>2</v>
      </c>
      <c r="P1050" t="s">
        <v>36</v>
      </c>
      <c r="Q1050">
        <v>1</v>
      </c>
      <c r="R1050" t="s">
        <v>37</v>
      </c>
      <c r="S1050">
        <v>4759</v>
      </c>
      <c r="T1050">
        <v>15891</v>
      </c>
      <c r="U1050">
        <v>3</v>
      </c>
      <c r="V1050" t="s">
        <v>38</v>
      </c>
      <c r="W1050">
        <v>18</v>
      </c>
      <c r="X1050">
        <v>3</v>
      </c>
      <c r="Y1050">
        <v>4</v>
      </c>
      <c r="Z1050">
        <v>0</v>
      </c>
      <c r="AA1050">
        <v>15</v>
      </c>
      <c r="AB1050" t="str">
        <f>IF(Table2[[#This Row],[TotalWorkingYears]]&lt;=5,"Early (0-5)",IF(Table2[[#This Row],[TotalWorkingYears]]&lt;=15,"Mid (6-15)","Senior (16+)"))</f>
        <v>Mid (6-15)</v>
      </c>
      <c r="AC1050">
        <v>2</v>
      </c>
      <c r="AD1050">
        <v>3</v>
      </c>
      <c r="AE1050" t="s">
        <v>65</v>
      </c>
      <c r="AF1050">
        <v>9</v>
      </c>
      <c r="AG1050">
        <v>3</v>
      </c>
      <c r="AH1050">
        <v>12</v>
      </c>
    </row>
    <row r="1051" spans="1:34" x14ac:dyDescent="0.3">
      <c r="A1051" t="s">
        <v>59</v>
      </c>
      <c r="B1051">
        <v>0</v>
      </c>
      <c r="C1051" t="s">
        <v>32</v>
      </c>
      <c r="D1051">
        <v>1358</v>
      </c>
      <c r="E1051" t="s">
        <v>33</v>
      </c>
      <c r="F1051">
        <v>16</v>
      </c>
      <c r="G1051" t="str">
        <f>IF(Table2[[#This Row],[DistanceFromHome]]&lt;=5, "short", IF(Table2[[#This Row],[DistanceFromHome]]&lt;=15, "medium", "long"))</f>
        <v>long</v>
      </c>
      <c r="H1051">
        <v>1</v>
      </c>
      <c r="I1051" t="s">
        <v>34</v>
      </c>
      <c r="J1051">
        <v>1479</v>
      </c>
      <c r="K1051">
        <v>4</v>
      </c>
      <c r="L1051" t="s">
        <v>41</v>
      </c>
      <c r="M1051">
        <v>96</v>
      </c>
      <c r="N1051">
        <v>3</v>
      </c>
      <c r="O1051">
        <v>2</v>
      </c>
      <c r="P1051" t="s">
        <v>36</v>
      </c>
      <c r="Q1051">
        <v>3</v>
      </c>
      <c r="R1051" t="s">
        <v>43</v>
      </c>
      <c r="S1051">
        <v>5301</v>
      </c>
      <c r="T1051">
        <v>2939</v>
      </c>
      <c r="U1051">
        <v>8</v>
      </c>
      <c r="V1051" t="s">
        <v>38</v>
      </c>
      <c r="W1051">
        <v>15</v>
      </c>
      <c r="X1051">
        <v>3</v>
      </c>
      <c r="Y1051">
        <v>3</v>
      </c>
      <c r="Z1051">
        <v>2</v>
      </c>
      <c r="AA1051">
        <v>4</v>
      </c>
      <c r="AB1051" t="str">
        <f>IF(Table2[[#This Row],[TotalWorkingYears]]&lt;=5,"Early (0-5)",IF(Table2[[#This Row],[TotalWorkingYears]]&lt;=15,"Mid (6-15)","Senior (16+)"))</f>
        <v>Early (0-5)</v>
      </c>
      <c r="AC1051">
        <v>2</v>
      </c>
      <c r="AD1051">
        <v>2</v>
      </c>
      <c r="AE1051" t="s">
        <v>63</v>
      </c>
      <c r="AF1051">
        <v>1</v>
      </c>
      <c r="AG1051">
        <v>2</v>
      </c>
      <c r="AH1051">
        <v>2</v>
      </c>
    </row>
    <row r="1052" spans="1:34" x14ac:dyDescent="0.3">
      <c r="A1052" t="s">
        <v>57</v>
      </c>
      <c r="B1052">
        <v>0</v>
      </c>
      <c r="C1052" t="s">
        <v>39</v>
      </c>
      <c r="D1052">
        <v>748</v>
      </c>
      <c r="E1052" t="s">
        <v>40</v>
      </c>
      <c r="F1052">
        <v>9</v>
      </c>
      <c r="G1052" t="str">
        <f>IF(Table2[[#This Row],[DistanceFromHome]]&lt;=5, "short", IF(Table2[[#This Row],[DistanceFromHome]]&lt;=15, "medium", "long"))</f>
        <v>medium</v>
      </c>
      <c r="H1052">
        <v>2</v>
      </c>
      <c r="I1052" t="s">
        <v>46</v>
      </c>
      <c r="J1052">
        <v>1480</v>
      </c>
      <c r="K1052">
        <v>1</v>
      </c>
      <c r="L1052" t="s">
        <v>35</v>
      </c>
      <c r="M1052">
        <v>74</v>
      </c>
      <c r="N1052">
        <v>3</v>
      </c>
      <c r="O1052">
        <v>1</v>
      </c>
      <c r="P1052" t="s">
        <v>45</v>
      </c>
      <c r="Q1052">
        <v>4</v>
      </c>
      <c r="R1052" t="s">
        <v>37</v>
      </c>
      <c r="S1052">
        <v>3673</v>
      </c>
      <c r="T1052">
        <v>16458</v>
      </c>
      <c r="U1052">
        <v>1</v>
      </c>
      <c r="V1052" t="s">
        <v>38</v>
      </c>
      <c r="W1052">
        <v>13</v>
      </c>
      <c r="X1052">
        <v>3</v>
      </c>
      <c r="Y1052">
        <v>3</v>
      </c>
      <c r="Z1052">
        <v>0</v>
      </c>
      <c r="AA1052">
        <v>12</v>
      </c>
      <c r="AB1052" t="str">
        <f>IF(Table2[[#This Row],[TotalWorkingYears]]&lt;=5,"Early (0-5)",IF(Table2[[#This Row],[TotalWorkingYears]]&lt;=15,"Mid (6-15)","Senior (16+)"))</f>
        <v>Mid (6-15)</v>
      </c>
      <c r="AC1052">
        <v>3</v>
      </c>
      <c r="AD1052">
        <v>3</v>
      </c>
      <c r="AE1052" t="s">
        <v>65</v>
      </c>
      <c r="AF1052">
        <v>9</v>
      </c>
      <c r="AG1052">
        <v>5</v>
      </c>
      <c r="AH1052">
        <v>8</v>
      </c>
    </row>
    <row r="1053" spans="1:34" x14ac:dyDescent="0.3">
      <c r="A1053" t="s">
        <v>57</v>
      </c>
      <c r="B1053">
        <v>0</v>
      </c>
      <c r="C1053" t="s">
        <v>39</v>
      </c>
      <c r="D1053">
        <v>383</v>
      </c>
      <c r="E1053" t="s">
        <v>33</v>
      </c>
      <c r="F1053">
        <v>1</v>
      </c>
      <c r="G1053" t="str">
        <f>IF(Table2[[#This Row],[DistanceFromHome]]&lt;=5, "short", IF(Table2[[#This Row],[DistanceFromHome]]&lt;=15, "medium", "long"))</f>
        <v>short</v>
      </c>
      <c r="H1053">
        <v>5</v>
      </c>
      <c r="I1053" t="s">
        <v>54</v>
      </c>
      <c r="J1053">
        <v>1481</v>
      </c>
      <c r="K1053">
        <v>1</v>
      </c>
      <c r="L1053" t="s">
        <v>35</v>
      </c>
      <c r="M1053">
        <v>79</v>
      </c>
      <c r="N1053">
        <v>3</v>
      </c>
      <c r="O1053">
        <v>2</v>
      </c>
      <c r="P1053" t="s">
        <v>36</v>
      </c>
      <c r="Q1053">
        <v>3</v>
      </c>
      <c r="R1053" t="s">
        <v>43</v>
      </c>
      <c r="S1053">
        <v>4768</v>
      </c>
      <c r="T1053">
        <v>9282</v>
      </c>
      <c r="U1053">
        <v>7</v>
      </c>
      <c r="V1053" t="s">
        <v>38</v>
      </c>
      <c r="W1053">
        <v>12</v>
      </c>
      <c r="X1053">
        <v>3</v>
      </c>
      <c r="Y1053">
        <v>3</v>
      </c>
      <c r="Z1053">
        <v>1</v>
      </c>
      <c r="AA1053">
        <v>11</v>
      </c>
      <c r="AB1053" t="str">
        <f>IF(Table2[[#This Row],[TotalWorkingYears]]&lt;=5,"Early (0-5)",IF(Table2[[#This Row],[TotalWorkingYears]]&lt;=15,"Mid (6-15)","Senior (16+)"))</f>
        <v>Mid (6-15)</v>
      </c>
      <c r="AC1053">
        <v>4</v>
      </c>
      <c r="AD1053">
        <v>2</v>
      </c>
      <c r="AE1053" t="s">
        <v>63</v>
      </c>
      <c r="AF1053">
        <v>0</v>
      </c>
      <c r="AG1053">
        <v>0</v>
      </c>
      <c r="AH1053">
        <v>0</v>
      </c>
    </row>
    <row r="1054" spans="1:34" x14ac:dyDescent="0.3">
      <c r="A1054" t="s">
        <v>59</v>
      </c>
      <c r="B1054">
        <v>0</v>
      </c>
      <c r="C1054" t="s">
        <v>50</v>
      </c>
      <c r="D1054">
        <v>990</v>
      </c>
      <c r="E1054" t="s">
        <v>40</v>
      </c>
      <c r="F1054">
        <v>7</v>
      </c>
      <c r="G1054" t="str">
        <f>IF(Table2[[#This Row],[DistanceFromHome]]&lt;=5, "short", IF(Table2[[#This Row],[DistanceFromHome]]&lt;=15, "medium", "long"))</f>
        <v>medium</v>
      </c>
      <c r="H1054">
        <v>3</v>
      </c>
      <c r="I1054" t="s">
        <v>55</v>
      </c>
      <c r="J1054">
        <v>1482</v>
      </c>
      <c r="K1054">
        <v>3</v>
      </c>
      <c r="L1054" t="s">
        <v>41</v>
      </c>
      <c r="M1054">
        <v>64</v>
      </c>
      <c r="N1054">
        <v>3</v>
      </c>
      <c r="O1054">
        <v>1</v>
      </c>
      <c r="P1054" t="s">
        <v>42</v>
      </c>
      <c r="Q1054">
        <v>3</v>
      </c>
      <c r="R1054" t="s">
        <v>47</v>
      </c>
      <c r="S1054">
        <v>1274</v>
      </c>
      <c r="T1054">
        <v>7152</v>
      </c>
      <c r="U1054">
        <v>1</v>
      </c>
      <c r="V1054" t="s">
        <v>38</v>
      </c>
      <c r="W1054">
        <v>13</v>
      </c>
      <c r="X1054">
        <v>3</v>
      </c>
      <c r="Y1054">
        <v>2</v>
      </c>
      <c r="Z1054">
        <v>2</v>
      </c>
      <c r="AA1054">
        <v>1</v>
      </c>
      <c r="AB1054" t="str">
        <f>IF(Table2[[#This Row],[TotalWorkingYears]]&lt;=5,"Early (0-5)",IF(Table2[[#This Row],[TotalWorkingYears]]&lt;=15,"Mid (6-15)","Senior (16+)"))</f>
        <v>Early (0-5)</v>
      </c>
      <c r="AC1054">
        <v>2</v>
      </c>
      <c r="AD1054">
        <v>2</v>
      </c>
      <c r="AE1054" t="s">
        <v>63</v>
      </c>
      <c r="AF1054">
        <v>0</v>
      </c>
      <c r="AG1054">
        <v>0</v>
      </c>
      <c r="AH1054">
        <v>0</v>
      </c>
    </row>
    <row r="1055" spans="1:34" x14ac:dyDescent="0.3">
      <c r="A1055" t="s">
        <v>58</v>
      </c>
      <c r="B1055">
        <v>0</v>
      </c>
      <c r="C1055" t="s">
        <v>32</v>
      </c>
      <c r="D1055">
        <v>405</v>
      </c>
      <c r="E1055" t="s">
        <v>40</v>
      </c>
      <c r="F1055">
        <v>1</v>
      </c>
      <c r="G1055" t="str">
        <f>IF(Table2[[#This Row],[DistanceFromHome]]&lt;=5, "short", IF(Table2[[#This Row],[DistanceFromHome]]&lt;=15, "medium", "long"))</f>
        <v>short</v>
      </c>
      <c r="H1055">
        <v>2</v>
      </c>
      <c r="I1055" t="s">
        <v>34</v>
      </c>
      <c r="J1055">
        <v>1483</v>
      </c>
      <c r="K1055">
        <v>2</v>
      </c>
      <c r="L1055" t="s">
        <v>41</v>
      </c>
      <c r="M1055">
        <v>93</v>
      </c>
      <c r="N1055">
        <v>4</v>
      </c>
      <c r="O1055">
        <v>2</v>
      </c>
      <c r="P1055" t="s">
        <v>42</v>
      </c>
      <c r="Q1055">
        <v>3</v>
      </c>
      <c r="R1055" t="s">
        <v>43</v>
      </c>
      <c r="S1055">
        <v>4900</v>
      </c>
      <c r="T1055">
        <v>2721</v>
      </c>
      <c r="U1055">
        <v>0</v>
      </c>
      <c r="V1055" t="s">
        <v>38</v>
      </c>
      <c r="W1055">
        <v>24</v>
      </c>
      <c r="X1055">
        <v>4</v>
      </c>
      <c r="Y1055">
        <v>1</v>
      </c>
      <c r="Z1055">
        <v>1</v>
      </c>
      <c r="AA1055">
        <v>13</v>
      </c>
      <c r="AB1055" t="str">
        <f>IF(Table2[[#This Row],[TotalWorkingYears]]&lt;=5,"Early (0-5)",IF(Table2[[#This Row],[TotalWorkingYears]]&lt;=15,"Mid (6-15)","Senior (16+)"))</f>
        <v>Mid (6-15)</v>
      </c>
      <c r="AC1055">
        <v>2</v>
      </c>
      <c r="AD1055">
        <v>2</v>
      </c>
      <c r="AE1055" t="s">
        <v>65</v>
      </c>
      <c r="AF1055">
        <v>9</v>
      </c>
      <c r="AG1055">
        <v>2</v>
      </c>
      <c r="AH1055">
        <v>8</v>
      </c>
    </row>
    <row r="1056" spans="1:34" x14ac:dyDescent="0.3">
      <c r="A1056" t="s">
        <v>58</v>
      </c>
      <c r="B1056">
        <v>0</v>
      </c>
      <c r="C1056" t="s">
        <v>32</v>
      </c>
      <c r="D1056">
        <v>1490</v>
      </c>
      <c r="E1056" t="s">
        <v>40</v>
      </c>
      <c r="F1056">
        <v>7</v>
      </c>
      <c r="G1056" t="str">
        <f>IF(Table2[[#This Row],[DistanceFromHome]]&lt;=5, "short", IF(Table2[[#This Row],[DistanceFromHome]]&lt;=15, "medium", "long"))</f>
        <v>medium</v>
      </c>
      <c r="H1056">
        <v>4</v>
      </c>
      <c r="I1056" t="s">
        <v>34</v>
      </c>
      <c r="J1056">
        <v>1484</v>
      </c>
      <c r="K1056">
        <v>3</v>
      </c>
      <c r="L1056" t="s">
        <v>41</v>
      </c>
      <c r="M1056">
        <v>35</v>
      </c>
      <c r="N1056">
        <v>3</v>
      </c>
      <c r="O1056">
        <v>3</v>
      </c>
      <c r="P1056" t="s">
        <v>49</v>
      </c>
      <c r="Q1056">
        <v>2</v>
      </c>
      <c r="R1056" t="s">
        <v>47</v>
      </c>
      <c r="S1056">
        <v>10466</v>
      </c>
      <c r="T1056">
        <v>20948</v>
      </c>
      <c r="U1056">
        <v>3</v>
      </c>
      <c r="V1056" t="s">
        <v>38</v>
      </c>
      <c r="W1056">
        <v>14</v>
      </c>
      <c r="X1056">
        <v>3</v>
      </c>
      <c r="Y1056">
        <v>2</v>
      </c>
      <c r="Z1056">
        <v>2</v>
      </c>
      <c r="AA1056">
        <v>29</v>
      </c>
      <c r="AB1056" t="str">
        <f>IF(Table2[[#This Row],[TotalWorkingYears]]&lt;=5,"Early (0-5)",IF(Table2[[#This Row],[TotalWorkingYears]]&lt;=15,"Mid (6-15)","Senior (16+)"))</f>
        <v>Senior (16+)</v>
      </c>
      <c r="AC1056">
        <v>3</v>
      </c>
      <c r="AD1056">
        <v>3</v>
      </c>
      <c r="AE1056" t="s">
        <v>62</v>
      </c>
      <c r="AF1056">
        <v>7</v>
      </c>
      <c r="AG1056">
        <v>0</v>
      </c>
      <c r="AH1056">
        <v>7</v>
      </c>
    </row>
    <row r="1057" spans="1:34" x14ac:dyDescent="0.3">
      <c r="A1057" t="s">
        <v>59</v>
      </c>
      <c r="B1057">
        <v>0</v>
      </c>
      <c r="C1057" t="s">
        <v>39</v>
      </c>
      <c r="D1057">
        <v>829</v>
      </c>
      <c r="E1057" t="s">
        <v>40</v>
      </c>
      <c r="F1057">
        <v>15</v>
      </c>
      <c r="G1057" t="str">
        <f>IF(Table2[[#This Row],[DistanceFromHome]]&lt;=5, "short", IF(Table2[[#This Row],[DistanceFromHome]]&lt;=15, "medium", "long"))</f>
        <v>medium</v>
      </c>
      <c r="H1057">
        <v>3</v>
      </c>
      <c r="I1057" t="s">
        <v>46</v>
      </c>
      <c r="J1057">
        <v>1485</v>
      </c>
      <c r="K1057">
        <v>2</v>
      </c>
      <c r="L1057" t="s">
        <v>41</v>
      </c>
      <c r="M1057">
        <v>71</v>
      </c>
      <c r="N1057">
        <v>3</v>
      </c>
      <c r="O1057">
        <v>4</v>
      </c>
      <c r="P1057" t="s">
        <v>53</v>
      </c>
      <c r="Q1057">
        <v>1</v>
      </c>
      <c r="R1057" t="s">
        <v>47</v>
      </c>
      <c r="S1057">
        <v>17007</v>
      </c>
      <c r="T1057">
        <v>11929</v>
      </c>
      <c r="U1057">
        <v>7</v>
      </c>
      <c r="V1057" t="s">
        <v>38</v>
      </c>
      <c r="W1057">
        <v>14</v>
      </c>
      <c r="X1057">
        <v>3</v>
      </c>
      <c r="Y1057">
        <v>4</v>
      </c>
      <c r="Z1057">
        <v>2</v>
      </c>
      <c r="AA1057">
        <v>16</v>
      </c>
      <c r="AB1057" t="str">
        <f>IF(Table2[[#This Row],[TotalWorkingYears]]&lt;=5,"Early (0-5)",IF(Table2[[#This Row],[TotalWorkingYears]]&lt;=15,"Mid (6-15)","Senior (16+)"))</f>
        <v>Senior (16+)</v>
      </c>
      <c r="AC1057">
        <v>3</v>
      </c>
      <c r="AD1057">
        <v>2</v>
      </c>
      <c r="AE1057" t="s">
        <v>65</v>
      </c>
      <c r="AF1057">
        <v>8</v>
      </c>
      <c r="AG1057">
        <v>6</v>
      </c>
      <c r="AH1057">
        <v>9</v>
      </c>
    </row>
    <row r="1058" spans="1:34" x14ac:dyDescent="0.3">
      <c r="A1058" t="s">
        <v>59</v>
      </c>
      <c r="B1058">
        <v>1</v>
      </c>
      <c r="C1058" t="s">
        <v>39</v>
      </c>
      <c r="D1058">
        <v>1496</v>
      </c>
      <c r="E1058" t="s">
        <v>33</v>
      </c>
      <c r="F1058">
        <v>1</v>
      </c>
      <c r="G1058" t="str">
        <f>IF(Table2[[#This Row],[DistanceFromHome]]&lt;=5, "short", IF(Table2[[#This Row],[DistanceFromHome]]&lt;=15, "medium", "long"))</f>
        <v>short</v>
      </c>
      <c r="H1058">
        <v>3</v>
      </c>
      <c r="I1058" t="s">
        <v>55</v>
      </c>
      <c r="J1058">
        <v>1486</v>
      </c>
      <c r="K1058">
        <v>1</v>
      </c>
      <c r="L1058" t="s">
        <v>41</v>
      </c>
      <c r="M1058">
        <v>92</v>
      </c>
      <c r="N1058">
        <v>3</v>
      </c>
      <c r="O1058">
        <v>1</v>
      </c>
      <c r="P1058" t="s">
        <v>52</v>
      </c>
      <c r="Q1058">
        <v>3</v>
      </c>
      <c r="R1058" t="s">
        <v>43</v>
      </c>
      <c r="S1058">
        <v>2909</v>
      </c>
      <c r="T1058">
        <v>15747</v>
      </c>
      <c r="U1058">
        <v>3</v>
      </c>
      <c r="V1058" t="s">
        <v>38</v>
      </c>
      <c r="W1058">
        <v>15</v>
      </c>
      <c r="X1058">
        <v>3</v>
      </c>
      <c r="Y1058">
        <v>4</v>
      </c>
      <c r="Z1058">
        <v>1</v>
      </c>
      <c r="AA1058">
        <v>5</v>
      </c>
      <c r="AB1058" t="str">
        <f>IF(Table2[[#This Row],[TotalWorkingYears]]&lt;=5,"Early (0-5)",IF(Table2[[#This Row],[TotalWorkingYears]]&lt;=15,"Mid (6-15)","Senior (16+)"))</f>
        <v>Early (0-5)</v>
      </c>
      <c r="AC1058">
        <v>3</v>
      </c>
      <c r="AD1058">
        <v>4</v>
      </c>
      <c r="AE1058" t="s">
        <v>64</v>
      </c>
      <c r="AF1058">
        <v>2</v>
      </c>
      <c r="AG1058">
        <v>1</v>
      </c>
      <c r="AH1058">
        <v>2</v>
      </c>
    </row>
    <row r="1059" spans="1:34" x14ac:dyDescent="0.3">
      <c r="A1059" t="s">
        <v>59</v>
      </c>
      <c r="B1059">
        <v>1</v>
      </c>
      <c r="C1059" t="s">
        <v>39</v>
      </c>
      <c r="D1059">
        <v>115</v>
      </c>
      <c r="E1059" t="s">
        <v>33</v>
      </c>
      <c r="F1059">
        <v>13</v>
      </c>
      <c r="G1059" t="str">
        <f>IF(Table2[[#This Row],[DistanceFromHome]]&lt;=5, "short", IF(Table2[[#This Row],[DistanceFromHome]]&lt;=15, "medium", "long"))</f>
        <v>medium</v>
      </c>
      <c r="H1059">
        <v>3</v>
      </c>
      <c r="I1059" t="s">
        <v>55</v>
      </c>
      <c r="J1059">
        <v>1487</v>
      </c>
      <c r="K1059">
        <v>1</v>
      </c>
      <c r="L1059" t="s">
        <v>35</v>
      </c>
      <c r="M1059">
        <v>51</v>
      </c>
      <c r="N1059">
        <v>3</v>
      </c>
      <c r="O1059">
        <v>2</v>
      </c>
      <c r="P1059" t="s">
        <v>36</v>
      </c>
      <c r="Q1059">
        <v>2</v>
      </c>
      <c r="R1059" t="s">
        <v>37</v>
      </c>
      <c r="S1059">
        <v>5765</v>
      </c>
      <c r="T1059">
        <v>17485</v>
      </c>
      <c r="U1059">
        <v>5</v>
      </c>
      <c r="V1059" t="s">
        <v>38</v>
      </c>
      <c r="W1059">
        <v>11</v>
      </c>
      <c r="X1059">
        <v>3</v>
      </c>
      <c r="Y1059">
        <v>1</v>
      </c>
      <c r="Z1059">
        <v>0</v>
      </c>
      <c r="AA1059">
        <v>7</v>
      </c>
      <c r="AB1059" t="str">
        <f>IF(Table2[[#This Row],[TotalWorkingYears]]&lt;=5,"Early (0-5)",IF(Table2[[#This Row],[TotalWorkingYears]]&lt;=15,"Mid (6-15)","Senior (16+)"))</f>
        <v>Mid (6-15)</v>
      </c>
      <c r="AC1059">
        <v>4</v>
      </c>
      <c r="AD1059">
        <v>1</v>
      </c>
      <c r="AE1059" t="s">
        <v>64</v>
      </c>
      <c r="AF1059">
        <v>3</v>
      </c>
      <c r="AG1059">
        <v>0</v>
      </c>
      <c r="AH1059">
        <v>0</v>
      </c>
    </row>
    <row r="1060" spans="1:34" x14ac:dyDescent="0.3">
      <c r="A1060" t="s">
        <v>59</v>
      </c>
      <c r="B1060">
        <v>1</v>
      </c>
      <c r="C1060" t="s">
        <v>32</v>
      </c>
      <c r="D1060">
        <v>790</v>
      </c>
      <c r="E1060" t="s">
        <v>33</v>
      </c>
      <c r="F1060">
        <v>24</v>
      </c>
      <c r="G1060" t="str">
        <f>IF(Table2[[#This Row],[DistanceFromHome]]&lt;=5, "short", IF(Table2[[#This Row],[DistanceFromHome]]&lt;=15, "medium", "long"))</f>
        <v>long</v>
      </c>
      <c r="H1060">
        <v>4</v>
      </c>
      <c r="I1060" t="s">
        <v>46</v>
      </c>
      <c r="J1060">
        <v>1489</v>
      </c>
      <c r="K1060">
        <v>1</v>
      </c>
      <c r="L1060" t="s">
        <v>35</v>
      </c>
      <c r="M1060">
        <v>40</v>
      </c>
      <c r="N1060">
        <v>2</v>
      </c>
      <c r="O1060">
        <v>2</v>
      </c>
      <c r="P1060" t="s">
        <v>36</v>
      </c>
      <c r="Q1060">
        <v>2</v>
      </c>
      <c r="R1060" t="s">
        <v>37</v>
      </c>
      <c r="S1060">
        <v>4599</v>
      </c>
      <c r="T1060">
        <v>7815</v>
      </c>
      <c r="U1060">
        <v>0</v>
      </c>
      <c r="V1060" t="s">
        <v>31</v>
      </c>
      <c r="W1060">
        <v>23</v>
      </c>
      <c r="X1060">
        <v>4</v>
      </c>
      <c r="Y1060">
        <v>3</v>
      </c>
      <c r="Z1060">
        <v>0</v>
      </c>
      <c r="AA1060">
        <v>16</v>
      </c>
      <c r="AB1060" t="str">
        <f>IF(Table2[[#This Row],[TotalWorkingYears]]&lt;=5,"Early (0-5)",IF(Table2[[#This Row],[TotalWorkingYears]]&lt;=15,"Mid (6-15)","Senior (16+)"))</f>
        <v>Senior (16+)</v>
      </c>
      <c r="AC1060">
        <v>2</v>
      </c>
      <c r="AD1060">
        <v>4</v>
      </c>
      <c r="AE1060" t="s">
        <v>65</v>
      </c>
      <c r="AF1060">
        <v>9</v>
      </c>
      <c r="AG1060">
        <v>10</v>
      </c>
      <c r="AH1060">
        <v>10</v>
      </c>
    </row>
    <row r="1061" spans="1:34" x14ac:dyDescent="0.3">
      <c r="A1061" t="s">
        <v>59</v>
      </c>
      <c r="B1061">
        <v>0</v>
      </c>
      <c r="C1061" t="s">
        <v>32</v>
      </c>
      <c r="D1061">
        <v>660</v>
      </c>
      <c r="E1061" t="s">
        <v>33</v>
      </c>
      <c r="F1061">
        <v>7</v>
      </c>
      <c r="G1061" t="str">
        <f>IF(Table2[[#This Row],[DistanceFromHome]]&lt;=5, "short", IF(Table2[[#This Row],[DistanceFromHome]]&lt;=15, "medium", "long"))</f>
        <v>medium</v>
      </c>
      <c r="H1061">
        <v>1</v>
      </c>
      <c r="I1061" t="s">
        <v>34</v>
      </c>
      <c r="J1061">
        <v>1492</v>
      </c>
      <c r="K1061">
        <v>4</v>
      </c>
      <c r="L1061" t="s">
        <v>41</v>
      </c>
      <c r="M1061">
        <v>76</v>
      </c>
      <c r="N1061">
        <v>3</v>
      </c>
      <c r="O1061">
        <v>1</v>
      </c>
      <c r="P1061" t="s">
        <v>52</v>
      </c>
      <c r="Q1061">
        <v>3</v>
      </c>
      <c r="R1061" t="s">
        <v>43</v>
      </c>
      <c r="S1061">
        <v>2404</v>
      </c>
      <c r="T1061">
        <v>16192</v>
      </c>
      <c r="U1061">
        <v>1</v>
      </c>
      <c r="V1061" t="s">
        <v>38</v>
      </c>
      <c r="W1061">
        <v>13</v>
      </c>
      <c r="X1061">
        <v>3</v>
      </c>
      <c r="Y1061">
        <v>1</v>
      </c>
      <c r="Z1061">
        <v>1</v>
      </c>
      <c r="AA1061">
        <v>1</v>
      </c>
      <c r="AB1061" t="str">
        <f>IF(Table2[[#This Row],[TotalWorkingYears]]&lt;=5,"Early (0-5)",IF(Table2[[#This Row],[TotalWorkingYears]]&lt;=15,"Mid (6-15)","Senior (16+)"))</f>
        <v>Early (0-5)</v>
      </c>
      <c r="AC1061">
        <v>3</v>
      </c>
      <c r="AD1061">
        <v>3</v>
      </c>
      <c r="AE1061" t="s">
        <v>63</v>
      </c>
      <c r="AF1061">
        <v>0</v>
      </c>
      <c r="AG1061">
        <v>0</v>
      </c>
      <c r="AH1061">
        <v>0</v>
      </c>
    </row>
    <row r="1062" spans="1:34" x14ac:dyDescent="0.3">
      <c r="A1062" t="s">
        <v>60</v>
      </c>
      <c r="B1062">
        <v>1</v>
      </c>
      <c r="C1062" t="s">
        <v>39</v>
      </c>
      <c r="D1062">
        <v>381</v>
      </c>
      <c r="E1062" t="s">
        <v>40</v>
      </c>
      <c r="F1062">
        <v>9</v>
      </c>
      <c r="G1062" t="str">
        <f>IF(Table2[[#This Row],[DistanceFromHome]]&lt;=5, "short", IF(Table2[[#This Row],[DistanceFromHome]]&lt;=15, "medium", "long"))</f>
        <v>medium</v>
      </c>
      <c r="H1062">
        <v>3</v>
      </c>
      <c r="I1062" t="s">
        <v>46</v>
      </c>
      <c r="J1062">
        <v>1494</v>
      </c>
      <c r="K1062">
        <v>2</v>
      </c>
      <c r="L1062" t="s">
        <v>41</v>
      </c>
      <c r="M1062">
        <v>89</v>
      </c>
      <c r="N1062">
        <v>3</v>
      </c>
      <c r="O1062">
        <v>1</v>
      </c>
      <c r="P1062" t="s">
        <v>45</v>
      </c>
      <c r="Q1062">
        <v>1</v>
      </c>
      <c r="R1062" t="s">
        <v>37</v>
      </c>
      <c r="S1062">
        <v>3172</v>
      </c>
      <c r="T1062">
        <v>16998</v>
      </c>
      <c r="U1062">
        <v>2</v>
      </c>
      <c r="V1062" t="s">
        <v>31</v>
      </c>
      <c r="W1062">
        <v>11</v>
      </c>
      <c r="X1062">
        <v>3</v>
      </c>
      <c r="Y1062">
        <v>3</v>
      </c>
      <c r="Z1062">
        <v>0</v>
      </c>
      <c r="AA1062">
        <v>4</v>
      </c>
      <c r="AB1062" t="str">
        <f>IF(Table2[[#This Row],[TotalWorkingYears]]&lt;=5,"Early (0-5)",IF(Table2[[#This Row],[TotalWorkingYears]]&lt;=15,"Mid (6-15)","Senior (16+)"))</f>
        <v>Early (0-5)</v>
      </c>
      <c r="AC1062">
        <v>2</v>
      </c>
      <c r="AD1062">
        <v>2</v>
      </c>
      <c r="AE1062" t="s">
        <v>63</v>
      </c>
      <c r="AF1062">
        <v>0</v>
      </c>
      <c r="AG1062">
        <v>0</v>
      </c>
      <c r="AH1062">
        <v>0</v>
      </c>
    </row>
    <row r="1063" spans="1:34" x14ac:dyDescent="0.3">
      <c r="A1063" t="s">
        <v>60</v>
      </c>
      <c r="B1063">
        <v>0</v>
      </c>
      <c r="C1063" t="s">
        <v>50</v>
      </c>
      <c r="D1063">
        <v>830</v>
      </c>
      <c r="E1063" t="s">
        <v>33</v>
      </c>
      <c r="F1063">
        <v>13</v>
      </c>
      <c r="G1063" t="str">
        <f>IF(Table2[[#This Row],[DistanceFromHome]]&lt;=5, "short", IF(Table2[[#This Row],[DistanceFromHome]]&lt;=15, "medium", "long"))</f>
        <v>medium</v>
      </c>
      <c r="H1063">
        <v>2</v>
      </c>
      <c r="I1063" t="s">
        <v>34</v>
      </c>
      <c r="J1063">
        <v>1495</v>
      </c>
      <c r="K1063">
        <v>4</v>
      </c>
      <c r="L1063" t="s">
        <v>35</v>
      </c>
      <c r="M1063">
        <v>78</v>
      </c>
      <c r="N1063">
        <v>3</v>
      </c>
      <c r="O1063">
        <v>1</v>
      </c>
      <c r="P1063" t="s">
        <v>52</v>
      </c>
      <c r="Q1063">
        <v>2</v>
      </c>
      <c r="R1063" t="s">
        <v>43</v>
      </c>
      <c r="S1063">
        <v>2033</v>
      </c>
      <c r="T1063">
        <v>7103</v>
      </c>
      <c r="U1063">
        <v>1</v>
      </c>
      <c r="V1063" t="s">
        <v>38</v>
      </c>
      <c r="W1063">
        <v>13</v>
      </c>
      <c r="X1063">
        <v>3</v>
      </c>
      <c r="Y1063">
        <v>3</v>
      </c>
      <c r="Z1063">
        <v>1</v>
      </c>
      <c r="AA1063">
        <v>1</v>
      </c>
      <c r="AB1063" t="str">
        <f>IF(Table2[[#This Row],[TotalWorkingYears]]&lt;=5,"Early (0-5)",IF(Table2[[#This Row],[TotalWorkingYears]]&lt;=15,"Mid (6-15)","Senior (16+)"))</f>
        <v>Early (0-5)</v>
      </c>
      <c r="AC1063">
        <v>2</v>
      </c>
      <c r="AD1063">
        <v>3</v>
      </c>
      <c r="AE1063" t="s">
        <v>63</v>
      </c>
      <c r="AF1063">
        <v>0</v>
      </c>
      <c r="AG1063">
        <v>0</v>
      </c>
      <c r="AH1063">
        <v>0</v>
      </c>
    </row>
    <row r="1064" spans="1:34" x14ac:dyDescent="0.3">
      <c r="A1064" t="s">
        <v>57</v>
      </c>
      <c r="B1064">
        <v>0</v>
      </c>
      <c r="C1064" t="s">
        <v>39</v>
      </c>
      <c r="D1064">
        <v>1193</v>
      </c>
      <c r="E1064" t="s">
        <v>40</v>
      </c>
      <c r="F1064">
        <v>2</v>
      </c>
      <c r="G1064" t="str">
        <f>IF(Table2[[#This Row],[DistanceFromHome]]&lt;=5, "short", IF(Table2[[#This Row],[DistanceFromHome]]&lt;=15, "medium", "long"))</f>
        <v>short</v>
      </c>
      <c r="H1064">
        <v>1</v>
      </c>
      <c r="I1064" t="s">
        <v>46</v>
      </c>
      <c r="J1064">
        <v>1496</v>
      </c>
      <c r="K1064">
        <v>2</v>
      </c>
      <c r="L1064" t="s">
        <v>41</v>
      </c>
      <c r="M1064">
        <v>86</v>
      </c>
      <c r="N1064">
        <v>3</v>
      </c>
      <c r="O1064">
        <v>3</v>
      </c>
      <c r="P1064" t="s">
        <v>48</v>
      </c>
      <c r="Q1064">
        <v>3</v>
      </c>
      <c r="R1064" t="s">
        <v>37</v>
      </c>
      <c r="S1064">
        <v>10209</v>
      </c>
      <c r="T1064">
        <v>19719</v>
      </c>
      <c r="U1064">
        <v>5</v>
      </c>
      <c r="V1064" t="s">
        <v>31</v>
      </c>
      <c r="W1064">
        <v>18</v>
      </c>
      <c r="X1064">
        <v>3</v>
      </c>
      <c r="Y1064">
        <v>2</v>
      </c>
      <c r="Z1064">
        <v>0</v>
      </c>
      <c r="AA1064">
        <v>16</v>
      </c>
      <c r="AB1064" t="str">
        <f>IF(Table2[[#This Row],[TotalWorkingYears]]&lt;=5,"Early (0-5)",IF(Table2[[#This Row],[TotalWorkingYears]]&lt;=15,"Mid (6-15)","Senior (16+)"))</f>
        <v>Senior (16+)</v>
      </c>
      <c r="AC1064">
        <v>2</v>
      </c>
      <c r="AD1064">
        <v>2</v>
      </c>
      <c r="AE1064" t="s">
        <v>63</v>
      </c>
      <c r="AF1064">
        <v>2</v>
      </c>
      <c r="AG1064">
        <v>2</v>
      </c>
      <c r="AH1064">
        <v>2</v>
      </c>
    </row>
    <row r="1065" spans="1:34" x14ac:dyDescent="0.3">
      <c r="A1065" t="s">
        <v>59</v>
      </c>
      <c r="B1065">
        <v>0</v>
      </c>
      <c r="C1065" t="s">
        <v>32</v>
      </c>
      <c r="D1065">
        <v>1246</v>
      </c>
      <c r="E1065" t="s">
        <v>33</v>
      </c>
      <c r="F1065">
        <v>19</v>
      </c>
      <c r="G1065" t="str">
        <f>IF(Table2[[#This Row],[DistanceFromHome]]&lt;=5, "short", IF(Table2[[#This Row],[DistanceFromHome]]&lt;=15, "medium", "long"))</f>
        <v>long</v>
      </c>
      <c r="H1065">
        <v>3</v>
      </c>
      <c r="I1065" t="s">
        <v>34</v>
      </c>
      <c r="J1065">
        <v>1497</v>
      </c>
      <c r="K1065">
        <v>3</v>
      </c>
      <c r="L1065" t="s">
        <v>41</v>
      </c>
      <c r="M1065">
        <v>77</v>
      </c>
      <c r="N1065">
        <v>2</v>
      </c>
      <c r="O1065">
        <v>2</v>
      </c>
      <c r="P1065" t="s">
        <v>36</v>
      </c>
      <c r="Q1065">
        <v>3</v>
      </c>
      <c r="R1065" t="s">
        <v>47</v>
      </c>
      <c r="S1065">
        <v>8620</v>
      </c>
      <c r="T1065">
        <v>23757</v>
      </c>
      <c r="U1065">
        <v>1</v>
      </c>
      <c r="V1065" t="s">
        <v>38</v>
      </c>
      <c r="W1065">
        <v>14</v>
      </c>
      <c r="X1065">
        <v>3</v>
      </c>
      <c r="Y1065">
        <v>3</v>
      </c>
      <c r="Z1065">
        <v>2</v>
      </c>
      <c r="AA1065">
        <v>10</v>
      </c>
      <c r="AB1065" t="str">
        <f>IF(Table2[[#This Row],[TotalWorkingYears]]&lt;=5,"Early (0-5)",IF(Table2[[#This Row],[TotalWorkingYears]]&lt;=15,"Mid (6-15)","Senior (16+)"))</f>
        <v>Mid (6-15)</v>
      </c>
      <c r="AC1065">
        <v>3</v>
      </c>
      <c r="AD1065">
        <v>3</v>
      </c>
      <c r="AE1065" t="s">
        <v>62</v>
      </c>
      <c r="AF1065">
        <v>7</v>
      </c>
      <c r="AG1065">
        <v>0</v>
      </c>
      <c r="AH1065">
        <v>4</v>
      </c>
    </row>
    <row r="1066" spans="1:34" x14ac:dyDescent="0.3">
      <c r="A1066" t="s">
        <v>59</v>
      </c>
      <c r="B1066">
        <v>0</v>
      </c>
      <c r="C1066" t="s">
        <v>32</v>
      </c>
      <c r="D1066">
        <v>330</v>
      </c>
      <c r="E1066" t="s">
        <v>56</v>
      </c>
      <c r="F1066">
        <v>1</v>
      </c>
      <c r="G1066" t="str">
        <f>IF(Table2[[#This Row],[DistanceFromHome]]&lt;=5, "short", IF(Table2[[#This Row],[DistanceFromHome]]&lt;=15, "medium", "long"))</f>
        <v>short</v>
      </c>
      <c r="H1066">
        <v>3</v>
      </c>
      <c r="I1066" t="s">
        <v>34</v>
      </c>
      <c r="J1066">
        <v>1499</v>
      </c>
      <c r="K1066">
        <v>3</v>
      </c>
      <c r="L1066" t="s">
        <v>41</v>
      </c>
      <c r="M1066">
        <v>46</v>
      </c>
      <c r="N1066">
        <v>3</v>
      </c>
      <c r="O1066">
        <v>1</v>
      </c>
      <c r="P1066" t="s">
        <v>56</v>
      </c>
      <c r="Q1066">
        <v>3</v>
      </c>
      <c r="R1066" t="s">
        <v>47</v>
      </c>
      <c r="S1066">
        <v>2064</v>
      </c>
      <c r="T1066">
        <v>15428</v>
      </c>
      <c r="U1066">
        <v>0</v>
      </c>
      <c r="V1066" t="s">
        <v>38</v>
      </c>
      <c r="W1066">
        <v>21</v>
      </c>
      <c r="X1066">
        <v>4</v>
      </c>
      <c r="Y1066">
        <v>1</v>
      </c>
      <c r="Z1066">
        <v>1</v>
      </c>
      <c r="AA1066">
        <v>6</v>
      </c>
      <c r="AB1066" t="str">
        <f>IF(Table2[[#This Row],[TotalWorkingYears]]&lt;=5,"Early (0-5)",IF(Table2[[#This Row],[TotalWorkingYears]]&lt;=15,"Mid (6-15)","Senior (16+)"))</f>
        <v>Mid (6-15)</v>
      </c>
      <c r="AC1066">
        <v>3</v>
      </c>
      <c r="AD1066">
        <v>4</v>
      </c>
      <c r="AE1066" t="s">
        <v>64</v>
      </c>
      <c r="AF1066">
        <v>3</v>
      </c>
      <c r="AG1066">
        <v>1</v>
      </c>
      <c r="AH1066">
        <v>3</v>
      </c>
    </row>
    <row r="1067" spans="1:34" x14ac:dyDescent="0.3">
      <c r="A1067" t="s">
        <v>58</v>
      </c>
      <c r="B1067">
        <v>0</v>
      </c>
      <c r="C1067" t="s">
        <v>32</v>
      </c>
      <c r="D1067">
        <v>1229</v>
      </c>
      <c r="E1067" t="s">
        <v>40</v>
      </c>
      <c r="F1067">
        <v>4</v>
      </c>
      <c r="G1067" t="str">
        <f>IF(Table2[[#This Row],[DistanceFromHome]]&lt;=5, "short", IF(Table2[[#This Row],[DistanceFromHome]]&lt;=15, "medium", "long"))</f>
        <v>short</v>
      </c>
      <c r="H1067">
        <v>4</v>
      </c>
      <c r="I1067" t="s">
        <v>34</v>
      </c>
      <c r="J1067">
        <v>1501</v>
      </c>
      <c r="K1067">
        <v>4</v>
      </c>
      <c r="L1067" t="s">
        <v>41</v>
      </c>
      <c r="M1067">
        <v>30</v>
      </c>
      <c r="N1067">
        <v>3</v>
      </c>
      <c r="O1067">
        <v>2</v>
      </c>
      <c r="P1067" t="s">
        <v>49</v>
      </c>
      <c r="Q1067">
        <v>3</v>
      </c>
      <c r="R1067" t="s">
        <v>43</v>
      </c>
      <c r="S1067">
        <v>4035</v>
      </c>
      <c r="T1067">
        <v>16143</v>
      </c>
      <c r="U1067">
        <v>0</v>
      </c>
      <c r="V1067" t="s">
        <v>31</v>
      </c>
      <c r="W1067">
        <v>16</v>
      </c>
      <c r="X1067">
        <v>3</v>
      </c>
      <c r="Y1067">
        <v>2</v>
      </c>
      <c r="Z1067">
        <v>0</v>
      </c>
      <c r="AA1067">
        <v>4</v>
      </c>
      <c r="AB1067" t="str">
        <f>IF(Table2[[#This Row],[TotalWorkingYears]]&lt;=5,"Early (0-5)",IF(Table2[[#This Row],[TotalWorkingYears]]&lt;=15,"Mid (6-15)","Senior (16+)"))</f>
        <v>Early (0-5)</v>
      </c>
      <c r="AC1067">
        <v>2</v>
      </c>
      <c r="AD1067">
        <v>3</v>
      </c>
      <c r="AE1067" t="s">
        <v>64</v>
      </c>
      <c r="AF1067">
        <v>2</v>
      </c>
      <c r="AG1067">
        <v>1</v>
      </c>
      <c r="AH1067">
        <v>2</v>
      </c>
    </row>
    <row r="1068" spans="1:34" x14ac:dyDescent="0.3">
      <c r="A1068" t="s">
        <v>59</v>
      </c>
      <c r="B1068">
        <v>0</v>
      </c>
      <c r="C1068" t="s">
        <v>32</v>
      </c>
      <c r="D1068">
        <v>1099</v>
      </c>
      <c r="E1068" t="s">
        <v>40</v>
      </c>
      <c r="F1068">
        <v>4</v>
      </c>
      <c r="G1068" t="str">
        <f>IF(Table2[[#This Row],[DistanceFromHome]]&lt;=5, "short", IF(Table2[[#This Row],[DistanceFromHome]]&lt;=15, "medium", "long"))</f>
        <v>short</v>
      </c>
      <c r="H1068">
        <v>4</v>
      </c>
      <c r="I1068" t="s">
        <v>46</v>
      </c>
      <c r="J1068">
        <v>1502</v>
      </c>
      <c r="K1068">
        <v>1</v>
      </c>
      <c r="L1068" t="s">
        <v>35</v>
      </c>
      <c r="M1068">
        <v>82</v>
      </c>
      <c r="N1068">
        <v>2</v>
      </c>
      <c r="O1068">
        <v>1</v>
      </c>
      <c r="P1068" t="s">
        <v>45</v>
      </c>
      <c r="Q1068">
        <v>2</v>
      </c>
      <c r="R1068" t="s">
        <v>43</v>
      </c>
      <c r="S1068">
        <v>3838</v>
      </c>
      <c r="T1068">
        <v>8192</v>
      </c>
      <c r="U1068">
        <v>8</v>
      </c>
      <c r="V1068" t="s">
        <v>38</v>
      </c>
      <c r="W1068">
        <v>11</v>
      </c>
      <c r="X1068">
        <v>3</v>
      </c>
      <c r="Y1068">
        <v>4</v>
      </c>
      <c r="Z1068">
        <v>0</v>
      </c>
      <c r="AA1068">
        <v>8</v>
      </c>
      <c r="AB1068" t="str">
        <f>IF(Table2[[#This Row],[TotalWorkingYears]]&lt;=5,"Early (0-5)",IF(Table2[[#This Row],[TotalWorkingYears]]&lt;=15,"Mid (6-15)","Senior (16+)"))</f>
        <v>Mid (6-15)</v>
      </c>
      <c r="AC1068">
        <v>5</v>
      </c>
      <c r="AD1068">
        <v>3</v>
      </c>
      <c r="AE1068" t="s">
        <v>64</v>
      </c>
      <c r="AF1068">
        <v>4</v>
      </c>
      <c r="AG1068">
        <v>0</v>
      </c>
      <c r="AH1068">
        <v>2</v>
      </c>
    </row>
    <row r="1069" spans="1:34" x14ac:dyDescent="0.3">
      <c r="A1069" t="s">
        <v>58</v>
      </c>
      <c r="B1069">
        <v>0</v>
      </c>
      <c r="C1069" t="s">
        <v>32</v>
      </c>
      <c r="D1069">
        <v>571</v>
      </c>
      <c r="E1069" t="s">
        <v>33</v>
      </c>
      <c r="F1069">
        <v>14</v>
      </c>
      <c r="G1069" t="str">
        <f>IF(Table2[[#This Row],[DistanceFromHome]]&lt;=5, "short", IF(Table2[[#This Row],[DistanceFromHome]]&lt;=15, "medium", "long"))</f>
        <v>medium</v>
      </c>
      <c r="H1069">
        <v>3</v>
      </c>
      <c r="I1069" t="s">
        <v>46</v>
      </c>
      <c r="J1069">
        <v>1503</v>
      </c>
      <c r="K1069">
        <v>3</v>
      </c>
      <c r="L1069" t="s">
        <v>35</v>
      </c>
      <c r="M1069">
        <v>78</v>
      </c>
      <c r="N1069">
        <v>3</v>
      </c>
      <c r="O1069">
        <v>2</v>
      </c>
      <c r="P1069" t="s">
        <v>36</v>
      </c>
      <c r="Q1069">
        <v>3</v>
      </c>
      <c r="R1069" t="s">
        <v>43</v>
      </c>
      <c r="S1069">
        <v>4591</v>
      </c>
      <c r="T1069">
        <v>24200</v>
      </c>
      <c r="U1069">
        <v>3</v>
      </c>
      <c r="V1069" t="s">
        <v>31</v>
      </c>
      <c r="W1069">
        <v>17</v>
      </c>
      <c r="X1069">
        <v>3</v>
      </c>
      <c r="Y1069">
        <v>3</v>
      </c>
      <c r="Z1069">
        <v>1</v>
      </c>
      <c r="AA1069">
        <v>11</v>
      </c>
      <c r="AB1069" t="str">
        <f>IF(Table2[[#This Row],[TotalWorkingYears]]&lt;=5,"Early (0-5)",IF(Table2[[#This Row],[TotalWorkingYears]]&lt;=15,"Mid (6-15)","Senior (16+)"))</f>
        <v>Mid (6-15)</v>
      </c>
      <c r="AC1069">
        <v>4</v>
      </c>
      <c r="AD1069">
        <v>2</v>
      </c>
      <c r="AE1069" t="s">
        <v>64</v>
      </c>
      <c r="AF1069">
        <v>4</v>
      </c>
      <c r="AG1069">
        <v>1</v>
      </c>
      <c r="AH1069">
        <v>2</v>
      </c>
    </row>
    <row r="1070" spans="1:34" x14ac:dyDescent="0.3">
      <c r="A1070" t="s">
        <v>59</v>
      </c>
      <c r="B1070">
        <v>1</v>
      </c>
      <c r="C1070" t="s">
        <v>39</v>
      </c>
      <c r="D1070">
        <v>289</v>
      </c>
      <c r="E1070" t="s">
        <v>40</v>
      </c>
      <c r="F1070">
        <v>2</v>
      </c>
      <c r="G1070" t="str">
        <f>IF(Table2[[#This Row],[DistanceFromHome]]&lt;=5, "short", IF(Table2[[#This Row],[DistanceFromHome]]&lt;=15, "medium", "long"))</f>
        <v>short</v>
      </c>
      <c r="H1070">
        <v>2</v>
      </c>
      <c r="I1070" t="s">
        <v>46</v>
      </c>
      <c r="J1070">
        <v>1504</v>
      </c>
      <c r="K1070">
        <v>3</v>
      </c>
      <c r="L1070" t="s">
        <v>41</v>
      </c>
      <c r="M1070">
        <v>38</v>
      </c>
      <c r="N1070">
        <v>2</v>
      </c>
      <c r="O1070">
        <v>1</v>
      </c>
      <c r="P1070" t="s">
        <v>45</v>
      </c>
      <c r="Q1070">
        <v>1</v>
      </c>
      <c r="R1070" t="s">
        <v>37</v>
      </c>
      <c r="S1070">
        <v>2561</v>
      </c>
      <c r="T1070">
        <v>5355</v>
      </c>
      <c r="U1070">
        <v>7</v>
      </c>
      <c r="V1070" t="s">
        <v>38</v>
      </c>
      <c r="W1070">
        <v>11</v>
      </c>
      <c r="X1070">
        <v>3</v>
      </c>
      <c r="Y1070">
        <v>3</v>
      </c>
      <c r="Z1070">
        <v>0</v>
      </c>
      <c r="AA1070">
        <v>8</v>
      </c>
      <c r="AB1070" t="str">
        <f>IF(Table2[[#This Row],[TotalWorkingYears]]&lt;=5,"Early (0-5)",IF(Table2[[#This Row],[TotalWorkingYears]]&lt;=15,"Mid (6-15)","Senior (16+)"))</f>
        <v>Mid (6-15)</v>
      </c>
      <c r="AC1070">
        <v>2</v>
      </c>
      <c r="AD1070">
        <v>2</v>
      </c>
      <c r="AE1070" t="s">
        <v>63</v>
      </c>
      <c r="AF1070">
        <v>0</v>
      </c>
      <c r="AG1070">
        <v>0</v>
      </c>
      <c r="AH1070">
        <v>0</v>
      </c>
    </row>
    <row r="1071" spans="1:34" x14ac:dyDescent="0.3">
      <c r="A1071" t="s">
        <v>59</v>
      </c>
      <c r="B1071">
        <v>0</v>
      </c>
      <c r="C1071" t="s">
        <v>32</v>
      </c>
      <c r="D1071">
        <v>1423</v>
      </c>
      <c r="E1071" t="s">
        <v>40</v>
      </c>
      <c r="F1071">
        <v>1</v>
      </c>
      <c r="G1071" t="str">
        <f>IF(Table2[[#This Row],[DistanceFromHome]]&lt;=5, "short", IF(Table2[[#This Row],[DistanceFromHome]]&lt;=15, "medium", "long"))</f>
        <v>short</v>
      </c>
      <c r="H1071">
        <v>3</v>
      </c>
      <c r="I1071" t="s">
        <v>34</v>
      </c>
      <c r="J1071">
        <v>1506</v>
      </c>
      <c r="K1071">
        <v>1</v>
      </c>
      <c r="L1071" t="s">
        <v>41</v>
      </c>
      <c r="M1071">
        <v>72</v>
      </c>
      <c r="N1071">
        <v>2</v>
      </c>
      <c r="O1071">
        <v>1</v>
      </c>
      <c r="P1071" t="s">
        <v>42</v>
      </c>
      <c r="Q1071">
        <v>3</v>
      </c>
      <c r="R1071" t="s">
        <v>47</v>
      </c>
      <c r="S1071">
        <v>1563</v>
      </c>
      <c r="T1071">
        <v>12530</v>
      </c>
      <c r="U1071">
        <v>1</v>
      </c>
      <c r="V1071" t="s">
        <v>38</v>
      </c>
      <c r="W1071">
        <v>14</v>
      </c>
      <c r="X1071">
        <v>3</v>
      </c>
      <c r="Y1071">
        <v>4</v>
      </c>
      <c r="Z1071">
        <v>1</v>
      </c>
      <c r="AA1071">
        <v>1</v>
      </c>
      <c r="AB1071" t="str">
        <f>IF(Table2[[#This Row],[TotalWorkingYears]]&lt;=5,"Early (0-5)",IF(Table2[[#This Row],[TotalWorkingYears]]&lt;=15,"Mid (6-15)","Senior (16+)"))</f>
        <v>Early (0-5)</v>
      </c>
      <c r="AC1071">
        <v>2</v>
      </c>
      <c r="AD1071">
        <v>1</v>
      </c>
      <c r="AE1071" t="s">
        <v>63</v>
      </c>
      <c r="AF1071">
        <v>0</v>
      </c>
      <c r="AG1071">
        <v>0</v>
      </c>
      <c r="AH1071">
        <v>0</v>
      </c>
    </row>
    <row r="1072" spans="1:34" x14ac:dyDescent="0.3">
      <c r="A1072" t="s">
        <v>59</v>
      </c>
      <c r="B1072">
        <v>0</v>
      </c>
      <c r="C1072" t="s">
        <v>39</v>
      </c>
      <c r="D1072">
        <v>467</v>
      </c>
      <c r="E1072" t="s">
        <v>33</v>
      </c>
      <c r="F1072">
        <v>7</v>
      </c>
      <c r="G1072" t="str">
        <f>IF(Table2[[#This Row],[DistanceFromHome]]&lt;=5, "short", IF(Table2[[#This Row],[DistanceFromHome]]&lt;=15, "medium", "long"))</f>
        <v>medium</v>
      </c>
      <c r="H1072">
        <v>3</v>
      </c>
      <c r="I1072" t="s">
        <v>34</v>
      </c>
      <c r="J1072">
        <v>1507</v>
      </c>
      <c r="K1072">
        <v>3</v>
      </c>
      <c r="L1072" t="s">
        <v>41</v>
      </c>
      <c r="M1072">
        <v>55</v>
      </c>
      <c r="N1072">
        <v>3</v>
      </c>
      <c r="O1072">
        <v>2</v>
      </c>
      <c r="P1072" t="s">
        <v>36</v>
      </c>
      <c r="Q1072">
        <v>1</v>
      </c>
      <c r="R1072" t="s">
        <v>37</v>
      </c>
      <c r="S1072">
        <v>4898</v>
      </c>
      <c r="T1072">
        <v>11827</v>
      </c>
      <c r="U1072">
        <v>0</v>
      </c>
      <c r="V1072" t="s">
        <v>38</v>
      </c>
      <c r="W1072">
        <v>14</v>
      </c>
      <c r="X1072">
        <v>3</v>
      </c>
      <c r="Y1072">
        <v>4</v>
      </c>
      <c r="Z1072">
        <v>0</v>
      </c>
      <c r="AA1072">
        <v>5</v>
      </c>
      <c r="AB1072" t="str">
        <f>IF(Table2[[#This Row],[TotalWorkingYears]]&lt;=5,"Early (0-5)",IF(Table2[[#This Row],[TotalWorkingYears]]&lt;=15,"Mid (6-15)","Senior (16+)"))</f>
        <v>Early (0-5)</v>
      </c>
      <c r="AC1072">
        <v>5</v>
      </c>
      <c r="AD1072">
        <v>3</v>
      </c>
      <c r="AE1072" t="s">
        <v>64</v>
      </c>
      <c r="AF1072">
        <v>2</v>
      </c>
      <c r="AG1072">
        <v>1</v>
      </c>
      <c r="AH1072">
        <v>3</v>
      </c>
    </row>
    <row r="1073" spans="1:34" x14ac:dyDescent="0.3">
      <c r="A1073" t="s">
        <v>58</v>
      </c>
      <c r="B1073">
        <v>0</v>
      </c>
      <c r="C1073" t="s">
        <v>32</v>
      </c>
      <c r="D1073">
        <v>271</v>
      </c>
      <c r="E1073" t="s">
        <v>40</v>
      </c>
      <c r="F1073">
        <v>3</v>
      </c>
      <c r="G1073" t="str">
        <f>IF(Table2[[#This Row],[DistanceFromHome]]&lt;=5, "short", IF(Table2[[#This Row],[DistanceFromHome]]&lt;=15, "medium", "long"))</f>
        <v>short</v>
      </c>
      <c r="H1073">
        <v>2</v>
      </c>
      <c r="I1073" t="s">
        <v>46</v>
      </c>
      <c r="J1073">
        <v>1509</v>
      </c>
      <c r="K1073">
        <v>3</v>
      </c>
      <c r="L1073" t="s">
        <v>35</v>
      </c>
      <c r="M1073">
        <v>43</v>
      </c>
      <c r="N1073">
        <v>2</v>
      </c>
      <c r="O1073">
        <v>2</v>
      </c>
      <c r="P1073" t="s">
        <v>45</v>
      </c>
      <c r="Q1073">
        <v>1</v>
      </c>
      <c r="R1073" t="s">
        <v>43</v>
      </c>
      <c r="S1073">
        <v>4789</v>
      </c>
      <c r="T1073">
        <v>23070</v>
      </c>
      <c r="U1073">
        <v>4</v>
      </c>
      <c r="V1073" t="s">
        <v>38</v>
      </c>
      <c r="W1073">
        <v>25</v>
      </c>
      <c r="X1073">
        <v>4</v>
      </c>
      <c r="Y1073">
        <v>1</v>
      </c>
      <c r="Z1073">
        <v>1</v>
      </c>
      <c r="AA1073">
        <v>10</v>
      </c>
      <c r="AB1073" t="str">
        <f>IF(Table2[[#This Row],[TotalWorkingYears]]&lt;=5,"Early (0-5)",IF(Table2[[#This Row],[TotalWorkingYears]]&lt;=15,"Mid (6-15)","Senior (16+)"))</f>
        <v>Mid (6-15)</v>
      </c>
      <c r="AC1073">
        <v>3</v>
      </c>
      <c r="AD1073">
        <v>3</v>
      </c>
      <c r="AE1073" t="s">
        <v>64</v>
      </c>
      <c r="AF1073">
        <v>2</v>
      </c>
      <c r="AG1073">
        <v>1</v>
      </c>
      <c r="AH1073">
        <v>2</v>
      </c>
    </row>
    <row r="1074" spans="1:34" x14ac:dyDescent="0.3">
      <c r="A1074" t="s">
        <v>59</v>
      </c>
      <c r="B1074">
        <v>0</v>
      </c>
      <c r="C1074" t="s">
        <v>39</v>
      </c>
      <c r="D1074">
        <v>410</v>
      </c>
      <c r="E1074" t="s">
        <v>40</v>
      </c>
      <c r="F1074">
        <v>2</v>
      </c>
      <c r="G1074" t="str">
        <f>IF(Table2[[#This Row],[DistanceFromHome]]&lt;=5, "short", IF(Table2[[#This Row],[DistanceFromHome]]&lt;=15, "medium", "long"))</f>
        <v>short</v>
      </c>
      <c r="H1074">
        <v>1</v>
      </c>
      <c r="I1074" t="s">
        <v>34</v>
      </c>
      <c r="J1074">
        <v>1513</v>
      </c>
      <c r="K1074">
        <v>4</v>
      </c>
      <c r="L1074" t="s">
        <v>35</v>
      </c>
      <c r="M1074">
        <v>97</v>
      </c>
      <c r="N1074">
        <v>3</v>
      </c>
      <c r="O1074">
        <v>1</v>
      </c>
      <c r="P1074" t="s">
        <v>45</v>
      </c>
      <c r="Q1074">
        <v>2</v>
      </c>
      <c r="R1074" t="s">
        <v>43</v>
      </c>
      <c r="S1074">
        <v>3180</v>
      </c>
      <c r="T1074">
        <v>4668</v>
      </c>
      <c r="U1074">
        <v>0</v>
      </c>
      <c r="V1074" t="s">
        <v>38</v>
      </c>
      <c r="W1074">
        <v>13</v>
      </c>
      <c r="X1074">
        <v>3</v>
      </c>
      <c r="Y1074">
        <v>3</v>
      </c>
      <c r="Z1074">
        <v>3</v>
      </c>
      <c r="AA1074">
        <v>4</v>
      </c>
      <c r="AB1074" t="str">
        <f>IF(Table2[[#This Row],[TotalWorkingYears]]&lt;=5,"Early (0-5)",IF(Table2[[#This Row],[TotalWorkingYears]]&lt;=15,"Mid (6-15)","Senior (16+)"))</f>
        <v>Early (0-5)</v>
      </c>
      <c r="AC1074">
        <v>3</v>
      </c>
      <c r="AD1074">
        <v>3</v>
      </c>
      <c r="AE1074" t="s">
        <v>64</v>
      </c>
      <c r="AF1074">
        <v>2</v>
      </c>
      <c r="AG1074">
        <v>0</v>
      </c>
      <c r="AH1074">
        <v>2</v>
      </c>
    </row>
    <row r="1075" spans="1:34" x14ac:dyDescent="0.3">
      <c r="A1075" t="s">
        <v>59</v>
      </c>
      <c r="B1075">
        <v>0</v>
      </c>
      <c r="C1075" t="s">
        <v>32</v>
      </c>
      <c r="D1075">
        <v>1083</v>
      </c>
      <c r="E1075" t="s">
        <v>40</v>
      </c>
      <c r="F1075">
        <v>29</v>
      </c>
      <c r="G1075" t="str">
        <f>IF(Table2[[#This Row],[DistanceFromHome]]&lt;=5, "short", IF(Table2[[#This Row],[DistanceFromHome]]&lt;=15, "medium", "long"))</f>
        <v>long</v>
      </c>
      <c r="H1075">
        <v>1</v>
      </c>
      <c r="I1075" t="s">
        <v>34</v>
      </c>
      <c r="J1075">
        <v>1514</v>
      </c>
      <c r="K1075">
        <v>3</v>
      </c>
      <c r="L1075" t="s">
        <v>41</v>
      </c>
      <c r="M1075">
        <v>96</v>
      </c>
      <c r="N1075">
        <v>1</v>
      </c>
      <c r="O1075">
        <v>2</v>
      </c>
      <c r="P1075" t="s">
        <v>48</v>
      </c>
      <c r="Q1075">
        <v>2</v>
      </c>
      <c r="R1075" t="s">
        <v>43</v>
      </c>
      <c r="S1075">
        <v>6549</v>
      </c>
      <c r="T1075">
        <v>3173</v>
      </c>
      <c r="U1075">
        <v>1</v>
      </c>
      <c r="V1075" t="s">
        <v>38</v>
      </c>
      <c r="W1075">
        <v>14</v>
      </c>
      <c r="X1075">
        <v>3</v>
      </c>
      <c r="Y1075">
        <v>2</v>
      </c>
      <c r="Z1075">
        <v>2</v>
      </c>
      <c r="AA1075">
        <v>8</v>
      </c>
      <c r="AB1075" t="str">
        <f>IF(Table2[[#This Row],[TotalWorkingYears]]&lt;=5,"Early (0-5)",IF(Table2[[#This Row],[TotalWorkingYears]]&lt;=15,"Mid (6-15)","Senior (16+)"))</f>
        <v>Mid (6-15)</v>
      </c>
      <c r="AC1075">
        <v>2</v>
      </c>
      <c r="AD1075">
        <v>2</v>
      </c>
      <c r="AE1075" t="s">
        <v>62</v>
      </c>
      <c r="AF1075">
        <v>6</v>
      </c>
      <c r="AG1075">
        <v>1</v>
      </c>
      <c r="AH1075">
        <v>7</v>
      </c>
    </row>
    <row r="1076" spans="1:34" x14ac:dyDescent="0.3">
      <c r="A1076" t="s">
        <v>59</v>
      </c>
      <c r="B1076">
        <v>0</v>
      </c>
      <c r="C1076" t="s">
        <v>32</v>
      </c>
      <c r="D1076">
        <v>516</v>
      </c>
      <c r="E1076" t="s">
        <v>40</v>
      </c>
      <c r="F1076">
        <v>8</v>
      </c>
      <c r="G1076" t="str">
        <f>IF(Table2[[#This Row],[DistanceFromHome]]&lt;=5, "short", IF(Table2[[#This Row],[DistanceFromHome]]&lt;=15, "medium", "long"))</f>
        <v>medium</v>
      </c>
      <c r="H1076">
        <v>5</v>
      </c>
      <c r="I1076" t="s">
        <v>34</v>
      </c>
      <c r="J1076">
        <v>1515</v>
      </c>
      <c r="K1076">
        <v>4</v>
      </c>
      <c r="L1076" t="s">
        <v>41</v>
      </c>
      <c r="M1076">
        <v>69</v>
      </c>
      <c r="N1076">
        <v>3</v>
      </c>
      <c r="O1076">
        <v>2</v>
      </c>
      <c r="P1076" t="s">
        <v>49</v>
      </c>
      <c r="Q1076">
        <v>3</v>
      </c>
      <c r="R1076" t="s">
        <v>37</v>
      </c>
      <c r="S1076">
        <v>6388</v>
      </c>
      <c r="T1076">
        <v>22049</v>
      </c>
      <c r="U1076">
        <v>2</v>
      </c>
      <c r="V1076" t="s">
        <v>31</v>
      </c>
      <c r="W1076">
        <v>17</v>
      </c>
      <c r="X1076">
        <v>3</v>
      </c>
      <c r="Y1076">
        <v>1</v>
      </c>
      <c r="Z1076">
        <v>0</v>
      </c>
      <c r="AA1076">
        <v>14</v>
      </c>
      <c r="AB1076" t="str">
        <f>IF(Table2[[#This Row],[TotalWorkingYears]]&lt;=5,"Early (0-5)",IF(Table2[[#This Row],[TotalWorkingYears]]&lt;=15,"Mid (6-15)","Senior (16+)"))</f>
        <v>Mid (6-15)</v>
      </c>
      <c r="AC1076">
        <v>6</v>
      </c>
      <c r="AD1076">
        <v>3</v>
      </c>
      <c r="AE1076" t="s">
        <v>63</v>
      </c>
      <c r="AF1076">
        <v>0</v>
      </c>
      <c r="AG1076">
        <v>0</v>
      </c>
      <c r="AH1076">
        <v>0</v>
      </c>
    </row>
    <row r="1077" spans="1:34" x14ac:dyDescent="0.3">
      <c r="A1077" t="s">
        <v>59</v>
      </c>
      <c r="B1077">
        <v>0</v>
      </c>
      <c r="C1077" t="s">
        <v>32</v>
      </c>
      <c r="D1077">
        <v>495</v>
      </c>
      <c r="E1077" t="s">
        <v>40</v>
      </c>
      <c r="F1077">
        <v>10</v>
      </c>
      <c r="G1077" t="str">
        <f>IF(Table2[[#This Row],[DistanceFromHome]]&lt;=5, "short", IF(Table2[[#This Row],[DistanceFromHome]]&lt;=15, "medium", "long"))</f>
        <v>medium</v>
      </c>
      <c r="H1077">
        <v>3</v>
      </c>
      <c r="I1077" t="s">
        <v>46</v>
      </c>
      <c r="J1077">
        <v>1516</v>
      </c>
      <c r="K1077">
        <v>3</v>
      </c>
      <c r="L1077" t="s">
        <v>41</v>
      </c>
      <c r="M1077">
        <v>64</v>
      </c>
      <c r="N1077">
        <v>3</v>
      </c>
      <c r="O1077">
        <v>3</v>
      </c>
      <c r="P1077" t="s">
        <v>51</v>
      </c>
      <c r="Q1077">
        <v>4</v>
      </c>
      <c r="R1077" t="s">
        <v>37</v>
      </c>
      <c r="S1077">
        <v>11244</v>
      </c>
      <c r="T1077">
        <v>21072</v>
      </c>
      <c r="U1077">
        <v>2</v>
      </c>
      <c r="V1077" t="s">
        <v>38</v>
      </c>
      <c r="W1077">
        <v>25</v>
      </c>
      <c r="X1077">
        <v>4</v>
      </c>
      <c r="Y1077">
        <v>2</v>
      </c>
      <c r="Z1077">
        <v>0</v>
      </c>
      <c r="AA1077">
        <v>10</v>
      </c>
      <c r="AB1077" t="str">
        <f>IF(Table2[[#This Row],[TotalWorkingYears]]&lt;=5,"Early (0-5)",IF(Table2[[#This Row],[TotalWorkingYears]]&lt;=15,"Mid (6-15)","Senior (16+)"))</f>
        <v>Mid (6-15)</v>
      </c>
      <c r="AC1077">
        <v>5</v>
      </c>
      <c r="AD1077">
        <v>4</v>
      </c>
      <c r="AE1077" t="s">
        <v>64</v>
      </c>
      <c r="AF1077">
        <v>2</v>
      </c>
      <c r="AG1077">
        <v>0</v>
      </c>
      <c r="AH1077">
        <v>0</v>
      </c>
    </row>
    <row r="1078" spans="1:34" x14ac:dyDescent="0.3">
      <c r="A1078" t="s">
        <v>58</v>
      </c>
      <c r="B1078">
        <v>0</v>
      </c>
      <c r="C1078" t="s">
        <v>39</v>
      </c>
      <c r="D1078">
        <v>1050</v>
      </c>
      <c r="E1078" t="s">
        <v>40</v>
      </c>
      <c r="F1078">
        <v>11</v>
      </c>
      <c r="G1078" t="str">
        <f>IF(Table2[[#This Row],[DistanceFromHome]]&lt;=5, "short", IF(Table2[[#This Row],[DistanceFromHome]]&lt;=15, "medium", "long"))</f>
        <v>medium</v>
      </c>
      <c r="H1078">
        <v>4</v>
      </c>
      <c r="I1078" t="s">
        <v>46</v>
      </c>
      <c r="J1078">
        <v>1520</v>
      </c>
      <c r="K1078">
        <v>2</v>
      </c>
      <c r="L1078" t="s">
        <v>35</v>
      </c>
      <c r="M1078">
        <v>87</v>
      </c>
      <c r="N1078">
        <v>3</v>
      </c>
      <c r="O1078">
        <v>4</v>
      </c>
      <c r="P1078" t="s">
        <v>51</v>
      </c>
      <c r="Q1078">
        <v>4</v>
      </c>
      <c r="R1078" t="s">
        <v>47</v>
      </c>
      <c r="S1078">
        <v>16032</v>
      </c>
      <c r="T1078">
        <v>24456</v>
      </c>
      <c r="U1078">
        <v>3</v>
      </c>
      <c r="V1078" t="s">
        <v>38</v>
      </c>
      <c r="W1078">
        <v>20</v>
      </c>
      <c r="X1078">
        <v>4</v>
      </c>
      <c r="Y1078">
        <v>1</v>
      </c>
      <c r="Z1078">
        <v>1</v>
      </c>
      <c r="AA1078">
        <v>26</v>
      </c>
      <c r="AB1078" t="str">
        <f>IF(Table2[[#This Row],[TotalWorkingYears]]&lt;=5,"Early (0-5)",IF(Table2[[#This Row],[TotalWorkingYears]]&lt;=15,"Mid (6-15)","Senior (16+)"))</f>
        <v>Senior (16+)</v>
      </c>
      <c r="AC1078">
        <v>2</v>
      </c>
      <c r="AD1078">
        <v>3</v>
      </c>
      <c r="AE1078" t="s">
        <v>65</v>
      </c>
      <c r="AF1078">
        <v>9</v>
      </c>
      <c r="AG1078">
        <v>1</v>
      </c>
      <c r="AH1078">
        <v>12</v>
      </c>
    </row>
    <row r="1079" spans="1:34" x14ac:dyDescent="0.3">
      <c r="A1079" t="s">
        <v>59</v>
      </c>
      <c r="B1079">
        <v>1</v>
      </c>
      <c r="C1079" t="s">
        <v>32</v>
      </c>
      <c r="D1079">
        <v>224</v>
      </c>
      <c r="E1079" t="s">
        <v>40</v>
      </c>
      <c r="F1079">
        <v>1</v>
      </c>
      <c r="G1079" t="str">
        <f>IF(Table2[[#This Row],[DistanceFromHome]]&lt;=5, "short", IF(Table2[[#This Row],[DistanceFromHome]]&lt;=15, "medium", "long"))</f>
        <v>short</v>
      </c>
      <c r="H1079">
        <v>4</v>
      </c>
      <c r="I1079" t="s">
        <v>55</v>
      </c>
      <c r="J1079">
        <v>1522</v>
      </c>
      <c r="K1079">
        <v>1</v>
      </c>
      <c r="L1079" t="s">
        <v>41</v>
      </c>
      <c r="M1079">
        <v>100</v>
      </c>
      <c r="N1079">
        <v>2</v>
      </c>
      <c r="O1079">
        <v>1</v>
      </c>
      <c r="P1079" t="s">
        <v>42</v>
      </c>
      <c r="Q1079">
        <v>1</v>
      </c>
      <c r="R1079" t="s">
        <v>37</v>
      </c>
      <c r="S1079">
        <v>2362</v>
      </c>
      <c r="T1079">
        <v>7568</v>
      </c>
      <c r="U1079">
        <v>6</v>
      </c>
      <c r="V1079" t="s">
        <v>38</v>
      </c>
      <c r="W1079">
        <v>13</v>
      </c>
      <c r="X1079">
        <v>3</v>
      </c>
      <c r="Y1079">
        <v>3</v>
      </c>
      <c r="Z1079">
        <v>0</v>
      </c>
      <c r="AA1079">
        <v>11</v>
      </c>
      <c r="AB1079" t="str">
        <f>IF(Table2[[#This Row],[TotalWorkingYears]]&lt;=5,"Early (0-5)",IF(Table2[[#This Row],[TotalWorkingYears]]&lt;=15,"Mid (6-15)","Senior (16+)"))</f>
        <v>Mid (6-15)</v>
      </c>
      <c r="AC1079">
        <v>2</v>
      </c>
      <c r="AD1079">
        <v>1</v>
      </c>
      <c r="AE1079" t="s">
        <v>62</v>
      </c>
      <c r="AF1079">
        <v>7</v>
      </c>
      <c r="AG1079">
        <v>0</v>
      </c>
      <c r="AH1079">
        <v>7</v>
      </c>
    </row>
    <row r="1080" spans="1:34" x14ac:dyDescent="0.3">
      <c r="A1080" t="s">
        <v>57</v>
      </c>
      <c r="B1080">
        <v>0</v>
      </c>
      <c r="C1080" t="s">
        <v>32</v>
      </c>
      <c r="D1080">
        <v>136</v>
      </c>
      <c r="E1080" t="s">
        <v>40</v>
      </c>
      <c r="F1080">
        <v>28</v>
      </c>
      <c r="G1080" t="str">
        <f>IF(Table2[[#This Row],[DistanceFromHome]]&lt;=5, "short", IF(Table2[[#This Row],[DistanceFromHome]]&lt;=15, "medium", "long"))</f>
        <v>long</v>
      </c>
      <c r="H1080">
        <v>3</v>
      </c>
      <c r="I1080" t="s">
        <v>34</v>
      </c>
      <c r="J1080">
        <v>1523</v>
      </c>
      <c r="K1080">
        <v>4</v>
      </c>
      <c r="L1080" t="s">
        <v>41</v>
      </c>
      <c r="M1080">
        <v>32</v>
      </c>
      <c r="N1080">
        <v>3</v>
      </c>
      <c r="O1080">
        <v>4</v>
      </c>
      <c r="P1080" t="s">
        <v>53</v>
      </c>
      <c r="Q1080">
        <v>1</v>
      </c>
      <c r="R1080" t="s">
        <v>43</v>
      </c>
      <c r="S1080">
        <v>16328</v>
      </c>
      <c r="T1080">
        <v>22074</v>
      </c>
      <c r="U1080">
        <v>3</v>
      </c>
      <c r="V1080" t="s">
        <v>38</v>
      </c>
      <c r="W1080">
        <v>13</v>
      </c>
      <c r="X1080">
        <v>3</v>
      </c>
      <c r="Y1080">
        <v>3</v>
      </c>
      <c r="Z1080">
        <v>1</v>
      </c>
      <c r="AA1080">
        <v>24</v>
      </c>
      <c r="AB1080" t="str">
        <f>IF(Table2[[#This Row],[TotalWorkingYears]]&lt;=5,"Early (0-5)",IF(Table2[[#This Row],[TotalWorkingYears]]&lt;=15,"Mid (6-15)","Senior (16+)"))</f>
        <v>Senior (16+)</v>
      </c>
      <c r="AC1080">
        <v>1</v>
      </c>
      <c r="AD1080">
        <v>4</v>
      </c>
      <c r="AE1080" t="s">
        <v>65</v>
      </c>
      <c r="AF1080">
        <v>6</v>
      </c>
      <c r="AG1080">
        <v>14</v>
      </c>
      <c r="AH1080">
        <v>17</v>
      </c>
    </row>
    <row r="1081" spans="1:34" x14ac:dyDescent="0.3">
      <c r="A1081" t="s">
        <v>57</v>
      </c>
      <c r="B1081">
        <v>0</v>
      </c>
      <c r="C1081" t="s">
        <v>32</v>
      </c>
      <c r="D1081">
        <v>1089</v>
      </c>
      <c r="E1081" t="s">
        <v>40</v>
      </c>
      <c r="F1081">
        <v>6</v>
      </c>
      <c r="G1081" t="str">
        <f>IF(Table2[[#This Row],[DistanceFromHome]]&lt;=5, "short", IF(Table2[[#This Row],[DistanceFromHome]]&lt;=15, "medium", "long"))</f>
        <v>medium</v>
      </c>
      <c r="H1081">
        <v>3</v>
      </c>
      <c r="I1081" t="s">
        <v>34</v>
      </c>
      <c r="J1081">
        <v>1525</v>
      </c>
      <c r="K1081">
        <v>2</v>
      </c>
      <c r="L1081" t="s">
        <v>35</v>
      </c>
      <c r="M1081">
        <v>32</v>
      </c>
      <c r="N1081">
        <v>3</v>
      </c>
      <c r="O1081">
        <v>3</v>
      </c>
      <c r="P1081" t="s">
        <v>48</v>
      </c>
      <c r="Q1081">
        <v>2</v>
      </c>
      <c r="R1081" t="s">
        <v>37</v>
      </c>
      <c r="S1081">
        <v>8376</v>
      </c>
      <c r="T1081">
        <v>9150</v>
      </c>
      <c r="U1081">
        <v>4</v>
      </c>
      <c r="V1081" t="s">
        <v>38</v>
      </c>
      <c r="W1081">
        <v>18</v>
      </c>
      <c r="X1081">
        <v>3</v>
      </c>
      <c r="Y1081">
        <v>4</v>
      </c>
      <c r="Z1081">
        <v>0</v>
      </c>
      <c r="AA1081">
        <v>9</v>
      </c>
      <c r="AB1081" t="str">
        <f>IF(Table2[[#This Row],[TotalWorkingYears]]&lt;=5,"Early (0-5)",IF(Table2[[#This Row],[TotalWorkingYears]]&lt;=15,"Mid (6-15)","Senior (16+)"))</f>
        <v>Mid (6-15)</v>
      </c>
      <c r="AC1081">
        <v>3</v>
      </c>
      <c r="AD1081">
        <v>3</v>
      </c>
      <c r="AE1081" t="s">
        <v>63</v>
      </c>
      <c r="AF1081">
        <v>0</v>
      </c>
      <c r="AG1081">
        <v>2</v>
      </c>
      <c r="AH1081">
        <v>2</v>
      </c>
    </row>
    <row r="1082" spans="1:34" x14ac:dyDescent="0.3">
      <c r="A1082" t="s">
        <v>58</v>
      </c>
      <c r="B1082">
        <v>0</v>
      </c>
      <c r="C1082" t="s">
        <v>32</v>
      </c>
      <c r="D1082">
        <v>228</v>
      </c>
      <c r="E1082" t="s">
        <v>33</v>
      </c>
      <c r="F1082">
        <v>3</v>
      </c>
      <c r="G1082" t="str">
        <f>IF(Table2[[#This Row],[DistanceFromHome]]&lt;=5, "short", IF(Table2[[#This Row],[DistanceFromHome]]&lt;=15, "medium", "long"))</f>
        <v>short</v>
      </c>
      <c r="H1082">
        <v>3</v>
      </c>
      <c r="I1082" t="s">
        <v>34</v>
      </c>
      <c r="J1082">
        <v>1527</v>
      </c>
      <c r="K1082">
        <v>3</v>
      </c>
      <c r="L1082" t="s">
        <v>35</v>
      </c>
      <c r="M1082">
        <v>51</v>
      </c>
      <c r="N1082">
        <v>3</v>
      </c>
      <c r="O1082">
        <v>4</v>
      </c>
      <c r="P1082" t="s">
        <v>51</v>
      </c>
      <c r="Q1082">
        <v>2</v>
      </c>
      <c r="R1082" t="s">
        <v>43</v>
      </c>
      <c r="S1082">
        <v>16606</v>
      </c>
      <c r="T1082">
        <v>11380</v>
      </c>
      <c r="U1082">
        <v>8</v>
      </c>
      <c r="V1082" t="s">
        <v>38</v>
      </c>
      <c r="W1082">
        <v>12</v>
      </c>
      <c r="X1082">
        <v>3</v>
      </c>
      <c r="Y1082">
        <v>4</v>
      </c>
      <c r="Z1082">
        <v>1</v>
      </c>
      <c r="AA1082">
        <v>23</v>
      </c>
      <c r="AB1082" t="str">
        <f>IF(Table2[[#This Row],[TotalWorkingYears]]&lt;=5,"Early (0-5)",IF(Table2[[#This Row],[TotalWorkingYears]]&lt;=15,"Mid (6-15)","Senior (16+)"))</f>
        <v>Senior (16+)</v>
      </c>
      <c r="AC1082">
        <v>2</v>
      </c>
      <c r="AD1082">
        <v>4</v>
      </c>
      <c r="AE1082" t="s">
        <v>65</v>
      </c>
      <c r="AF1082">
        <v>12</v>
      </c>
      <c r="AG1082">
        <v>5</v>
      </c>
      <c r="AH1082">
        <v>1</v>
      </c>
    </row>
    <row r="1083" spans="1:34" x14ac:dyDescent="0.3">
      <c r="A1083" t="s">
        <v>59</v>
      </c>
      <c r="B1083">
        <v>0</v>
      </c>
      <c r="C1083" t="s">
        <v>32</v>
      </c>
      <c r="D1083">
        <v>1029</v>
      </c>
      <c r="E1083" t="s">
        <v>40</v>
      </c>
      <c r="F1083">
        <v>16</v>
      </c>
      <c r="G1083" t="str">
        <f>IF(Table2[[#This Row],[DistanceFromHome]]&lt;=5, "short", IF(Table2[[#This Row],[DistanceFromHome]]&lt;=15, "medium", "long"))</f>
        <v>long</v>
      </c>
      <c r="H1083">
        <v>3</v>
      </c>
      <c r="I1083" t="s">
        <v>34</v>
      </c>
      <c r="J1083">
        <v>1529</v>
      </c>
      <c r="K1083">
        <v>4</v>
      </c>
      <c r="L1083" t="s">
        <v>35</v>
      </c>
      <c r="M1083">
        <v>91</v>
      </c>
      <c r="N1083">
        <v>2</v>
      </c>
      <c r="O1083">
        <v>3</v>
      </c>
      <c r="P1083" t="s">
        <v>49</v>
      </c>
      <c r="Q1083">
        <v>2</v>
      </c>
      <c r="R1083" t="s">
        <v>37</v>
      </c>
      <c r="S1083">
        <v>8606</v>
      </c>
      <c r="T1083">
        <v>21195</v>
      </c>
      <c r="U1083">
        <v>1</v>
      </c>
      <c r="V1083" t="s">
        <v>38</v>
      </c>
      <c r="W1083">
        <v>19</v>
      </c>
      <c r="X1083">
        <v>3</v>
      </c>
      <c r="Y1083">
        <v>4</v>
      </c>
      <c r="Z1083">
        <v>0</v>
      </c>
      <c r="AA1083">
        <v>11</v>
      </c>
      <c r="AB1083" t="str">
        <f>IF(Table2[[#This Row],[TotalWorkingYears]]&lt;=5,"Early (0-5)",IF(Table2[[#This Row],[TotalWorkingYears]]&lt;=15,"Mid (6-15)","Senior (16+)"))</f>
        <v>Mid (6-15)</v>
      </c>
      <c r="AC1083">
        <v>3</v>
      </c>
      <c r="AD1083">
        <v>1</v>
      </c>
      <c r="AE1083" t="s">
        <v>65</v>
      </c>
      <c r="AF1083">
        <v>8</v>
      </c>
      <c r="AG1083">
        <v>3</v>
      </c>
      <c r="AH1083">
        <v>3</v>
      </c>
    </row>
    <row r="1084" spans="1:34" x14ac:dyDescent="0.3">
      <c r="A1084" t="s">
        <v>60</v>
      </c>
      <c r="B1084">
        <v>0</v>
      </c>
      <c r="C1084" t="s">
        <v>32</v>
      </c>
      <c r="D1084">
        <v>507</v>
      </c>
      <c r="E1084" t="s">
        <v>40</v>
      </c>
      <c r="F1084">
        <v>20</v>
      </c>
      <c r="G1084" t="str">
        <f>IF(Table2[[#This Row],[DistanceFromHome]]&lt;=5, "short", IF(Table2[[#This Row],[DistanceFromHome]]&lt;=15, "medium", "long"))</f>
        <v>long</v>
      </c>
      <c r="H1084">
        <v>1</v>
      </c>
      <c r="I1084" t="s">
        <v>34</v>
      </c>
      <c r="J1084">
        <v>1533</v>
      </c>
      <c r="K1084">
        <v>1</v>
      </c>
      <c r="L1084" t="s">
        <v>41</v>
      </c>
      <c r="M1084">
        <v>97</v>
      </c>
      <c r="N1084">
        <v>3</v>
      </c>
      <c r="O1084">
        <v>2</v>
      </c>
      <c r="P1084" t="s">
        <v>45</v>
      </c>
      <c r="Q1084">
        <v>3</v>
      </c>
      <c r="R1084" t="s">
        <v>37</v>
      </c>
      <c r="S1084">
        <v>2272</v>
      </c>
      <c r="T1084">
        <v>24812</v>
      </c>
      <c r="U1084">
        <v>0</v>
      </c>
      <c r="V1084" t="s">
        <v>38</v>
      </c>
      <c r="W1084">
        <v>14</v>
      </c>
      <c r="X1084">
        <v>3</v>
      </c>
      <c r="Y1084">
        <v>2</v>
      </c>
      <c r="Z1084">
        <v>0</v>
      </c>
      <c r="AA1084">
        <v>5</v>
      </c>
      <c r="AB1084" t="str">
        <f>IF(Table2[[#This Row],[TotalWorkingYears]]&lt;=5,"Early (0-5)",IF(Table2[[#This Row],[TotalWorkingYears]]&lt;=15,"Mid (6-15)","Senior (16+)"))</f>
        <v>Early (0-5)</v>
      </c>
      <c r="AC1084">
        <v>2</v>
      </c>
      <c r="AD1084">
        <v>3</v>
      </c>
      <c r="AE1084" t="s">
        <v>64</v>
      </c>
      <c r="AF1084">
        <v>3</v>
      </c>
      <c r="AG1084">
        <v>1</v>
      </c>
      <c r="AH1084">
        <v>2</v>
      </c>
    </row>
    <row r="1085" spans="1:34" x14ac:dyDescent="0.3">
      <c r="A1085" t="s">
        <v>57</v>
      </c>
      <c r="B1085">
        <v>1</v>
      </c>
      <c r="C1085" t="s">
        <v>32</v>
      </c>
      <c r="D1085">
        <v>676</v>
      </c>
      <c r="E1085" t="s">
        <v>40</v>
      </c>
      <c r="F1085">
        <v>9</v>
      </c>
      <c r="G1085" t="str">
        <f>IF(Table2[[#This Row],[DistanceFromHome]]&lt;=5, "short", IF(Table2[[#This Row],[DistanceFromHome]]&lt;=15, "medium", "long"))</f>
        <v>medium</v>
      </c>
      <c r="H1085">
        <v>4</v>
      </c>
      <c r="I1085" t="s">
        <v>34</v>
      </c>
      <c r="J1085">
        <v>1534</v>
      </c>
      <c r="K1085">
        <v>4</v>
      </c>
      <c r="L1085" t="s">
        <v>41</v>
      </c>
      <c r="M1085">
        <v>86</v>
      </c>
      <c r="N1085">
        <v>3</v>
      </c>
      <c r="O1085">
        <v>1</v>
      </c>
      <c r="P1085" t="s">
        <v>45</v>
      </c>
      <c r="Q1085">
        <v>1</v>
      </c>
      <c r="R1085" t="s">
        <v>37</v>
      </c>
      <c r="S1085">
        <v>2018</v>
      </c>
      <c r="T1085">
        <v>21831</v>
      </c>
      <c r="U1085">
        <v>3</v>
      </c>
      <c r="V1085" t="s">
        <v>38</v>
      </c>
      <c r="W1085">
        <v>14</v>
      </c>
      <c r="X1085">
        <v>3</v>
      </c>
      <c r="Y1085">
        <v>2</v>
      </c>
      <c r="Z1085">
        <v>0</v>
      </c>
      <c r="AA1085">
        <v>15</v>
      </c>
      <c r="AB1085" t="str">
        <f>IF(Table2[[#This Row],[TotalWorkingYears]]&lt;=5,"Early (0-5)",IF(Table2[[#This Row],[TotalWorkingYears]]&lt;=15,"Mid (6-15)","Senior (16+)"))</f>
        <v>Mid (6-15)</v>
      </c>
      <c r="AC1085">
        <v>3</v>
      </c>
      <c r="AD1085">
        <v>1</v>
      </c>
      <c r="AE1085" t="s">
        <v>64</v>
      </c>
      <c r="AF1085">
        <v>4</v>
      </c>
      <c r="AG1085">
        <v>1</v>
      </c>
      <c r="AH1085">
        <v>0</v>
      </c>
    </row>
    <row r="1086" spans="1:34" x14ac:dyDescent="0.3">
      <c r="A1086" t="s">
        <v>59</v>
      </c>
      <c r="B1086">
        <v>0</v>
      </c>
      <c r="C1086" t="s">
        <v>32</v>
      </c>
      <c r="D1086">
        <v>971</v>
      </c>
      <c r="E1086" t="s">
        <v>33</v>
      </c>
      <c r="F1086">
        <v>1</v>
      </c>
      <c r="G1086" t="str">
        <f>IF(Table2[[#This Row],[DistanceFromHome]]&lt;=5, "short", IF(Table2[[#This Row],[DistanceFromHome]]&lt;=15, "medium", "long"))</f>
        <v>short</v>
      </c>
      <c r="H1086">
        <v>3</v>
      </c>
      <c r="I1086" t="s">
        <v>55</v>
      </c>
      <c r="J1086">
        <v>1535</v>
      </c>
      <c r="K1086">
        <v>4</v>
      </c>
      <c r="L1086" t="s">
        <v>41</v>
      </c>
      <c r="M1086">
        <v>64</v>
      </c>
      <c r="N1086">
        <v>2</v>
      </c>
      <c r="O1086">
        <v>3</v>
      </c>
      <c r="P1086" t="s">
        <v>36</v>
      </c>
      <c r="Q1086">
        <v>3</v>
      </c>
      <c r="R1086" t="s">
        <v>43</v>
      </c>
      <c r="S1086">
        <v>7083</v>
      </c>
      <c r="T1086">
        <v>12288</v>
      </c>
      <c r="U1086">
        <v>1</v>
      </c>
      <c r="V1086" t="s">
        <v>31</v>
      </c>
      <c r="W1086">
        <v>14</v>
      </c>
      <c r="X1086">
        <v>3</v>
      </c>
      <c r="Y1086">
        <v>4</v>
      </c>
      <c r="Z1086">
        <v>0</v>
      </c>
      <c r="AA1086">
        <v>10</v>
      </c>
      <c r="AB1086" t="str">
        <f>IF(Table2[[#This Row],[TotalWorkingYears]]&lt;=5,"Early (0-5)",IF(Table2[[#This Row],[TotalWorkingYears]]&lt;=15,"Mid (6-15)","Senior (16+)"))</f>
        <v>Mid (6-15)</v>
      </c>
      <c r="AC1086">
        <v>3</v>
      </c>
      <c r="AD1086">
        <v>3</v>
      </c>
      <c r="AE1086" t="s">
        <v>62</v>
      </c>
      <c r="AF1086">
        <v>9</v>
      </c>
      <c r="AG1086">
        <v>8</v>
      </c>
      <c r="AH1086">
        <v>6</v>
      </c>
    </row>
    <row r="1087" spans="1:34" x14ac:dyDescent="0.3">
      <c r="A1087" t="s">
        <v>59</v>
      </c>
      <c r="B1087">
        <v>1</v>
      </c>
      <c r="C1087" t="s">
        <v>39</v>
      </c>
      <c r="D1087">
        <v>561</v>
      </c>
      <c r="E1087" t="s">
        <v>40</v>
      </c>
      <c r="F1087">
        <v>3</v>
      </c>
      <c r="G1087" t="str">
        <f>IF(Table2[[#This Row],[DistanceFromHome]]&lt;=5, "short", IF(Table2[[#This Row],[DistanceFromHome]]&lt;=15, "medium", "long"))</f>
        <v>short</v>
      </c>
      <c r="H1087">
        <v>3</v>
      </c>
      <c r="I1087" t="s">
        <v>34</v>
      </c>
      <c r="J1087">
        <v>1537</v>
      </c>
      <c r="K1087">
        <v>4</v>
      </c>
      <c r="L1087" t="s">
        <v>35</v>
      </c>
      <c r="M1087">
        <v>33</v>
      </c>
      <c r="N1087">
        <v>3</v>
      </c>
      <c r="O1087">
        <v>1</v>
      </c>
      <c r="P1087" t="s">
        <v>42</v>
      </c>
      <c r="Q1087">
        <v>3</v>
      </c>
      <c r="R1087" t="s">
        <v>37</v>
      </c>
      <c r="S1087">
        <v>4084</v>
      </c>
      <c r="T1087">
        <v>4156</v>
      </c>
      <c r="U1087">
        <v>1</v>
      </c>
      <c r="V1087" t="s">
        <v>38</v>
      </c>
      <c r="W1087">
        <v>12</v>
      </c>
      <c r="X1087">
        <v>3</v>
      </c>
      <c r="Y1087">
        <v>1</v>
      </c>
      <c r="Z1087">
        <v>0</v>
      </c>
      <c r="AA1087">
        <v>7</v>
      </c>
      <c r="AB1087" t="str">
        <f>IF(Table2[[#This Row],[TotalWorkingYears]]&lt;=5,"Early (0-5)",IF(Table2[[#This Row],[TotalWorkingYears]]&lt;=15,"Mid (6-15)","Senior (16+)"))</f>
        <v>Mid (6-15)</v>
      </c>
      <c r="AC1087">
        <v>2</v>
      </c>
      <c r="AD1087">
        <v>1</v>
      </c>
      <c r="AE1087" t="s">
        <v>62</v>
      </c>
      <c r="AF1087">
        <v>2</v>
      </c>
      <c r="AG1087">
        <v>7</v>
      </c>
      <c r="AH1087">
        <v>7</v>
      </c>
    </row>
    <row r="1088" spans="1:34" x14ac:dyDescent="0.3">
      <c r="A1088" t="s">
        <v>58</v>
      </c>
      <c r="B1088">
        <v>0</v>
      </c>
      <c r="C1088" t="s">
        <v>39</v>
      </c>
      <c r="D1088">
        <v>333</v>
      </c>
      <c r="E1088" t="s">
        <v>40</v>
      </c>
      <c r="F1088">
        <v>22</v>
      </c>
      <c r="G1088" t="str">
        <f>IF(Table2[[#This Row],[DistanceFromHome]]&lt;=5, "short", IF(Table2[[#This Row],[DistanceFromHome]]&lt;=15, "medium", "long"))</f>
        <v>long</v>
      </c>
      <c r="H1088">
        <v>5</v>
      </c>
      <c r="I1088" t="s">
        <v>46</v>
      </c>
      <c r="J1088">
        <v>1539</v>
      </c>
      <c r="K1088">
        <v>3</v>
      </c>
      <c r="L1088" t="s">
        <v>41</v>
      </c>
      <c r="M1088">
        <v>88</v>
      </c>
      <c r="N1088">
        <v>1</v>
      </c>
      <c r="O1088">
        <v>4</v>
      </c>
      <c r="P1088" t="s">
        <v>53</v>
      </c>
      <c r="Q1088">
        <v>4</v>
      </c>
      <c r="R1088" t="s">
        <v>37</v>
      </c>
      <c r="S1088">
        <v>14411</v>
      </c>
      <c r="T1088">
        <v>24450</v>
      </c>
      <c r="U1088">
        <v>1</v>
      </c>
      <c r="V1088" t="s">
        <v>31</v>
      </c>
      <c r="W1088">
        <v>13</v>
      </c>
      <c r="X1088">
        <v>3</v>
      </c>
      <c r="Y1088">
        <v>4</v>
      </c>
      <c r="Z1088">
        <v>0</v>
      </c>
      <c r="AA1088">
        <v>32</v>
      </c>
      <c r="AB1088" t="str">
        <f>IF(Table2[[#This Row],[TotalWorkingYears]]&lt;=5,"Early (0-5)",IF(Table2[[#This Row],[TotalWorkingYears]]&lt;=15,"Mid (6-15)","Senior (16+)"))</f>
        <v>Senior (16+)</v>
      </c>
      <c r="AC1088">
        <v>2</v>
      </c>
      <c r="AD1088">
        <v>3</v>
      </c>
      <c r="AE1088" t="s">
        <v>65</v>
      </c>
      <c r="AF1088">
        <v>6</v>
      </c>
      <c r="AG1088">
        <v>13</v>
      </c>
      <c r="AH1088">
        <v>9</v>
      </c>
    </row>
    <row r="1089" spans="1:34" x14ac:dyDescent="0.3">
      <c r="A1089" t="s">
        <v>59</v>
      </c>
      <c r="B1089">
        <v>0</v>
      </c>
      <c r="C1089" t="s">
        <v>32</v>
      </c>
      <c r="D1089">
        <v>1440</v>
      </c>
      <c r="E1089" t="s">
        <v>33</v>
      </c>
      <c r="F1089">
        <v>7</v>
      </c>
      <c r="G1089" t="str">
        <f>IF(Table2[[#This Row],[DistanceFromHome]]&lt;=5, "short", IF(Table2[[#This Row],[DistanceFromHome]]&lt;=15, "medium", "long"))</f>
        <v>medium</v>
      </c>
      <c r="H1089">
        <v>2</v>
      </c>
      <c r="I1089" t="s">
        <v>55</v>
      </c>
      <c r="J1089">
        <v>1541</v>
      </c>
      <c r="K1089">
        <v>2</v>
      </c>
      <c r="L1089" t="s">
        <v>41</v>
      </c>
      <c r="M1089">
        <v>55</v>
      </c>
      <c r="N1089">
        <v>3</v>
      </c>
      <c r="O1089">
        <v>1</v>
      </c>
      <c r="P1089" t="s">
        <v>52</v>
      </c>
      <c r="Q1089">
        <v>3</v>
      </c>
      <c r="R1089" t="s">
        <v>43</v>
      </c>
      <c r="S1089">
        <v>2308</v>
      </c>
      <c r="T1089">
        <v>4944</v>
      </c>
      <c r="U1089">
        <v>0</v>
      </c>
      <c r="V1089" t="s">
        <v>31</v>
      </c>
      <c r="W1089">
        <v>25</v>
      </c>
      <c r="X1089">
        <v>4</v>
      </c>
      <c r="Y1089">
        <v>2</v>
      </c>
      <c r="Z1089">
        <v>1</v>
      </c>
      <c r="AA1089">
        <v>12</v>
      </c>
      <c r="AB1089" t="str">
        <f>IF(Table2[[#This Row],[TotalWorkingYears]]&lt;=5,"Early (0-5)",IF(Table2[[#This Row],[TotalWorkingYears]]&lt;=15,"Mid (6-15)","Senior (16+)"))</f>
        <v>Mid (6-15)</v>
      </c>
      <c r="AC1089">
        <v>4</v>
      </c>
      <c r="AD1089">
        <v>3</v>
      </c>
      <c r="AE1089" t="s">
        <v>65</v>
      </c>
      <c r="AF1089">
        <v>10</v>
      </c>
      <c r="AG1089">
        <v>5</v>
      </c>
      <c r="AH1089">
        <v>7</v>
      </c>
    </row>
    <row r="1090" spans="1:34" x14ac:dyDescent="0.3">
      <c r="A1090" t="s">
        <v>57</v>
      </c>
      <c r="B1090">
        <v>0</v>
      </c>
      <c r="C1090" t="s">
        <v>32</v>
      </c>
      <c r="D1090">
        <v>1210</v>
      </c>
      <c r="E1090" t="s">
        <v>40</v>
      </c>
      <c r="F1090">
        <v>2</v>
      </c>
      <c r="G1090" t="str">
        <f>IF(Table2[[#This Row],[DistanceFromHome]]&lt;=5, "short", IF(Table2[[#This Row],[DistanceFromHome]]&lt;=15, "medium", "long"))</f>
        <v>short</v>
      </c>
      <c r="H1090">
        <v>3</v>
      </c>
      <c r="I1090" t="s">
        <v>46</v>
      </c>
      <c r="J1090">
        <v>1542</v>
      </c>
      <c r="K1090">
        <v>3</v>
      </c>
      <c r="L1090" t="s">
        <v>41</v>
      </c>
      <c r="M1090">
        <v>68</v>
      </c>
      <c r="N1090">
        <v>2</v>
      </c>
      <c r="O1090">
        <v>1</v>
      </c>
      <c r="P1090" t="s">
        <v>45</v>
      </c>
      <c r="Q1090">
        <v>2</v>
      </c>
      <c r="R1090" t="s">
        <v>43</v>
      </c>
      <c r="S1090">
        <v>4841</v>
      </c>
      <c r="T1090">
        <v>24052</v>
      </c>
      <c r="U1090">
        <v>4</v>
      </c>
      <c r="V1090" t="s">
        <v>38</v>
      </c>
      <c r="W1090">
        <v>14</v>
      </c>
      <c r="X1090">
        <v>3</v>
      </c>
      <c r="Y1090">
        <v>2</v>
      </c>
      <c r="Z1090">
        <v>1</v>
      </c>
      <c r="AA1090">
        <v>4</v>
      </c>
      <c r="AB1090" t="str">
        <f>IF(Table2[[#This Row],[TotalWorkingYears]]&lt;=5,"Early (0-5)",IF(Table2[[#This Row],[TotalWorkingYears]]&lt;=15,"Mid (6-15)","Senior (16+)"))</f>
        <v>Early (0-5)</v>
      </c>
      <c r="AC1090">
        <v>3</v>
      </c>
      <c r="AD1090">
        <v>3</v>
      </c>
      <c r="AE1090" t="s">
        <v>63</v>
      </c>
      <c r="AF1090">
        <v>0</v>
      </c>
      <c r="AG1090">
        <v>0</v>
      </c>
      <c r="AH1090">
        <v>0</v>
      </c>
    </row>
    <row r="1091" spans="1:34" x14ac:dyDescent="0.3">
      <c r="A1091" t="s">
        <v>57</v>
      </c>
      <c r="B1091">
        <v>0</v>
      </c>
      <c r="C1091" t="s">
        <v>32</v>
      </c>
      <c r="D1091">
        <v>674</v>
      </c>
      <c r="E1091" t="s">
        <v>40</v>
      </c>
      <c r="F1091">
        <v>13</v>
      </c>
      <c r="G1091" t="str">
        <f>IF(Table2[[#This Row],[DistanceFromHome]]&lt;=5, "short", IF(Table2[[#This Row],[DistanceFromHome]]&lt;=15, "medium", "long"))</f>
        <v>medium</v>
      </c>
      <c r="H1091">
        <v>3</v>
      </c>
      <c r="I1091" t="s">
        <v>46</v>
      </c>
      <c r="J1091">
        <v>1543</v>
      </c>
      <c r="K1091">
        <v>1</v>
      </c>
      <c r="L1091" t="s">
        <v>41</v>
      </c>
      <c r="M1091">
        <v>47</v>
      </c>
      <c r="N1091">
        <v>3</v>
      </c>
      <c r="O1091">
        <v>2</v>
      </c>
      <c r="P1091" t="s">
        <v>42</v>
      </c>
      <c r="Q1091">
        <v>4</v>
      </c>
      <c r="R1091" t="s">
        <v>43</v>
      </c>
      <c r="S1091">
        <v>4285</v>
      </c>
      <c r="T1091">
        <v>3031</v>
      </c>
      <c r="U1091">
        <v>1</v>
      </c>
      <c r="V1091" t="s">
        <v>38</v>
      </c>
      <c r="W1091">
        <v>17</v>
      </c>
      <c r="X1091">
        <v>3</v>
      </c>
      <c r="Y1091">
        <v>1</v>
      </c>
      <c r="Z1091">
        <v>0</v>
      </c>
      <c r="AA1091">
        <v>10</v>
      </c>
      <c r="AB1091" t="str">
        <f>IF(Table2[[#This Row],[TotalWorkingYears]]&lt;=5,"Early (0-5)",IF(Table2[[#This Row],[TotalWorkingYears]]&lt;=15,"Mid (6-15)","Senior (16+)"))</f>
        <v>Mid (6-15)</v>
      </c>
      <c r="AC1091">
        <v>2</v>
      </c>
      <c r="AD1091">
        <v>3</v>
      </c>
      <c r="AE1091" t="s">
        <v>62</v>
      </c>
      <c r="AF1091">
        <v>8</v>
      </c>
      <c r="AG1091">
        <v>3</v>
      </c>
      <c r="AH1091">
        <v>7</v>
      </c>
    </row>
    <row r="1092" spans="1:34" x14ac:dyDescent="0.3">
      <c r="A1092" t="s">
        <v>59</v>
      </c>
      <c r="B1092">
        <v>0</v>
      </c>
      <c r="C1092" t="s">
        <v>32</v>
      </c>
      <c r="D1092">
        <v>441</v>
      </c>
      <c r="E1092" t="s">
        <v>40</v>
      </c>
      <c r="F1092">
        <v>8</v>
      </c>
      <c r="G1092" t="str">
        <f>IF(Table2[[#This Row],[DistanceFromHome]]&lt;=5, "short", IF(Table2[[#This Row],[DistanceFromHome]]&lt;=15, "medium", "long"))</f>
        <v>medium</v>
      </c>
      <c r="H1092">
        <v>1</v>
      </c>
      <c r="I1092" t="s">
        <v>44</v>
      </c>
      <c r="J1092">
        <v>1544</v>
      </c>
      <c r="K1092">
        <v>3</v>
      </c>
      <c r="L1092" t="s">
        <v>35</v>
      </c>
      <c r="M1092">
        <v>39</v>
      </c>
      <c r="N1092">
        <v>1</v>
      </c>
      <c r="O1092">
        <v>2</v>
      </c>
      <c r="P1092" t="s">
        <v>49</v>
      </c>
      <c r="Q1092">
        <v>1</v>
      </c>
      <c r="R1092" t="s">
        <v>43</v>
      </c>
      <c r="S1092">
        <v>9715</v>
      </c>
      <c r="T1092">
        <v>7288</v>
      </c>
      <c r="U1092">
        <v>3</v>
      </c>
      <c r="V1092" t="s">
        <v>38</v>
      </c>
      <c r="W1092">
        <v>13</v>
      </c>
      <c r="X1092">
        <v>3</v>
      </c>
      <c r="Y1092">
        <v>3</v>
      </c>
      <c r="Z1092">
        <v>1</v>
      </c>
      <c r="AA1092">
        <v>9</v>
      </c>
      <c r="AB1092" t="str">
        <f>IF(Table2[[#This Row],[TotalWorkingYears]]&lt;=5,"Early (0-5)",IF(Table2[[#This Row],[TotalWorkingYears]]&lt;=15,"Mid (6-15)","Senior (16+)"))</f>
        <v>Mid (6-15)</v>
      </c>
      <c r="AC1092">
        <v>3</v>
      </c>
      <c r="AD1092">
        <v>3</v>
      </c>
      <c r="AE1092" t="s">
        <v>62</v>
      </c>
      <c r="AF1092">
        <v>7</v>
      </c>
      <c r="AG1092">
        <v>0</v>
      </c>
      <c r="AH1092">
        <v>7</v>
      </c>
    </row>
    <row r="1093" spans="1:34" x14ac:dyDescent="0.3">
      <c r="A1093" t="s">
        <v>59</v>
      </c>
      <c r="B1093">
        <v>0</v>
      </c>
      <c r="C1093" t="s">
        <v>32</v>
      </c>
      <c r="D1093">
        <v>575</v>
      </c>
      <c r="E1093" t="s">
        <v>40</v>
      </c>
      <c r="F1093">
        <v>25</v>
      </c>
      <c r="G1093" t="str">
        <f>IF(Table2[[#This Row],[DistanceFromHome]]&lt;=5, "short", IF(Table2[[#This Row],[DistanceFromHome]]&lt;=15, "medium", "long"))</f>
        <v>long</v>
      </c>
      <c r="H1093">
        <v>3</v>
      </c>
      <c r="I1093" t="s">
        <v>34</v>
      </c>
      <c r="J1093">
        <v>1545</v>
      </c>
      <c r="K1093">
        <v>4</v>
      </c>
      <c r="L1093" t="s">
        <v>41</v>
      </c>
      <c r="M1093">
        <v>44</v>
      </c>
      <c r="N1093">
        <v>2</v>
      </c>
      <c r="O1093">
        <v>2</v>
      </c>
      <c r="P1093" t="s">
        <v>48</v>
      </c>
      <c r="Q1093">
        <v>2</v>
      </c>
      <c r="R1093" t="s">
        <v>37</v>
      </c>
      <c r="S1093">
        <v>4320</v>
      </c>
      <c r="T1093">
        <v>24152</v>
      </c>
      <c r="U1093">
        <v>1</v>
      </c>
      <c r="V1093" t="s">
        <v>38</v>
      </c>
      <c r="W1093">
        <v>13</v>
      </c>
      <c r="X1093">
        <v>3</v>
      </c>
      <c r="Y1093">
        <v>4</v>
      </c>
      <c r="Z1093">
        <v>0</v>
      </c>
      <c r="AA1093">
        <v>5</v>
      </c>
      <c r="AB1093" t="str">
        <f>IF(Table2[[#This Row],[TotalWorkingYears]]&lt;=5,"Early (0-5)",IF(Table2[[#This Row],[TotalWorkingYears]]&lt;=15,"Mid (6-15)","Senior (16+)"))</f>
        <v>Early (0-5)</v>
      </c>
      <c r="AC1093">
        <v>2</v>
      </c>
      <c r="AD1093">
        <v>3</v>
      </c>
      <c r="AE1093" t="s">
        <v>64</v>
      </c>
      <c r="AF1093">
        <v>3</v>
      </c>
      <c r="AG1093">
        <v>0</v>
      </c>
      <c r="AH1093">
        <v>2</v>
      </c>
    </row>
    <row r="1094" spans="1:34" x14ac:dyDescent="0.3">
      <c r="A1094" t="s">
        <v>57</v>
      </c>
      <c r="B1094">
        <v>0</v>
      </c>
      <c r="C1094" t="s">
        <v>32</v>
      </c>
      <c r="D1094">
        <v>950</v>
      </c>
      <c r="E1094" t="s">
        <v>40</v>
      </c>
      <c r="F1094">
        <v>28</v>
      </c>
      <c r="G1094" t="str">
        <f>IF(Table2[[#This Row],[DistanceFromHome]]&lt;=5, "short", IF(Table2[[#This Row],[DistanceFromHome]]&lt;=15, "medium", "long"))</f>
        <v>long</v>
      </c>
      <c r="H1094">
        <v>3</v>
      </c>
      <c r="I1094" t="s">
        <v>55</v>
      </c>
      <c r="J1094">
        <v>1546</v>
      </c>
      <c r="K1094">
        <v>4</v>
      </c>
      <c r="L1094" t="s">
        <v>41</v>
      </c>
      <c r="M1094">
        <v>97</v>
      </c>
      <c r="N1094">
        <v>3</v>
      </c>
      <c r="O1094">
        <v>1</v>
      </c>
      <c r="P1094" t="s">
        <v>42</v>
      </c>
      <c r="Q1094">
        <v>4</v>
      </c>
      <c r="R1094" t="s">
        <v>43</v>
      </c>
      <c r="S1094">
        <v>2132</v>
      </c>
      <c r="T1094">
        <v>4585</v>
      </c>
      <c r="U1094">
        <v>4</v>
      </c>
      <c r="V1094" t="s">
        <v>38</v>
      </c>
      <c r="W1094">
        <v>20</v>
      </c>
      <c r="X1094">
        <v>4</v>
      </c>
      <c r="Y1094">
        <v>4</v>
      </c>
      <c r="Z1094">
        <v>1</v>
      </c>
      <c r="AA1094">
        <v>8</v>
      </c>
      <c r="AB1094" t="str">
        <f>IF(Table2[[#This Row],[TotalWorkingYears]]&lt;=5,"Early (0-5)",IF(Table2[[#This Row],[TotalWorkingYears]]&lt;=15,"Mid (6-15)","Senior (16+)"))</f>
        <v>Mid (6-15)</v>
      </c>
      <c r="AC1094">
        <v>3</v>
      </c>
      <c r="AD1094">
        <v>3</v>
      </c>
      <c r="AE1094" t="s">
        <v>64</v>
      </c>
      <c r="AF1094">
        <v>4</v>
      </c>
      <c r="AG1094">
        <v>0</v>
      </c>
      <c r="AH1094">
        <v>3</v>
      </c>
    </row>
    <row r="1095" spans="1:34" x14ac:dyDescent="0.3">
      <c r="A1095" t="s">
        <v>57</v>
      </c>
      <c r="B1095">
        <v>0</v>
      </c>
      <c r="C1095" t="s">
        <v>39</v>
      </c>
      <c r="D1095">
        <v>288</v>
      </c>
      <c r="E1095" t="s">
        <v>40</v>
      </c>
      <c r="F1095">
        <v>2</v>
      </c>
      <c r="G1095" t="str">
        <f>IF(Table2[[#This Row],[DistanceFromHome]]&lt;=5, "short", IF(Table2[[#This Row],[DistanceFromHome]]&lt;=15, "medium", "long"))</f>
        <v>short</v>
      </c>
      <c r="H1095">
        <v>3</v>
      </c>
      <c r="I1095" t="s">
        <v>34</v>
      </c>
      <c r="J1095">
        <v>1547</v>
      </c>
      <c r="K1095">
        <v>4</v>
      </c>
      <c r="L1095" t="s">
        <v>41</v>
      </c>
      <c r="M1095">
        <v>40</v>
      </c>
      <c r="N1095">
        <v>3</v>
      </c>
      <c r="O1095">
        <v>3</v>
      </c>
      <c r="P1095" t="s">
        <v>49</v>
      </c>
      <c r="Q1095">
        <v>4</v>
      </c>
      <c r="R1095" t="s">
        <v>43</v>
      </c>
      <c r="S1095">
        <v>10124</v>
      </c>
      <c r="T1095">
        <v>18611</v>
      </c>
      <c r="U1095">
        <v>2</v>
      </c>
      <c r="V1095" t="s">
        <v>31</v>
      </c>
      <c r="W1095">
        <v>14</v>
      </c>
      <c r="X1095">
        <v>3</v>
      </c>
      <c r="Y1095">
        <v>3</v>
      </c>
      <c r="Z1095">
        <v>1</v>
      </c>
      <c r="AA1095">
        <v>24</v>
      </c>
      <c r="AB1095" t="str">
        <f>IF(Table2[[#This Row],[TotalWorkingYears]]&lt;=5,"Early (0-5)",IF(Table2[[#This Row],[TotalWorkingYears]]&lt;=15,"Mid (6-15)","Senior (16+)"))</f>
        <v>Senior (16+)</v>
      </c>
      <c r="AC1095">
        <v>3</v>
      </c>
      <c r="AD1095">
        <v>1</v>
      </c>
      <c r="AE1095" t="s">
        <v>65</v>
      </c>
      <c r="AF1095">
        <v>8</v>
      </c>
      <c r="AG1095">
        <v>13</v>
      </c>
      <c r="AH1095">
        <v>9</v>
      </c>
    </row>
    <row r="1096" spans="1:34" x14ac:dyDescent="0.3">
      <c r="A1096" t="s">
        <v>57</v>
      </c>
      <c r="B1096">
        <v>0</v>
      </c>
      <c r="C1096" t="s">
        <v>32</v>
      </c>
      <c r="D1096">
        <v>1342</v>
      </c>
      <c r="E1096" t="s">
        <v>33</v>
      </c>
      <c r="F1096">
        <v>9</v>
      </c>
      <c r="G1096" t="str">
        <f>IF(Table2[[#This Row],[DistanceFromHome]]&lt;=5, "short", IF(Table2[[#This Row],[DistanceFromHome]]&lt;=15, "medium", "long"))</f>
        <v>medium</v>
      </c>
      <c r="H1096">
        <v>2</v>
      </c>
      <c r="I1096" t="s">
        <v>46</v>
      </c>
      <c r="J1096">
        <v>1548</v>
      </c>
      <c r="K1096">
        <v>1</v>
      </c>
      <c r="L1096" t="s">
        <v>41</v>
      </c>
      <c r="M1096">
        <v>47</v>
      </c>
      <c r="N1096">
        <v>3</v>
      </c>
      <c r="O1096">
        <v>2</v>
      </c>
      <c r="P1096" t="s">
        <v>36</v>
      </c>
      <c r="Q1096">
        <v>1</v>
      </c>
      <c r="R1096" t="s">
        <v>43</v>
      </c>
      <c r="S1096">
        <v>5473</v>
      </c>
      <c r="T1096">
        <v>19345</v>
      </c>
      <c r="U1096">
        <v>0</v>
      </c>
      <c r="V1096" t="s">
        <v>38</v>
      </c>
      <c r="W1096">
        <v>12</v>
      </c>
      <c r="X1096">
        <v>3</v>
      </c>
      <c r="Y1096">
        <v>4</v>
      </c>
      <c r="Z1096">
        <v>0</v>
      </c>
      <c r="AA1096">
        <v>9</v>
      </c>
      <c r="AB1096" t="str">
        <f>IF(Table2[[#This Row],[TotalWorkingYears]]&lt;=5,"Early (0-5)",IF(Table2[[#This Row],[TotalWorkingYears]]&lt;=15,"Mid (6-15)","Senior (16+)"))</f>
        <v>Mid (6-15)</v>
      </c>
      <c r="AC1096">
        <v>5</v>
      </c>
      <c r="AD1096">
        <v>4</v>
      </c>
      <c r="AE1096" t="s">
        <v>62</v>
      </c>
      <c r="AF1096">
        <v>4</v>
      </c>
      <c r="AG1096">
        <v>7</v>
      </c>
      <c r="AH1096">
        <v>1</v>
      </c>
    </row>
    <row r="1097" spans="1:34" x14ac:dyDescent="0.3">
      <c r="A1097" t="s">
        <v>59</v>
      </c>
      <c r="B1097">
        <v>0</v>
      </c>
      <c r="C1097" t="s">
        <v>32</v>
      </c>
      <c r="D1097">
        <v>589</v>
      </c>
      <c r="E1097" t="s">
        <v>40</v>
      </c>
      <c r="F1097">
        <v>28</v>
      </c>
      <c r="G1097" t="str">
        <f>IF(Table2[[#This Row],[DistanceFromHome]]&lt;=5, "short", IF(Table2[[#This Row],[DistanceFromHome]]&lt;=15, "medium", "long"))</f>
        <v>long</v>
      </c>
      <c r="H1097">
        <v>4</v>
      </c>
      <c r="I1097" t="s">
        <v>34</v>
      </c>
      <c r="J1097">
        <v>1549</v>
      </c>
      <c r="K1097">
        <v>2</v>
      </c>
      <c r="L1097" t="s">
        <v>41</v>
      </c>
      <c r="M1097">
        <v>79</v>
      </c>
      <c r="N1097">
        <v>3</v>
      </c>
      <c r="O1097">
        <v>2</v>
      </c>
      <c r="P1097" t="s">
        <v>45</v>
      </c>
      <c r="Q1097">
        <v>3</v>
      </c>
      <c r="R1097" t="s">
        <v>43</v>
      </c>
      <c r="S1097">
        <v>5207</v>
      </c>
      <c r="T1097">
        <v>22949</v>
      </c>
      <c r="U1097">
        <v>1</v>
      </c>
      <c r="V1097" t="s">
        <v>31</v>
      </c>
      <c r="W1097">
        <v>12</v>
      </c>
      <c r="X1097">
        <v>3</v>
      </c>
      <c r="Y1097">
        <v>2</v>
      </c>
      <c r="Z1097">
        <v>1</v>
      </c>
      <c r="AA1097">
        <v>15</v>
      </c>
      <c r="AB1097" t="str">
        <f>IF(Table2[[#This Row],[TotalWorkingYears]]&lt;=5,"Early (0-5)",IF(Table2[[#This Row],[TotalWorkingYears]]&lt;=15,"Mid (6-15)","Senior (16+)"))</f>
        <v>Mid (6-15)</v>
      </c>
      <c r="AC1097">
        <v>3</v>
      </c>
      <c r="AD1097">
        <v>3</v>
      </c>
      <c r="AE1097" t="s">
        <v>65</v>
      </c>
      <c r="AF1097">
        <v>14</v>
      </c>
      <c r="AG1097">
        <v>5</v>
      </c>
      <c r="AH1097">
        <v>7</v>
      </c>
    </row>
    <row r="1098" spans="1:34" x14ac:dyDescent="0.3">
      <c r="A1098" t="s">
        <v>57</v>
      </c>
      <c r="B1098">
        <v>0</v>
      </c>
      <c r="C1098" t="s">
        <v>32</v>
      </c>
      <c r="D1098">
        <v>898</v>
      </c>
      <c r="E1098" t="s">
        <v>56</v>
      </c>
      <c r="F1098">
        <v>6</v>
      </c>
      <c r="G1098" t="str">
        <f>IF(Table2[[#This Row],[DistanceFromHome]]&lt;=5, "short", IF(Table2[[#This Row],[DistanceFromHome]]&lt;=15, "medium", "long"))</f>
        <v>medium</v>
      </c>
      <c r="H1098">
        <v>2</v>
      </c>
      <c r="I1098" t="s">
        <v>46</v>
      </c>
      <c r="J1098">
        <v>1550</v>
      </c>
      <c r="K1098">
        <v>3</v>
      </c>
      <c r="L1098" t="s">
        <v>41</v>
      </c>
      <c r="M1098">
        <v>38</v>
      </c>
      <c r="N1098">
        <v>3</v>
      </c>
      <c r="O1098">
        <v>4</v>
      </c>
      <c r="P1098" t="s">
        <v>51</v>
      </c>
      <c r="Q1098">
        <v>4</v>
      </c>
      <c r="R1098" t="s">
        <v>37</v>
      </c>
      <c r="S1098">
        <v>16437</v>
      </c>
      <c r="T1098">
        <v>17381</v>
      </c>
      <c r="U1098">
        <v>1</v>
      </c>
      <c r="V1098" t="s">
        <v>31</v>
      </c>
      <c r="W1098">
        <v>21</v>
      </c>
      <c r="X1098">
        <v>4</v>
      </c>
      <c r="Y1098">
        <v>4</v>
      </c>
      <c r="Z1098">
        <v>0</v>
      </c>
      <c r="AA1098">
        <v>21</v>
      </c>
      <c r="AB1098" t="str">
        <f>IF(Table2[[#This Row],[TotalWorkingYears]]&lt;=5,"Early (0-5)",IF(Table2[[#This Row],[TotalWorkingYears]]&lt;=15,"Mid (6-15)","Senior (16+)"))</f>
        <v>Senior (16+)</v>
      </c>
      <c r="AC1098">
        <v>2</v>
      </c>
      <c r="AD1098">
        <v>3</v>
      </c>
      <c r="AE1098" t="s">
        <v>65</v>
      </c>
      <c r="AF1098">
        <v>7</v>
      </c>
      <c r="AG1098">
        <v>7</v>
      </c>
      <c r="AH1098">
        <v>7</v>
      </c>
    </row>
    <row r="1099" spans="1:34" x14ac:dyDescent="0.3">
      <c r="A1099" t="s">
        <v>60</v>
      </c>
      <c r="B1099">
        <v>0</v>
      </c>
      <c r="C1099" t="s">
        <v>32</v>
      </c>
      <c r="D1099">
        <v>350</v>
      </c>
      <c r="E1099" t="s">
        <v>40</v>
      </c>
      <c r="F1099">
        <v>21</v>
      </c>
      <c r="G1099" t="str">
        <f>IF(Table2[[#This Row],[DistanceFromHome]]&lt;=5, "short", IF(Table2[[#This Row],[DistanceFromHome]]&lt;=15, "medium", "long"))</f>
        <v>long</v>
      </c>
      <c r="H1099">
        <v>2</v>
      </c>
      <c r="I1099" t="s">
        <v>55</v>
      </c>
      <c r="J1099">
        <v>1551</v>
      </c>
      <c r="K1099">
        <v>3</v>
      </c>
      <c r="L1099" t="s">
        <v>41</v>
      </c>
      <c r="M1099">
        <v>57</v>
      </c>
      <c r="N1099">
        <v>2</v>
      </c>
      <c r="O1099">
        <v>1</v>
      </c>
      <c r="P1099" t="s">
        <v>45</v>
      </c>
      <c r="Q1099">
        <v>1</v>
      </c>
      <c r="R1099" t="s">
        <v>47</v>
      </c>
      <c r="S1099">
        <v>2296</v>
      </c>
      <c r="T1099">
        <v>10036</v>
      </c>
      <c r="U1099">
        <v>0</v>
      </c>
      <c r="V1099" t="s">
        <v>38</v>
      </c>
      <c r="W1099">
        <v>14</v>
      </c>
      <c r="X1099">
        <v>3</v>
      </c>
      <c r="Y1099">
        <v>2</v>
      </c>
      <c r="Z1099">
        <v>3</v>
      </c>
      <c r="AA1099">
        <v>2</v>
      </c>
      <c r="AB1099" t="str">
        <f>IF(Table2[[#This Row],[TotalWorkingYears]]&lt;=5,"Early (0-5)",IF(Table2[[#This Row],[TotalWorkingYears]]&lt;=15,"Mid (6-15)","Senior (16+)"))</f>
        <v>Early (0-5)</v>
      </c>
      <c r="AC1099">
        <v>3</v>
      </c>
      <c r="AD1099">
        <v>3</v>
      </c>
      <c r="AE1099" t="s">
        <v>63</v>
      </c>
      <c r="AF1099">
        <v>1</v>
      </c>
      <c r="AG1099">
        <v>0</v>
      </c>
      <c r="AH1099">
        <v>0</v>
      </c>
    </row>
    <row r="1100" spans="1:34" x14ac:dyDescent="0.3">
      <c r="A1100" t="s">
        <v>57</v>
      </c>
      <c r="B1100">
        <v>0</v>
      </c>
      <c r="C1100" t="s">
        <v>50</v>
      </c>
      <c r="D1100">
        <v>1142</v>
      </c>
      <c r="E1100" t="s">
        <v>40</v>
      </c>
      <c r="F1100">
        <v>8</v>
      </c>
      <c r="G1100" t="str">
        <f>IF(Table2[[#This Row],[DistanceFromHome]]&lt;=5, "short", IF(Table2[[#This Row],[DistanceFromHome]]&lt;=15, "medium", "long"))</f>
        <v>medium</v>
      </c>
      <c r="H1100">
        <v>2</v>
      </c>
      <c r="I1100" t="s">
        <v>34</v>
      </c>
      <c r="J1100">
        <v>1552</v>
      </c>
      <c r="K1100">
        <v>4</v>
      </c>
      <c r="L1100" t="s">
        <v>41</v>
      </c>
      <c r="M1100">
        <v>72</v>
      </c>
      <c r="N1100">
        <v>3</v>
      </c>
      <c r="O1100">
        <v>2</v>
      </c>
      <c r="P1100" t="s">
        <v>49</v>
      </c>
      <c r="Q1100">
        <v>4</v>
      </c>
      <c r="R1100" t="s">
        <v>47</v>
      </c>
      <c r="S1100">
        <v>4069</v>
      </c>
      <c r="T1100">
        <v>8841</v>
      </c>
      <c r="U1100">
        <v>3</v>
      </c>
      <c r="V1100" t="s">
        <v>31</v>
      </c>
      <c r="W1100">
        <v>18</v>
      </c>
      <c r="X1100">
        <v>3</v>
      </c>
      <c r="Y1100">
        <v>3</v>
      </c>
      <c r="Z1100">
        <v>0</v>
      </c>
      <c r="AA1100">
        <v>8</v>
      </c>
      <c r="AB1100" t="str">
        <f>IF(Table2[[#This Row],[TotalWorkingYears]]&lt;=5,"Early (0-5)",IF(Table2[[#This Row],[TotalWorkingYears]]&lt;=15,"Mid (6-15)","Senior (16+)"))</f>
        <v>Mid (6-15)</v>
      </c>
      <c r="AC1100">
        <v>2</v>
      </c>
      <c r="AD1100">
        <v>3</v>
      </c>
      <c r="AE1100" t="s">
        <v>63</v>
      </c>
      <c r="AF1100">
        <v>2</v>
      </c>
      <c r="AG1100">
        <v>2</v>
      </c>
      <c r="AH1100">
        <v>2</v>
      </c>
    </row>
    <row r="1101" spans="1:34" x14ac:dyDescent="0.3">
      <c r="A1101" t="s">
        <v>57</v>
      </c>
      <c r="B1101">
        <v>0</v>
      </c>
      <c r="C1101" t="s">
        <v>32</v>
      </c>
      <c r="D1101">
        <v>538</v>
      </c>
      <c r="E1101" t="s">
        <v>40</v>
      </c>
      <c r="F1101">
        <v>1</v>
      </c>
      <c r="G1101" t="str">
        <f>IF(Table2[[#This Row],[DistanceFromHome]]&lt;=5, "short", IF(Table2[[#This Row],[DistanceFromHome]]&lt;=15, "medium", "long"))</f>
        <v>short</v>
      </c>
      <c r="H1101">
        <v>4</v>
      </c>
      <c r="I1101" t="s">
        <v>55</v>
      </c>
      <c r="J1101">
        <v>1553</v>
      </c>
      <c r="K1101">
        <v>1</v>
      </c>
      <c r="L1101" t="s">
        <v>41</v>
      </c>
      <c r="M1101">
        <v>66</v>
      </c>
      <c r="N1101">
        <v>3</v>
      </c>
      <c r="O1101">
        <v>3</v>
      </c>
      <c r="P1101" t="s">
        <v>49</v>
      </c>
      <c r="Q1101">
        <v>2</v>
      </c>
      <c r="R1101" t="s">
        <v>47</v>
      </c>
      <c r="S1101">
        <v>7441</v>
      </c>
      <c r="T1101">
        <v>20933</v>
      </c>
      <c r="U1101">
        <v>1</v>
      </c>
      <c r="V1101" t="s">
        <v>38</v>
      </c>
      <c r="W1101">
        <v>12</v>
      </c>
      <c r="X1101">
        <v>3</v>
      </c>
      <c r="Y1101">
        <v>1</v>
      </c>
      <c r="Z1101">
        <v>3</v>
      </c>
      <c r="AA1101">
        <v>10</v>
      </c>
      <c r="AB1101" t="str">
        <f>IF(Table2[[#This Row],[TotalWorkingYears]]&lt;=5,"Early (0-5)",IF(Table2[[#This Row],[TotalWorkingYears]]&lt;=15,"Mid (6-15)","Senior (16+)"))</f>
        <v>Mid (6-15)</v>
      </c>
      <c r="AC1101">
        <v>4</v>
      </c>
      <c r="AD1101">
        <v>3</v>
      </c>
      <c r="AE1101" t="s">
        <v>62</v>
      </c>
      <c r="AF1101">
        <v>8</v>
      </c>
      <c r="AG1101">
        <v>7</v>
      </c>
      <c r="AH1101">
        <v>7</v>
      </c>
    </row>
    <row r="1102" spans="1:34" x14ac:dyDescent="0.3">
      <c r="A1102" t="s">
        <v>59</v>
      </c>
      <c r="B1102">
        <v>0</v>
      </c>
      <c r="C1102" t="s">
        <v>32</v>
      </c>
      <c r="D1102">
        <v>1402</v>
      </c>
      <c r="E1102" t="s">
        <v>33</v>
      </c>
      <c r="F1102">
        <v>28</v>
      </c>
      <c r="G1102" t="str">
        <f>IF(Table2[[#This Row],[DistanceFromHome]]&lt;=5, "short", IF(Table2[[#This Row],[DistanceFromHome]]&lt;=15, "medium", "long"))</f>
        <v>long</v>
      </c>
      <c r="H1102">
        <v>4</v>
      </c>
      <c r="I1102" t="s">
        <v>34</v>
      </c>
      <c r="J1102">
        <v>1554</v>
      </c>
      <c r="K1102">
        <v>2</v>
      </c>
      <c r="L1102" t="s">
        <v>35</v>
      </c>
      <c r="M1102">
        <v>98</v>
      </c>
      <c r="N1102">
        <v>2</v>
      </c>
      <c r="O1102">
        <v>1</v>
      </c>
      <c r="P1102" t="s">
        <v>52</v>
      </c>
      <c r="Q1102">
        <v>3</v>
      </c>
      <c r="R1102" t="s">
        <v>43</v>
      </c>
      <c r="S1102">
        <v>2430</v>
      </c>
      <c r="T1102">
        <v>26204</v>
      </c>
      <c r="U1102">
        <v>0</v>
      </c>
      <c r="V1102" t="s">
        <v>38</v>
      </c>
      <c r="W1102">
        <v>23</v>
      </c>
      <c r="X1102">
        <v>4</v>
      </c>
      <c r="Y1102">
        <v>1</v>
      </c>
      <c r="Z1102">
        <v>2</v>
      </c>
      <c r="AA1102">
        <v>6</v>
      </c>
      <c r="AB1102" t="str">
        <f>IF(Table2[[#This Row],[TotalWorkingYears]]&lt;=5,"Early (0-5)",IF(Table2[[#This Row],[TotalWorkingYears]]&lt;=15,"Mid (6-15)","Senior (16+)"))</f>
        <v>Mid (6-15)</v>
      </c>
      <c r="AC1102">
        <v>5</v>
      </c>
      <c r="AD1102">
        <v>3</v>
      </c>
      <c r="AE1102" t="s">
        <v>64</v>
      </c>
      <c r="AF1102">
        <v>3</v>
      </c>
      <c r="AG1102">
        <v>4</v>
      </c>
      <c r="AH1102">
        <v>2</v>
      </c>
    </row>
    <row r="1103" spans="1:34" x14ac:dyDescent="0.3">
      <c r="A1103" t="s">
        <v>59</v>
      </c>
      <c r="B1103">
        <v>0</v>
      </c>
      <c r="C1103" t="s">
        <v>32</v>
      </c>
      <c r="D1103">
        <v>824</v>
      </c>
      <c r="E1103" t="s">
        <v>40</v>
      </c>
      <c r="F1103">
        <v>5</v>
      </c>
      <c r="G1103" t="str">
        <f>IF(Table2[[#This Row],[DistanceFromHome]]&lt;=5, "short", IF(Table2[[#This Row],[DistanceFromHome]]&lt;=15, "medium", "long"))</f>
        <v>short</v>
      </c>
      <c r="H1103">
        <v>2</v>
      </c>
      <c r="I1103" t="s">
        <v>34</v>
      </c>
      <c r="J1103">
        <v>1555</v>
      </c>
      <c r="K1103">
        <v>4</v>
      </c>
      <c r="L1103" t="s">
        <v>35</v>
      </c>
      <c r="M1103">
        <v>67</v>
      </c>
      <c r="N1103">
        <v>2</v>
      </c>
      <c r="O1103">
        <v>2</v>
      </c>
      <c r="P1103" t="s">
        <v>42</v>
      </c>
      <c r="Q1103">
        <v>2</v>
      </c>
      <c r="R1103" t="s">
        <v>43</v>
      </c>
      <c r="S1103">
        <v>5878</v>
      </c>
      <c r="T1103">
        <v>15624</v>
      </c>
      <c r="U1103">
        <v>3</v>
      </c>
      <c r="V1103" t="s">
        <v>38</v>
      </c>
      <c r="W1103">
        <v>12</v>
      </c>
      <c r="X1103">
        <v>3</v>
      </c>
      <c r="Y1103">
        <v>1</v>
      </c>
      <c r="Z1103">
        <v>1</v>
      </c>
      <c r="AA1103">
        <v>12</v>
      </c>
      <c r="AB1103" t="str">
        <f>IF(Table2[[#This Row],[TotalWorkingYears]]&lt;=5,"Early (0-5)",IF(Table2[[#This Row],[TotalWorkingYears]]&lt;=15,"Mid (6-15)","Senior (16+)"))</f>
        <v>Mid (6-15)</v>
      </c>
      <c r="AC1103">
        <v>2</v>
      </c>
      <c r="AD1103">
        <v>3</v>
      </c>
      <c r="AE1103" t="s">
        <v>62</v>
      </c>
      <c r="AF1103">
        <v>1</v>
      </c>
      <c r="AG1103">
        <v>2</v>
      </c>
      <c r="AH1103">
        <v>5</v>
      </c>
    </row>
    <row r="1104" spans="1:34" x14ac:dyDescent="0.3">
      <c r="A1104" t="s">
        <v>57</v>
      </c>
      <c r="B1104">
        <v>0</v>
      </c>
      <c r="C1104" t="s">
        <v>32</v>
      </c>
      <c r="D1104">
        <v>1157</v>
      </c>
      <c r="E1104" t="s">
        <v>33</v>
      </c>
      <c r="F1104">
        <v>2</v>
      </c>
      <c r="G1104" t="str">
        <f>IF(Table2[[#This Row],[DistanceFromHome]]&lt;=5, "short", IF(Table2[[#This Row],[DistanceFromHome]]&lt;=15, "medium", "long"))</f>
        <v>short</v>
      </c>
      <c r="H1104">
        <v>4</v>
      </c>
      <c r="I1104" t="s">
        <v>34</v>
      </c>
      <c r="J1104">
        <v>1556</v>
      </c>
      <c r="K1104">
        <v>3</v>
      </c>
      <c r="L1104" t="s">
        <v>41</v>
      </c>
      <c r="M1104">
        <v>70</v>
      </c>
      <c r="N1104">
        <v>3</v>
      </c>
      <c r="O1104">
        <v>1</v>
      </c>
      <c r="P1104" t="s">
        <v>52</v>
      </c>
      <c r="Q1104">
        <v>4</v>
      </c>
      <c r="R1104" t="s">
        <v>37</v>
      </c>
      <c r="S1104">
        <v>2644</v>
      </c>
      <c r="T1104">
        <v>17001</v>
      </c>
      <c r="U1104">
        <v>3</v>
      </c>
      <c r="V1104" t="s">
        <v>31</v>
      </c>
      <c r="W1104">
        <v>21</v>
      </c>
      <c r="X1104">
        <v>4</v>
      </c>
      <c r="Y1104">
        <v>4</v>
      </c>
      <c r="Z1104">
        <v>0</v>
      </c>
      <c r="AA1104">
        <v>7</v>
      </c>
      <c r="AB1104" t="str">
        <f>IF(Table2[[#This Row],[TotalWorkingYears]]&lt;=5,"Early (0-5)",IF(Table2[[#This Row],[TotalWorkingYears]]&lt;=15,"Mid (6-15)","Senior (16+)"))</f>
        <v>Mid (6-15)</v>
      </c>
      <c r="AC1104">
        <v>3</v>
      </c>
      <c r="AD1104">
        <v>2</v>
      </c>
      <c r="AE1104" t="s">
        <v>64</v>
      </c>
      <c r="AF1104">
        <v>2</v>
      </c>
      <c r="AG1104">
        <v>1</v>
      </c>
      <c r="AH1104">
        <v>2</v>
      </c>
    </row>
    <row r="1105" spans="1:34" x14ac:dyDescent="0.3">
      <c r="A1105" t="s">
        <v>58</v>
      </c>
      <c r="B1105">
        <v>0</v>
      </c>
      <c r="C1105" t="s">
        <v>32</v>
      </c>
      <c r="D1105">
        <v>492</v>
      </c>
      <c r="E1105" t="s">
        <v>33</v>
      </c>
      <c r="F1105">
        <v>16</v>
      </c>
      <c r="G1105" t="str">
        <f>IF(Table2[[#This Row],[DistanceFromHome]]&lt;=5, "short", IF(Table2[[#This Row],[DistanceFromHome]]&lt;=15, "medium", "long"))</f>
        <v>long</v>
      </c>
      <c r="H1105">
        <v>4</v>
      </c>
      <c r="I1105" t="s">
        <v>34</v>
      </c>
      <c r="J1105">
        <v>1557</v>
      </c>
      <c r="K1105">
        <v>3</v>
      </c>
      <c r="L1105" t="s">
        <v>35</v>
      </c>
      <c r="M1105">
        <v>96</v>
      </c>
      <c r="N1105">
        <v>3</v>
      </c>
      <c r="O1105">
        <v>2</v>
      </c>
      <c r="P1105" t="s">
        <v>36</v>
      </c>
      <c r="Q1105">
        <v>3</v>
      </c>
      <c r="R1105" t="s">
        <v>47</v>
      </c>
      <c r="S1105">
        <v>6439</v>
      </c>
      <c r="T1105">
        <v>13693</v>
      </c>
      <c r="U1105">
        <v>8</v>
      </c>
      <c r="V1105" t="s">
        <v>38</v>
      </c>
      <c r="W1105">
        <v>14</v>
      </c>
      <c r="X1105">
        <v>3</v>
      </c>
      <c r="Y1105">
        <v>3</v>
      </c>
      <c r="Z1105">
        <v>1</v>
      </c>
      <c r="AA1105">
        <v>18</v>
      </c>
      <c r="AB1105" t="str">
        <f>IF(Table2[[#This Row],[TotalWorkingYears]]&lt;=5,"Early (0-5)",IF(Table2[[#This Row],[TotalWorkingYears]]&lt;=15,"Mid (6-15)","Senior (16+)"))</f>
        <v>Senior (16+)</v>
      </c>
      <c r="AC1105">
        <v>2</v>
      </c>
      <c r="AD1105">
        <v>3</v>
      </c>
      <c r="AE1105" t="s">
        <v>62</v>
      </c>
      <c r="AF1105">
        <v>7</v>
      </c>
      <c r="AG1105">
        <v>7</v>
      </c>
      <c r="AH1105">
        <v>7</v>
      </c>
    </row>
    <row r="1106" spans="1:34" x14ac:dyDescent="0.3">
      <c r="A1106" t="s">
        <v>59</v>
      </c>
      <c r="B1106">
        <v>0</v>
      </c>
      <c r="C1106" t="s">
        <v>32</v>
      </c>
      <c r="D1106">
        <v>598</v>
      </c>
      <c r="E1106" t="s">
        <v>40</v>
      </c>
      <c r="F1106">
        <v>9</v>
      </c>
      <c r="G1106" t="str">
        <f>IF(Table2[[#This Row],[DistanceFromHome]]&lt;=5, "short", IF(Table2[[#This Row],[DistanceFromHome]]&lt;=15, "medium", "long"))</f>
        <v>medium</v>
      </c>
      <c r="H1106">
        <v>3</v>
      </c>
      <c r="I1106" t="s">
        <v>34</v>
      </c>
      <c r="J1106">
        <v>1558</v>
      </c>
      <c r="K1106">
        <v>3</v>
      </c>
      <c r="L1106" t="s">
        <v>41</v>
      </c>
      <c r="M1106">
        <v>91</v>
      </c>
      <c r="N1106">
        <v>4</v>
      </c>
      <c r="O1106">
        <v>1</v>
      </c>
      <c r="P1106" t="s">
        <v>42</v>
      </c>
      <c r="Q1106">
        <v>3</v>
      </c>
      <c r="R1106" t="s">
        <v>43</v>
      </c>
      <c r="S1106">
        <v>2451</v>
      </c>
      <c r="T1106">
        <v>22376</v>
      </c>
      <c r="U1106">
        <v>6</v>
      </c>
      <c r="V1106" t="s">
        <v>38</v>
      </c>
      <c r="W1106">
        <v>18</v>
      </c>
      <c r="X1106">
        <v>3</v>
      </c>
      <c r="Y1106">
        <v>1</v>
      </c>
      <c r="Z1106">
        <v>2</v>
      </c>
      <c r="AA1106">
        <v>5</v>
      </c>
      <c r="AB1106" t="str">
        <f>IF(Table2[[#This Row],[TotalWorkingYears]]&lt;=5,"Early (0-5)",IF(Table2[[#This Row],[TotalWorkingYears]]&lt;=15,"Mid (6-15)","Senior (16+)"))</f>
        <v>Early (0-5)</v>
      </c>
      <c r="AC1106">
        <v>2</v>
      </c>
      <c r="AD1106">
        <v>2</v>
      </c>
      <c r="AE1106" t="s">
        <v>63</v>
      </c>
      <c r="AF1106">
        <v>0</v>
      </c>
      <c r="AG1106">
        <v>0</v>
      </c>
      <c r="AH1106">
        <v>0</v>
      </c>
    </row>
    <row r="1107" spans="1:34" x14ac:dyDescent="0.3">
      <c r="A1107" t="s">
        <v>59</v>
      </c>
      <c r="B1107">
        <v>0</v>
      </c>
      <c r="C1107" t="s">
        <v>32</v>
      </c>
      <c r="D1107">
        <v>1242</v>
      </c>
      <c r="E1107" t="s">
        <v>33</v>
      </c>
      <c r="F1107">
        <v>8</v>
      </c>
      <c r="G1107" t="str">
        <f>IF(Table2[[#This Row],[DistanceFromHome]]&lt;=5, "short", IF(Table2[[#This Row],[DistanceFromHome]]&lt;=15, "medium", "long"))</f>
        <v>medium</v>
      </c>
      <c r="H1107">
        <v>4</v>
      </c>
      <c r="I1107" t="s">
        <v>34</v>
      </c>
      <c r="J1107">
        <v>1560</v>
      </c>
      <c r="K1107">
        <v>1</v>
      </c>
      <c r="L1107" t="s">
        <v>41</v>
      </c>
      <c r="M1107">
        <v>46</v>
      </c>
      <c r="N1107">
        <v>3</v>
      </c>
      <c r="O1107">
        <v>2</v>
      </c>
      <c r="P1107" t="s">
        <v>36</v>
      </c>
      <c r="Q1107">
        <v>1</v>
      </c>
      <c r="R1107" t="s">
        <v>43</v>
      </c>
      <c r="S1107">
        <v>6392</v>
      </c>
      <c r="T1107">
        <v>10589</v>
      </c>
      <c r="U1107">
        <v>2</v>
      </c>
      <c r="V1107" t="s">
        <v>38</v>
      </c>
      <c r="W1107">
        <v>13</v>
      </c>
      <c r="X1107">
        <v>3</v>
      </c>
      <c r="Y1107">
        <v>4</v>
      </c>
      <c r="Z1107">
        <v>1</v>
      </c>
      <c r="AA1107">
        <v>8</v>
      </c>
      <c r="AB1107" t="str">
        <f>IF(Table2[[#This Row],[TotalWorkingYears]]&lt;=5,"Early (0-5)",IF(Table2[[#This Row],[TotalWorkingYears]]&lt;=15,"Mid (6-15)","Senior (16+)"))</f>
        <v>Mid (6-15)</v>
      </c>
      <c r="AC1107">
        <v>6</v>
      </c>
      <c r="AD1107">
        <v>1</v>
      </c>
      <c r="AE1107" t="s">
        <v>63</v>
      </c>
      <c r="AF1107">
        <v>2</v>
      </c>
      <c r="AG1107">
        <v>2</v>
      </c>
      <c r="AH1107">
        <v>2</v>
      </c>
    </row>
    <row r="1108" spans="1:34" x14ac:dyDescent="0.3">
      <c r="A1108" t="s">
        <v>59</v>
      </c>
      <c r="B1108">
        <v>1</v>
      </c>
      <c r="C1108" t="s">
        <v>32</v>
      </c>
      <c r="D1108">
        <v>740</v>
      </c>
      <c r="E1108" t="s">
        <v>33</v>
      </c>
      <c r="F1108">
        <v>1</v>
      </c>
      <c r="G1108" t="str">
        <f>IF(Table2[[#This Row],[DistanceFromHome]]&lt;=5, "short", IF(Table2[[#This Row],[DistanceFromHome]]&lt;=15, "medium", "long"))</f>
        <v>short</v>
      </c>
      <c r="H1108">
        <v>3</v>
      </c>
      <c r="I1108" t="s">
        <v>34</v>
      </c>
      <c r="J1108">
        <v>1562</v>
      </c>
      <c r="K1108">
        <v>2</v>
      </c>
      <c r="L1108" t="s">
        <v>41</v>
      </c>
      <c r="M1108">
        <v>64</v>
      </c>
      <c r="N1108">
        <v>2</v>
      </c>
      <c r="O1108">
        <v>2</v>
      </c>
      <c r="P1108" t="s">
        <v>36</v>
      </c>
      <c r="Q1108">
        <v>1</v>
      </c>
      <c r="R1108" t="s">
        <v>43</v>
      </c>
      <c r="S1108">
        <v>9714</v>
      </c>
      <c r="T1108">
        <v>5323</v>
      </c>
      <c r="U1108">
        <v>1</v>
      </c>
      <c r="V1108" t="s">
        <v>38</v>
      </c>
      <c r="W1108">
        <v>11</v>
      </c>
      <c r="X1108">
        <v>3</v>
      </c>
      <c r="Y1108">
        <v>4</v>
      </c>
      <c r="Z1108">
        <v>1</v>
      </c>
      <c r="AA1108">
        <v>10</v>
      </c>
      <c r="AB1108" t="str">
        <f>IF(Table2[[#This Row],[TotalWorkingYears]]&lt;=5,"Early (0-5)",IF(Table2[[#This Row],[TotalWorkingYears]]&lt;=15,"Mid (6-15)","Senior (16+)"))</f>
        <v>Mid (6-15)</v>
      </c>
      <c r="AC1108">
        <v>4</v>
      </c>
      <c r="AD1108">
        <v>3</v>
      </c>
      <c r="AE1108" t="s">
        <v>62</v>
      </c>
      <c r="AF1108">
        <v>8</v>
      </c>
      <c r="AG1108">
        <v>6</v>
      </c>
      <c r="AH1108">
        <v>7</v>
      </c>
    </row>
    <row r="1109" spans="1:34" x14ac:dyDescent="0.3">
      <c r="A1109" t="s">
        <v>57</v>
      </c>
      <c r="B1109">
        <v>0</v>
      </c>
      <c r="C1109" t="s">
        <v>39</v>
      </c>
      <c r="D1109">
        <v>888</v>
      </c>
      <c r="E1109" t="s">
        <v>56</v>
      </c>
      <c r="F1109">
        <v>10</v>
      </c>
      <c r="G1109" t="str">
        <f>IF(Table2[[#This Row],[DistanceFromHome]]&lt;=5, "short", IF(Table2[[#This Row],[DistanceFromHome]]&lt;=15, "medium", "long"))</f>
        <v>medium</v>
      </c>
      <c r="H1109">
        <v>4</v>
      </c>
      <c r="I1109" t="s">
        <v>56</v>
      </c>
      <c r="J1109">
        <v>1563</v>
      </c>
      <c r="K1109">
        <v>3</v>
      </c>
      <c r="L1109" t="s">
        <v>41</v>
      </c>
      <c r="M1109">
        <v>71</v>
      </c>
      <c r="N1109">
        <v>3</v>
      </c>
      <c r="O1109">
        <v>2</v>
      </c>
      <c r="P1109" t="s">
        <v>56</v>
      </c>
      <c r="Q1109">
        <v>3</v>
      </c>
      <c r="R1109" t="s">
        <v>43</v>
      </c>
      <c r="S1109">
        <v>6077</v>
      </c>
      <c r="T1109">
        <v>14814</v>
      </c>
      <c r="U1109">
        <v>3</v>
      </c>
      <c r="V1109" t="s">
        <v>38</v>
      </c>
      <c r="W1109">
        <v>11</v>
      </c>
      <c r="X1109">
        <v>3</v>
      </c>
      <c r="Y1109">
        <v>3</v>
      </c>
      <c r="Z1109">
        <v>0</v>
      </c>
      <c r="AA1109">
        <v>10</v>
      </c>
      <c r="AB1109" t="str">
        <f>IF(Table2[[#This Row],[TotalWorkingYears]]&lt;=5,"Early (0-5)",IF(Table2[[#This Row],[TotalWorkingYears]]&lt;=15,"Mid (6-15)","Senior (16+)"))</f>
        <v>Mid (6-15)</v>
      </c>
      <c r="AC1109">
        <v>2</v>
      </c>
      <c r="AD1109">
        <v>3</v>
      </c>
      <c r="AE1109" t="s">
        <v>62</v>
      </c>
      <c r="AF1109">
        <v>3</v>
      </c>
      <c r="AG1109">
        <v>1</v>
      </c>
      <c r="AH1109">
        <v>2</v>
      </c>
    </row>
    <row r="1110" spans="1:34" x14ac:dyDescent="0.3">
      <c r="A1110" t="s">
        <v>59</v>
      </c>
      <c r="B1110">
        <v>0</v>
      </c>
      <c r="C1110" t="s">
        <v>32</v>
      </c>
      <c r="D1110">
        <v>992</v>
      </c>
      <c r="E1110" t="s">
        <v>40</v>
      </c>
      <c r="F1110">
        <v>1</v>
      </c>
      <c r="G1110" t="str">
        <f>IF(Table2[[#This Row],[DistanceFromHome]]&lt;=5, "short", IF(Table2[[#This Row],[DistanceFromHome]]&lt;=15, "medium", "long"))</f>
        <v>short</v>
      </c>
      <c r="H1110">
        <v>3</v>
      </c>
      <c r="I1110" t="s">
        <v>46</v>
      </c>
      <c r="J1110">
        <v>1564</v>
      </c>
      <c r="K1110">
        <v>4</v>
      </c>
      <c r="L1110" t="s">
        <v>41</v>
      </c>
      <c r="M1110">
        <v>68</v>
      </c>
      <c r="N1110">
        <v>2</v>
      </c>
      <c r="O1110">
        <v>1</v>
      </c>
      <c r="P1110" t="s">
        <v>45</v>
      </c>
      <c r="Q1110">
        <v>1</v>
      </c>
      <c r="R1110" t="s">
        <v>37</v>
      </c>
      <c r="S1110">
        <v>2450</v>
      </c>
      <c r="T1110">
        <v>21731</v>
      </c>
      <c r="U1110">
        <v>1</v>
      </c>
      <c r="V1110" t="s">
        <v>38</v>
      </c>
      <c r="W1110">
        <v>19</v>
      </c>
      <c r="X1110">
        <v>3</v>
      </c>
      <c r="Y1110">
        <v>2</v>
      </c>
      <c r="Z1110">
        <v>0</v>
      </c>
      <c r="AA1110">
        <v>3</v>
      </c>
      <c r="AB1110" t="str">
        <f>IF(Table2[[#This Row],[TotalWorkingYears]]&lt;=5,"Early (0-5)",IF(Table2[[#This Row],[TotalWorkingYears]]&lt;=15,"Mid (6-15)","Senior (16+)"))</f>
        <v>Early (0-5)</v>
      </c>
      <c r="AC1110">
        <v>3</v>
      </c>
      <c r="AD1110">
        <v>3</v>
      </c>
      <c r="AE1110" t="s">
        <v>64</v>
      </c>
      <c r="AF1110">
        <v>0</v>
      </c>
      <c r="AG1110">
        <v>1</v>
      </c>
      <c r="AH1110">
        <v>2</v>
      </c>
    </row>
    <row r="1111" spans="1:34" x14ac:dyDescent="0.3">
      <c r="A1111" t="s">
        <v>59</v>
      </c>
      <c r="B1111">
        <v>0</v>
      </c>
      <c r="C1111" t="s">
        <v>32</v>
      </c>
      <c r="D1111">
        <v>1288</v>
      </c>
      <c r="E1111" t="s">
        <v>33</v>
      </c>
      <c r="F1111">
        <v>29</v>
      </c>
      <c r="G1111" t="str">
        <f>IF(Table2[[#This Row],[DistanceFromHome]]&lt;=5, "short", IF(Table2[[#This Row],[DistanceFromHome]]&lt;=15, "medium", "long"))</f>
        <v>long</v>
      </c>
      <c r="H1111">
        <v>4</v>
      </c>
      <c r="I1111" t="s">
        <v>55</v>
      </c>
      <c r="J1111">
        <v>1568</v>
      </c>
      <c r="K1111">
        <v>3</v>
      </c>
      <c r="L1111" t="s">
        <v>41</v>
      </c>
      <c r="M1111">
        <v>33</v>
      </c>
      <c r="N1111">
        <v>3</v>
      </c>
      <c r="O1111">
        <v>3</v>
      </c>
      <c r="P1111" t="s">
        <v>36</v>
      </c>
      <c r="Q1111">
        <v>2</v>
      </c>
      <c r="R1111" t="s">
        <v>43</v>
      </c>
      <c r="S1111">
        <v>9250</v>
      </c>
      <c r="T1111">
        <v>17799</v>
      </c>
      <c r="U1111">
        <v>3</v>
      </c>
      <c r="V1111" t="s">
        <v>38</v>
      </c>
      <c r="W1111">
        <v>12</v>
      </c>
      <c r="X1111">
        <v>3</v>
      </c>
      <c r="Y1111">
        <v>2</v>
      </c>
      <c r="Z1111">
        <v>1</v>
      </c>
      <c r="AA1111">
        <v>9</v>
      </c>
      <c r="AB1111" t="str">
        <f>IF(Table2[[#This Row],[TotalWorkingYears]]&lt;=5,"Early (0-5)",IF(Table2[[#This Row],[TotalWorkingYears]]&lt;=15,"Mid (6-15)","Senior (16+)"))</f>
        <v>Mid (6-15)</v>
      </c>
      <c r="AC1111">
        <v>3</v>
      </c>
      <c r="AD1111">
        <v>3</v>
      </c>
      <c r="AE1111" t="s">
        <v>64</v>
      </c>
      <c r="AF1111">
        <v>2</v>
      </c>
      <c r="AG1111">
        <v>1</v>
      </c>
      <c r="AH1111">
        <v>3</v>
      </c>
    </row>
    <row r="1112" spans="1:34" x14ac:dyDescent="0.3">
      <c r="A1112" t="s">
        <v>59</v>
      </c>
      <c r="B1112">
        <v>1</v>
      </c>
      <c r="C1112" t="s">
        <v>32</v>
      </c>
      <c r="D1112">
        <v>104</v>
      </c>
      <c r="E1112" t="s">
        <v>40</v>
      </c>
      <c r="F1112">
        <v>2</v>
      </c>
      <c r="G1112" t="str">
        <f>IF(Table2[[#This Row],[DistanceFromHome]]&lt;=5, "short", IF(Table2[[#This Row],[DistanceFromHome]]&lt;=15, "medium", "long"))</f>
        <v>short</v>
      </c>
      <c r="H1112">
        <v>3</v>
      </c>
      <c r="I1112" t="s">
        <v>34</v>
      </c>
      <c r="J1112">
        <v>1569</v>
      </c>
      <c r="K1112">
        <v>1</v>
      </c>
      <c r="L1112" t="s">
        <v>35</v>
      </c>
      <c r="M1112">
        <v>69</v>
      </c>
      <c r="N1112">
        <v>3</v>
      </c>
      <c r="O1112">
        <v>1</v>
      </c>
      <c r="P1112" t="s">
        <v>45</v>
      </c>
      <c r="Q1112">
        <v>1</v>
      </c>
      <c r="R1112" t="s">
        <v>47</v>
      </c>
      <c r="S1112">
        <v>2074</v>
      </c>
      <c r="T1112">
        <v>26619</v>
      </c>
      <c r="U1112">
        <v>1</v>
      </c>
      <c r="V1112" t="s">
        <v>31</v>
      </c>
      <c r="W1112">
        <v>12</v>
      </c>
      <c r="X1112">
        <v>3</v>
      </c>
      <c r="Y1112">
        <v>4</v>
      </c>
      <c r="Z1112">
        <v>1</v>
      </c>
      <c r="AA1112">
        <v>1</v>
      </c>
      <c r="AB1112" t="str">
        <f>IF(Table2[[#This Row],[TotalWorkingYears]]&lt;=5,"Early (0-5)",IF(Table2[[#This Row],[TotalWorkingYears]]&lt;=15,"Mid (6-15)","Senior (16+)"))</f>
        <v>Early (0-5)</v>
      </c>
      <c r="AC1112">
        <v>2</v>
      </c>
      <c r="AD1112">
        <v>3</v>
      </c>
      <c r="AE1112" t="s">
        <v>63</v>
      </c>
      <c r="AF1112">
        <v>0</v>
      </c>
      <c r="AG1112">
        <v>0</v>
      </c>
      <c r="AH1112">
        <v>0</v>
      </c>
    </row>
    <row r="1113" spans="1:34" x14ac:dyDescent="0.3">
      <c r="A1113" t="s">
        <v>58</v>
      </c>
      <c r="B1113">
        <v>1</v>
      </c>
      <c r="C1113" t="s">
        <v>32</v>
      </c>
      <c r="D1113">
        <v>607</v>
      </c>
      <c r="E1113" t="s">
        <v>40</v>
      </c>
      <c r="F1113">
        <v>2</v>
      </c>
      <c r="G1113" t="str">
        <f>IF(Table2[[#This Row],[DistanceFromHome]]&lt;=5, "short", IF(Table2[[#This Row],[DistanceFromHome]]&lt;=15, "medium", "long"))</f>
        <v>short</v>
      </c>
      <c r="H1113">
        <v>5</v>
      </c>
      <c r="I1113" t="s">
        <v>55</v>
      </c>
      <c r="J1113">
        <v>1572</v>
      </c>
      <c r="K1113">
        <v>3</v>
      </c>
      <c r="L1113" t="s">
        <v>35</v>
      </c>
      <c r="M1113">
        <v>78</v>
      </c>
      <c r="N1113">
        <v>2</v>
      </c>
      <c r="O1113">
        <v>3</v>
      </c>
      <c r="P1113" t="s">
        <v>48</v>
      </c>
      <c r="Q1113">
        <v>4</v>
      </c>
      <c r="R1113" t="s">
        <v>43</v>
      </c>
      <c r="S1113">
        <v>10169</v>
      </c>
      <c r="T1113">
        <v>14618</v>
      </c>
      <c r="U1113">
        <v>0</v>
      </c>
      <c r="V1113" t="s">
        <v>38</v>
      </c>
      <c r="W1113">
        <v>16</v>
      </c>
      <c r="X1113">
        <v>3</v>
      </c>
      <c r="Y1113">
        <v>2</v>
      </c>
      <c r="Z1113">
        <v>1</v>
      </c>
      <c r="AA1113">
        <v>34</v>
      </c>
      <c r="AB1113" t="str">
        <f>IF(Table2[[#This Row],[TotalWorkingYears]]&lt;=5,"Early (0-5)",IF(Table2[[#This Row],[TotalWorkingYears]]&lt;=15,"Mid (6-15)","Senior (16+)"))</f>
        <v>Senior (16+)</v>
      </c>
      <c r="AC1113">
        <v>4</v>
      </c>
      <c r="AD1113">
        <v>3</v>
      </c>
      <c r="AE1113" t="s">
        <v>65</v>
      </c>
      <c r="AF1113">
        <v>7</v>
      </c>
      <c r="AG1113">
        <v>1</v>
      </c>
      <c r="AH1113">
        <v>9</v>
      </c>
    </row>
    <row r="1114" spans="1:34" x14ac:dyDescent="0.3">
      <c r="A1114" t="s">
        <v>57</v>
      </c>
      <c r="B1114">
        <v>1</v>
      </c>
      <c r="C1114" t="s">
        <v>32</v>
      </c>
      <c r="D1114">
        <v>903</v>
      </c>
      <c r="E1114" t="s">
        <v>40</v>
      </c>
      <c r="F1114">
        <v>2</v>
      </c>
      <c r="G1114" t="str">
        <f>IF(Table2[[#This Row],[DistanceFromHome]]&lt;=5, "short", IF(Table2[[#This Row],[DistanceFromHome]]&lt;=15, "medium", "long"))</f>
        <v>short</v>
      </c>
      <c r="H1114">
        <v>3</v>
      </c>
      <c r="I1114" t="s">
        <v>46</v>
      </c>
      <c r="J1114">
        <v>1573</v>
      </c>
      <c r="K1114">
        <v>3</v>
      </c>
      <c r="L1114" t="s">
        <v>41</v>
      </c>
      <c r="M1114">
        <v>81</v>
      </c>
      <c r="N1114">
        <v>3</v>
      </c>
      <c r="O1114">
        <v>2</v>
      </c>
      <c r="P1114" t="s">
        <v>48</v>
      </c>
      <c r="Q1114">
        <v>2</v>
      </c>
      <c r="R1114" t="s">
        <v>43</v>
      </c>
      <c r="S1114">
        <v>4855</v>
      </c>
      <c r="T1114">
        <v>7653</v>
      </c>
      <c r="U1114">
        <v>4</v>
      </c>
      <c r="V1114" t="s">
        <v>38</v>
      </c>
      <c r="W1114">
        <v>11</v>
      </c>
      <c r="X1114">
        <v>3</v>
      </c>
      <c r="Y1114">
        <v>1</v>
      </c>
      <c r="Z1114">
        <v>2</v>
      </c>
      <c r="AA1114">
        <v>7</v>
      </c>
      <c r="AB1114" t="str">
        <f>IF(Table2[[#This Row],[TotalWorkingYears]]&lt;=5,"Early (0-5)",IF(Table2[[#This Row],[TotalWorkingYears]]&lt;=15,"Mid (6-15)","Senior (16+)"))</f>
        <v>Mid (6-15)</v>
      </c>
      <c r="AC1114">
        <v>2</v>
      </c>
      <c r="AD1114">
        <v>3</v>
      </c>
      <c r="AE1114" t="s">
        <v>64</v>
      </c>
      <c r="AF1114">
        <v>2</v>
      </c>
      <c r="AG1114">
        <v>1</v>
      </c>
      <c r="AH1114">
        <v>4</v>
      </c>
    </row>
    <row r="1115" spans="1:34" x14ac:dyDescent="0.3">
      <c r="A1115" t="s">
        <v>59</v>
      </c>
      <c r="B1115">
        <v>0</v>
      </c>
      <c r="C1115" t="s">
        <v>50</v>
      </c>
      <c r="D1115">
        <v>1200</v>
      </c>
      <c r="E1115" t="s">
        <v>40</v>
      </c>
      <c r="F1115">
        <v>1</v>
      </c>
      <c r="G1115" t="str">
        <f>IF(Table2[[#This Row],[DistanceFromHome]]&lt;=5, "short", IF(Table2[[#This Row],[DistanceFromHome]]&lt;=15, "medium", "long"))</f>
        <v>short</v>
      </c>
      <c r="H1115">
        <v>4</v>
      </c>
      <c r="I1115" t="s">
        <v>55</v>
      </c>
      <c r="J1115">
        <v>1574</v>
      </c>
      <c r="K1115">
        <v>4</v>
      </c>
      <c r="L1115" t="s">
        <v>41</v>
      </c>
      <c r="M1115">
        <v>62</v>
      </c>
      <c r="N1115">
        <v>3</v>
      </c>
      <c r="O1115">
        <v>2</v>
      </c>
      <c r="P1115" t="s">
        <v>42</v>
      </c>
      <c r="Q1115">
        <v>1</v>
      </c>
      <c r="R1115" t="s">
        <v>43</v>
      </c>
      <c r="S1115">
        <v>4087</v>
      </c>
      <c r="T1115">
        <v>25174</v>
      </c>
      <c r="U1115">
        <v>4</v>
      </c>
      <c r="V1115" t="s">
        <v>38</v>
      </c>
      <c r="W1115">
        <v>14</v>
      </c>
      <c r="X1115">
        <v>3</v>
      </c>
      <c r="Y1115">
        <v>2</v>
      </c>
      <c r="Z1115">
        <v>1</v>
      </c>
      <c r="AA1115">
        <v>9</v>
      </c>
      <c r="AB1115" t="str">
        <f>IF(Table2[[#This Row],[TotalWorkingYears]]&lt;=5,"Early (0-5)",IF(Table2[[#This Row],[TotalWorkingYears]]&lt;=15,"Mid (6-15)","Senior (16+)"))</f>
        <v>Mid (6-15)</v>
      </c>
      <c r="AC1115">
        <v>3</v>
      </c>
      <c r="AD1115">
        <v>2</v>
      </c>
      <c r="AE1115" t="s">
        <v>62</v>
      </c>
      <c r="AF1115">
        <v>5</v>
      </c>
      <c r="AG1115">
        <v>1</v>
      </c>
      <c r="AH1115">
        <v>2</v>
      </c>
    </row>
    <row r="1116" spans="1:34" x14ac:dyDescent="0.3">
      <c r="A1116" t="s">
        <v>58</v>
      </c>
      <c r="B1116">
        <v>0</v>
      </c>
      <c r="C1116" t="s">
        <v>32</v>
      </c>
      <c r="D1116">
        <v>1108</v>
      </c>
      <c r="E1116" t="s">
        <v>40</v>
      </c>
      <c r="F1116">
        <v>15</v>
      </c>
      <c r="G1116" t="str">
        <f>IF(Table2[[#This Row],[DistanceFromHome]]&lt;=5, "short", IF(Table2[[#This Row],[DistanceFromHome]]&lt;=15, "medium", "long"))</f>
        <v>medium</v>
      </c>
      <c r="H1116">
        <v>4</v>
      </c>
      <c r="I1116" t="s">
        <v>44</v>
      </c>
      <c r="J1116">
        <v>1576</v>
      </c>
      <c r="K1116">
        <v>3</v>
      </c>
      <c r="L1116" t="s">
        <v>35</v>
      </c>
      <c r="M1116">
        <v>65</v>
      </c>
      <c r="N1116">
        <v>3</v>
      </c>
      <c r="O1116">
        <v>1</v>
      </c>
      <c r="P1116" t="s">
        <v>42</v>
      </c>
      <c r="Q1116">
        <v>1</v>
      </c>
      <c r="R1116" t="s">
        <v>43</v>
      </c>
      <c r="S1116">
        <v>2367</v>
      </c>
      <c r="T1116">
        <v>16530</v>
      </c>
      <c r="U1116">
        <v>8</v>
      </c>
      <c r="V1116" t="s">
        <v>38</v>
      </c>
      <c r="W1116">
        <v>12</v>
      </c>
      <c r="X1116">
        <v>3</v>
      </c>
      <c r="Y1116">
        <v>4</v>
      </c>
      <c r="Z1116">
        <v>1</v>
      </c>
      <c r="AA1116">
        <v>10</v>
      </c>
      <c r="AB1116" t="str">
        <f>IF(Table2[[#This Row],[TotalWorkingYears]]&lt;=5,"Early (0-5)",IF(Table2[[#This Row],[TotalWorkingYears]]&lt;=15,"Mid (6-15)","Senior (16+)"))</f>
        <v>Mid (6-15)</v>
      </c>
      <c r="AC1116">
        <v>3</v>
      </c>
      <c r="AD1116">
        <v>2</v>
      </c>
      <c r="AE1116" t="s">
        <v>62</v>
      </c>
      <c r="AF1116">
        <v>2</v>
      </c>
      <c r="AG1116">
        <v>7</v>
      </c>
      <c r="AH1116">
        <v>6</v>
      </c>
    </row>
    <row r="1117" spans="1:34" x14ac:dyDescent="0.3">
      <c r="A1117" t="s">
        <v>59</v>
      </c>
      <c r="B1117">
        <v>0</v>
      </c>
      <c r="C1117" t="s">
        <v>32</v>
      </c>
      <c r="D1117">
        <v>479</v>
      </c>
      <c r="E1117" t="s">
        <v>40</v>
      </c>
      <c r="F1117">
        <v>7</v>
      </c>
      <c r="G1117" t="str">
        <f>IF(Table2[[#This Row],[DistanceFromHome]]&lt;=5, "short", IF(Table2[[#This Row],[DistanceFromHome]]&lt;=15, "medium", "long"))</f>
        <v>medium</v>
      </c>
      <c r="H1117">
        <v>4</v>
      </c>
      <c r="I1117" t="s">
        <v>46</v>
      </c>
      <c r="J1117">
        <v>1577</v>
      </c>
      <c r="K1117">
        <v>1</v>
      </c>
      <c r="L1117" t="s">
        <v>41</v>
      </c>
      <c r="M1117">
        <v>35</v>
      </c>
      <c r="N1117">
        <v>3</v>
      </c>
      <c r="O1117">
        <v>1</v>
      </c>
      <c r="P1117" t="s">
        <v>42</v>
      </c>
      <c r="Q1117">
        <v>4</v>
      </c>
      <c r="R1117" t="s">
        <v>37</v>
      </c>
      <c r="S1117">
        <v>2972</v>
      </c>
      <c r="T1117">
        <v>22061</v>
      </c>
      <c r="U1117">
        <v>1</v>
      </c>
      <c r="V1117" t="s">
        <v>38</v>
      </c>
      <c r="W1117">
        <v>13</v>
      </c>
      <c r="X1117">
        <v>3</v>
      </c>
      <c r="Y1117">
        <v>3</v>
      </c>
      <c r="Z1117">
        <v>0</v>
      </c>
      <c r="AA1117">
        <v>1</v>
      </c>
      <c r="AB1117" t="str">
        <f>IF(Table2[[#This Row],[TotalWorkingYears]]&lt;=5,"Early (0-5)",IF(Table2[[#This Row],[TotalWorkingYears]]&lt;=15,"Mid (6-15)","Senior (16+)"))</f>
        <v>Early (0-5)</v>
      </c>
      <c r="AC1117">
        <v>4</v>
      </c>
      <c r="AD1117">
        <v>1</v>
      </c>
      <c r="AE1117" t="s">
        <v>63</v>
      </c>
      <c r="AF1117">
        <v>0</v>
      </c>
      <c r="AG1117">
        <v>0</v>
      </c>
      <c r="AH1117">
        <v>0</v>
      </c>
    </row>
    <row r="1118" spans="1:34" x14ac:dyDescent="0.3">
      <c r="A1118" t="s">
        <v>58</v>
      </c>
      <c r="B1118">
        <v>0</v>
      </c>
      <c r="C1118" t="s">
        <v>32</v>
      </c>
      <c r="D1118">
        <v>685</v>
      </c>
      <c r="E1118" t="s">
        <v>33</v>
      </c>
      <c r="F1118">
        <v>26</v>
      </c>
      <c r="G1118" t="str">
        <f>IF(Table2[[#This Row],[DistanceFromHome]]&lt;=5, "short", IF(Table2[[#This Row],[DistanceFromHome]]&lt;=15, "medium", "long"))</f>
        <v>long</v>
      </c>
      <c r="H1118">
        <v>5</v>
      </c>
      <c r="I1118" t="s">
        <v>54</v>
      </c>
      <c r="J1118">
        <v>1578</v>
      </c>
      <c r="K1118">
        <v>3</v>
      </c>
      <c r="L1118" t="s">
        <v>41</v>
      </c>
      <c r="M1118">
        <v>60</v>
      </c>
      <c r="N1118">
        <v>2</v>
      </c>
      <c r="O1118">
        <v>5</v>
      </c>
      <c r="P1118" t="s">
        <v>51</v>
      </c>
      <c r="Q1118">
        <v>4</v>
      </c>
      <c r="R1118" t="s">
        <v>43</v>
      </c>
      <c r="S1118">
        <v>19586</v>
      </c>
      <c r="T1118">
        <v>23037</v>
      </c>
      <c r="U1118">
        <v>1</v>
      </c>
      <c r="V1118" t="s">
        <v>38</v>
      </c>
      <c r="W1118">
        <v>21</v>
      </c>
      <c r="X1118">
        <v>4</v>
      </c>
      <c r="Y1118">
        <v>3</v>
      </c>
      <c r="Z1118">
        <v>1</v>
      </c>
      <c r="AA1118">
        <v>36</v>
      </c>
      <c r="AB1118" t="str">
        <f>IF(Table2[[#This Row],[TotalWorkingYears]]&lt;=5,"Early (0-5)",IF(Table2[[#This Row],[TotalWorkingYears]]&lt;=15,"Mid (6-15)","Senior (16+)"))</f>
        <v>Senior (16+)</v>
      </c>
      <c r="AC1118">
        <v>3</v>
      </c>
      <c r="AD1118">
        <v>3</v>
      </c>
      <c r="AE1118" t="s">
        <v>65</v>
      </c>
      <c r="AF1118">
        <v>6</v>
      </c>
      <c r="AG1118">
        <v>2</v>
      </c>
      <c r="AH1118">
        <v>13</v>
      </c>
    </row>
    <row r="1119" spans="1:34" x14ac:dyDescent="0.3">
      <c r="A1119" t="s">
        <v>59</v>
      </c>
      <c r="B1119">
        <v>0</v>
      </c>
      <c r="C1119" t="s">
        <v>32</v>
      </c>
      <c r="D1119">
        <v>1351</v>
      </c>
      <c r="E1119" t="s">
        <v>40</v>
      </c>
      <c r="F1119">
        <v>1</v>
      </c>
      <c r="G1119" t="str">
        <f>IF(Table2[[#This Row],[DistanceFromHome]]&lt;=5, "short", IF(Table2[[#This Row],[DistanceFromHome]]&lt;=15, "medium", "long"))</f>
        <v>short</v>
      </c>
      <c r="H1119">
        <v>4</v>
      </c>
      <c r="I1119" t="s">
        <v>34</v>
      </c>
      <c r="J1119">
        <v>1580</v>
      </c>
      <c r="K1119">
        <v>2</v>
      </c>
      <c r="L1119" t="s">
        <v>41</v>
      </c>
      <c r="M1119">
        <v>45</v>
      </c>
      <c r="N1119">
        <v>3</v>
      </c>
      <c r="O1119">
        <v>2</v>
      </c>
      <c r="P1119" t="s">
        <v>42</v>
      </c>
      <c r="Q1119">
        <v>4</v>
      </c>
      <c r="R1119" t="s">
        <v>43</v>
      </c>
      <c r="S1119">
        <v>5484</v>
      </c>
      <c r="T1119">
        <v>13008</v>
      </c>
      <c r="U1119">
        <v>9</v>
      </c>
      <c r="V1119" t="s">
        <v>38</v>
      </c>
      <c r="W1119">
        <v>17</v>
      </c>
      <c r="X1119">
        <v>3</v>
      </c>
      <c r="Y1119">
        <v>2</v>
      </c>
      <c r="Z1119">
        <v>1</v>
      </c>
      <c r="AA1119">
        <v>9</v>
      </c>
      <c r="AB1119" t="str">
        <f>IF(Table2[[#This Row],[TotalWorkingYears]]&lt;=5,"Early (0-5)",IF(Table2[[#This Row],[TotalWorkingYears]]&lt;=15,"Mid (6-15)","Senior (16+)"))</f>
        <v>Mid (6-15)</v>
      </c>
      <c r="AC1119">
        <v>3</v>
      </c>
      <c r="AD1119">
        <v>2</v>
      </c>
      <c r="AE1119" t="s">
        <v>63</v>
      </c>
      <c r="AF1119">
        <v>2</v>
      </c>
      <c r="AG1119">
        <v>2</v>
      </c>
      <c r="AH1119">
        <v>1</v>
      </c>
    </row>
    <row r="1120" spans="1:34" x14ac:dyDescent="0.3">
      <c r="A1120" t="s">
        <v>59</v>
      </c>
      <c r="B1120">
        <v>0</v>
      </c>
      <c r="C1120" t="s">
        <v>32</v>
      </c>
      <c r="D1120">
        <v>474</v>
      </c>
      <c r="E1120" t="s">
        <v>40</v>
      </c>
      <c r="F1120">
        <v>3</v>
      </c>
      <c r="G1120" t="str">
        <f>IF(Table2[[#This Row],[DistanceFromHome]]&lt;=5, "short", IF(Table2[[#This Row],[DistanceFromHome]]&lt;=15, "medium", "long"))</f>
        <v>short</v>
      </c>
      <c r="H1120">
        <v>3</v>
      </c>
      <c r="I1120" t="s">
        <v>34</v>
      </c>
      <c r="J1120">
        <v>1581</v>
      </c>
      <c r="K1120">
        <v>1</v>
      </c>
      <c r="L1120" t="s">
        <v>35</v>
      </c>
      <c r="M1120">
        <v>89</v>
      </c>
      <c r="N1120">
        <v>3</v>
      </c>
      <c r="O1120">
        <v>1</v>
      </c>
      <c r="P1120" t="s">
        <v>42</v>
      </c>
      <c r="Q1120">
        <v>4</v>
      </c>
      <c r="R1120" t="s">
        <v>43</v>
      </c>
      <c r="S1120">
        <v>2061</v>
      </c>
      <c r="T1120">
        <v>11133</v>
      </c>
      <c r="U1120">
        <v>1</v>
      </c>
      <c r="V1120" t="s">
        <v>38</v>
      </c>
      <c r="W1120">
        <v>21</v>
      </c>
      <c r="X1120">
        <v>4</v>
      </c>
      <c r="Y1120">
        <v>1</v>
      </c>
      <c r="Z1120">
        <v>0</v>
      </c>
      <c r="AA1120">
        <v>1</v>
      </c>
      <c r="AB1120" t="str">
        <f>IF(Table2[[#This Row],[TotalWorkingYears]]&lt;=5,"Early (0-5)",IF(Table2[[#This Row],[TotalWorkingYears]]&lt;=15,"Mid (6-15)","Senior (16+)"))</f>
        <v>Early (0-5)</v>
      </c>
      <c r="AC1120">
        <v>5</v>
      </c>
      <c r="AD1120">
        <v>3</v>
      </c>
      <c r="AE1120" t="s">
        <v>63</v>
      </c>
      <c r="AF1120">
        <v>0</v>
      </c>
      <c r="AG1120">
        <v>0</v>
      </c>
      <c r="AH1120">
        <v>0</v>
      </c>
    </row>
    <row r="1121" spans="1:34" x14ac:dyDescent="0.3">
      <c r="A1121" t="s">
        <v>57</v>
      </c>
      <c r="B1121">
        <v>0</v>
      </c>
      <c r="C1121" t="s">
        <v>32</v>
      </c>
      <c r="D1121">
        <v>1245</v>
      </c>
      <c r="E1121" t="s">
        <v>33</v>
      </c>
      <c r="F1121">
        <v>14</v>
      </c>
      <c r="G1121" t="str">
        <f>IF(Table2[[#This Row],[DistanceFromHome]]&lt;=5, "short", IF(Table2[[#This Row],[DistanceFromHome]]&lt;=15, "medium", "long"))</f>
        <v>medium</v>
      </c>
      <c r="H1121">
        <v>3</v>
      </c>
      <c r="I1121" t="s">
        <v>34</v>
      </c>
      <c r="J1121">
        <v>1582</v>
      </c>
      <c r="K1121">
        <v>3</v>
      </c>
      <c r="L1121" t="s">
        <v>41</v>
      </c>
      <c r="M1121">
        <v>80</v>
      </c>
      <c r="N1121">
        <v>3</v>
      </c>
      <c r="O1121">
        <v>2</v>
      </c>
      <c r="P1121" t="s">
        <v>36</v>
      </c>
      <c r="Q1121">
        <v>2</v>
      </c>
      <c r="R1121" t="s">
        <v>43</v>
      </c>
      <c r="S1121">
        <v>9924</v>
      </c>
      <c r="T1121">
        <v>12355</v>
      </c>
      <c r="U1121">
        <v>0</v>
      </c>
      <c r="V1121" t="s">
        <v>38</v>
      </c>
      <c r="W1121">
        <v>11</v>
      </c>
      <c r="X1121">
        <v>3</v>
      </c>
      <c r="Y1121">
        <v>4</v>
      </c>
      <c r="Z1121">
        <v>1</v>
      </c>
      <c r="AA1121">
        <v>10</v>
      </c>
      <c r="AB1121" t="str">
        <f>IF(Table2[[#This Row],[TotalWorkingYears]]&lt;=5,"Early (0-5)",IF(Table2[[#This Row],[TotalWorkingYears]]&lt;=15,"Mid (6-15)","Senior (16+)"))</f>
        <v>Mid (6-15)</v>
      </c>
      <c r="AC1121">
        <v>3</v>
      </c>
      <c r="AD1121">
        <v>3</v>
      </c>
      <c r="AE1121" t="s">
        <v>62</v>
      </c>
      <c r="AF1121">
        <v>8</v>
      </c>
      <c r="AG1121">
        <v>7</v>
      </c>
      <c r="AH1121">
        <v>7</v>
      </c>
    </row>
    <row r="1122" spans="1:34" x14ac:dyDescent="0.3">
      <c r="A1122" t="s">
        <v>57</v>
      </c>
      <c r="B1122">
        <v>0</v>
      </c>
      <c r="C1122" t="s">
        <v>32</v>
      </c>
      <c r="D1122">
        <v>437</v>
      </c>
      <c r="E1122" t="s">
        <v>33</v>
      </c>
      <c r="F1122">
        <v>16</v>
      </c>
      <c r="G1122" t="str">
        <f>IF(Table2[[#This Row],[DistanceFromHome]]&lt;=5, "short", IF(Table2[[#This Row],[DistanceFromHome]]&lt;=15, "medium", "long"))</f>
        <v>long</v>
      </c>
      <c r="H1122">
        <v>3</v>
      </c>
      <c r="I1122" t="s">
        <v>34</v>
      </c>
      <c r="J1122">
        <v>1583</v>
      </c>
      <c r="K1122">
        <v>2</v>
      </c>
      <c r="L1122" t="s">
        <v>35</v>
      </c>
      <c r="M1122">
        <v>90</v>
      </c>
      <c r="N1122">
        <v>3</v>
      </c>
      <c r="O1122">
        <v>2</v>
      </c>
      <c r="P1122" t="s">
        <v>36</v>
      </c>
      <c r="Q1122">
        <v>2</v>
      </c>
      <c r="R1122" t="s">
        <v>37</v>
      </c>
      <c r="S1122">
        <v>4198</v>
      </c>
      <c r="T1122">
        <v>16379</v>
      </c>
      <c r="U1122">
        <v>2</v>
      </c>
      <c r="V1122" t="s">
        <v>38</v>
      </c>
      <c r="W1122">
        <v>12</v>
      </c>
      <c r="X1122">
        <v>3</v>
      </c>
      <c r="Y1122">
        <v>2</v>
      </c>
      <c r="Z1122">
        <v>0</v>
      </c>
      <c r="AA1122">
        <v>8</v>
      </c>
      <c r="AB1122" t="str">
        <f>IF(Table2[[#This Row],[TotalWorkingYears]]&lt;=5,"Early (0-5)",IF(Table2[[#This Row],[TotalWorkingYears]]&lt;=15,"Mid (6-15)","Senior (16+)"))</f>
        <v>Mid (6-15)</v>
      </c>
      <c r="AC1122">
        <v>5</v>
      </c>
      <c r="AD1122">
        <v>4</v>
      </c>
      <c r="AE1122" t="s">
        <v>64</v>
      </c>
      <c r="AF1122">
        <v>2</v>
      </c>
      <c r="AG1122">
        <v>1</v>
      </c>
      <c r="AH1122">
        <v>2</v>
      </c>
    </row>
    <row r="1123" spans="1:34" x14ac:dyDescent="0.3">
      <c r="A1123" t="s">
        <v>57</v>
      </c>
      <c r="B1123">
        <v>0</v>
      </c>
      <c r="C1123" t="s">
        <v>32</v>
      </c>
      <c r="D1123">
        <v>884</v>
      </c>
      <c r="E1123" t="s">
        <v>33</v>
      </c>
      <c r="F1123">
        <v>1</v>
      </c>
      <c r="G1123" t="str">
        <f>IF(Table2[[#This Row],[DistanceFromHome]]&lt;=5, "short", IF(Table2[[#This Row],[DistanceFromHome]]&lt;=15, "medium", "long"))</f>
        <v>short</v>
      </c>
      <c r="H1123">
        <v>4</v>
      </c>
      <c r="I1123" t="s">
        <v>34</v>
      </c>
      <c r="J1123">
        <v>1585</v>
      </c>
      <c r="K1123">
        <v>2</v>
      </c>
      <c r="L1123" t="s">
        <v>35</v>
      </c>
      <c r="M1123">
        <v>73</v>
      </c>
      <c r="N1123">
        <v>3</v>
      </c>
      <c r="O1123">
        <v>2</v>
      </c>
      <c r="P1123" t="s">
        <v>36</v>
      </c>
      <c r="Q1123">
        <v>3</v>
      </c>
      <c r="R1123" t="s">
        <v>37</v>
      </c>
      <c r="S1123">
        <v>6815</v>
      </c>
      <c r="T1123">
        <v>21447</v>
      </c>
      <c r="U1123">
        <v>6</v>
      </c>
      <c r="V1123" t="s">
        <v>38</v>
      </c>
      <c r="W1123">
        <v>13</v>
      </c>
      <c r="X1123">
        <v>3</v>
      </c>
      <c r="Y1123">
        <v>1</v>
      </c>
      <c r="Z1123">
        <v>0</v>
      </c>
      <c r="AA1123">
        <v>15</v>
      </c>
      <c r="AB1123" t="str">
        <f>IF(Table2[[#This Row],[TotalWorkingYears]]&lt;=5,"Early (0-5)",IF(Table2[[#This Row],[TotalWorkingYears]]&lt;=15,"Mid (6-15)","Senior (16+)"))</f>
        <v>Mid (6-15)</v>
      </c>
      <c r="AC1123">
        <v>5</v>
      </c>
      <c r="AD1123">
        <v>3</v>
      </c>
      <c r="AE1123" t="s">
        <v>63</v>
      </c>
      <c r="AF1123">
        <v>0</v>
      </c>
      <c r="AG1123">
        <v>0</v>
      </c>
      <c r="AH1123">
        <v>0</v>
      </c>
    </row>
    <row r="1124" spans="1:34" x14ac:dyDescent="0.3">
      <c r="A1124" t="s">
        <v>59</v>
      </c>
      <c r="B1124">
        <v>0</v>
      </c>
      <c r="C1124" t="s">
        <v>32</v>
      </c>
      <c r="D1124">
        <v>1370</v>
      </c>
      <c r="E1124" t="s">
        <v>40</v>
      </c>
      <c r="F1124">
        <v>3</v>
      </c>
      <c r="G1124" t="str">
        <f>IF(Table2[[#This Row],[DistanceFromHome]]&lt;=5, "short", IF(Table2[[#This Row],[DistanceFromHome]]&lt;=15, "medium", "long"))</f>
        <v>short</v>
      </c>
      <c r="H1124">
        <v>1</v>
      </c>
      <c r="I1124" t="s">
        <v>46</v>
      </c>
      <c r="J1124">
        <v>1586</v>
      </c>
      <c r="K1124">
        <v>2</v>
      </c>
      <c r="L1124" t="s">
        <v>41</v>
      </c>
      <c r="M1124">
        <v>87</v>
      </c>
      <c r="N1124">
        <v>3</v>
      </c>
      <c r="O1124">
        <v>1</v>
      </c>
      <c r="P1124" t="s">
        <v>45</v>
      </c>
      <c r="Q1124">
        <v>1</v>
      </c>
      <c r="R1124" t="s">
        <v>37</v>
      </c>
      <c r="S1124">
        <v>4723</v>
      </c>
      <c r="T1124">
        <v>16213</v>
      </c>
      <c r="U1124">
        <v>1</v>
      </c>
      <c r="V1124" t="s">
        <v>31</v>
      </c>
      <c r="W1124">
        <v>18</v>
      </c>
      <c r="X1124">
        <v>3</v>
      </c>
      <c r="Y1124">
        <v>4</v>
      </c>
      <c r="Z1124">
        <v>0</v>
      </c>
      <c r="AA1124">
        <v>10</v>
      </c>
      <c r="AB1124" t="str">
        <f>IF(Table2[[#This Row],[TotalWorkingYears]]&lt;=5,"Early (0-5)",IF(Table2[[#This Row],[TotalWorkingYears]]&lt;=15,"Mid (6-15)","Senior (16+)"))</f>
        <v>Mid (6-15)</v>
      </c>
      <c r="AC1124">
        <v>3</v>
      </c>
      <c r="AD1124">
        <v>3</v>
      </c>
      <c r="AE1124" t="s">
        <v>62</v>
      </c>
      <c r="AF1124">
        <v>9</v>
      </c>
      <c r="AG1124">
        <v>1</v>
      </c>
      <c r="AH1124">
        <v>5</v>
      </c>
    </row>
    <row r="1125" spans="1:34" x14ac:dyDescent="0.3">
      <c r="A1125" t="s">
        <v>59</v>
      </c>
      <c r="B1125">
        <v>0</v>
      </c>
      <c r="C1125" t="s">
        <v>32</v>
      </c>
      <c r="D1125">
        <v>670</v>
      </c>
      <c r="E1125" t="s">
        <v>40</v>
      </c>
      <c r="F1125">
        <v>10</v>
      </c>
      <c r="G1125" t="str">
        <f>IF(Table2[[#This Row],[DistanceFromHome]]&lt;=5, "short", IF(Table2[[#This Row],[DistanceFromHome]]&lt;=15, "medium", "long"))</f>
        <v>medium</v>
      </c>
      <c r="H1125">
        <v>4</v>
      </c>
      <c r="I1125" t="s">
        <v>46</v>
      </c>
      <c r="J1125">
        <v>1587</v>
      </c>
      <c r="K1125">
        <v>1</v>
      </c>
      <c r="L1125" t="s">
        <v>35</v>
      </c>
      <c r="M1125">
        <v>51</v>
      </c>
      <c r="N1125">
        <v>3</v>
      </c>
      <c r="O1125">
        <v>2</v>
      </c>
      <c r="P1125" t="s">
        <v>49</v>
      </c>
      <c r="Q1125">
        <v>3</v>
      </c>
      <c r="R1125" t="s">
        <v>37</v>
      </c>
      <c r="S1125">
        <v>6142</v>
      </c>
      <c r="T1125">
        <v>4223</v>
      </c>
      <c r="U1125">
        <v>3</v>
      </c>
      <c r="V1125" t="s">
        <v>31</v>
      </c>
      <c r="W1125">
        <v>16</v>
      </c>
      <c r="X1125">
        <v>3</v>
      </c>
      <c r="Y1125">
        <v>3</v>
      </c>
      <c r="Z1125">
        <v>0</v>
      </c>
      <c r="AA1125">
        <v>10</v>
      </c>
      <c r="AB1125" t="str">
        <f>IF(Table2[[#This Row],[TotalWorkingYears]]&lt;=5,"Early (0-5)",IF(Table2[[#This Row],[TotalWorkingYears]]&lt;=15,"Mid (6-15)","Senior (16+)"))</f>
        <v>Mid (6-15)</v>
      </c>
      <c r="AC1125">
        <v>4</v>
      </c>
      <c r="AD1125">
        <v>3</v>
      </c>
      <c r="AE1125" t="s">
        <v>64</v>
      </c>
      <c r="AF1125">
        <v>2</v>
      </c>
      <c r="AG1125">
        <v>0</v>
      </c>
      <c r="AH1125">
        <v>4</v>
      </c>
    </row>
    <row r="1126" spans="1:34" x14ac:dyDescent="0.3">
      <c r="A1126" t="s">
        <v>57</v>
      </c>
      <c r="B1126">
        <v>0</v>
      </c>
      <c r="C1126" t="s">
        <v>32</v>
      </c>
      <c r="D1126">
        <v>1462</v>
      </c>
      <c r="E1126" t="s">
        <v>33</v>
      </c>
      <c r="F1126">
        <v>6</v>
      </c>
      <c r="G1126" t="str">
        <f>IF(Table2[[#This Row],[DistanceFromHome]]&lt;=5, "short", IF(Table2[[#This Row],[DistanceFromHome]]&lt;=15, "medium", "long"))</f>
        <v>medium</v>
      </c>
      <c r="H1126">
        <v>3</v>
      </c>
      <c r="I1126" t="s">
        <v>46</v>
      </c>
      <c r="J1126">
        <v>1588</v>
      </c>
      <c r="K1126">
        <v>4</v>
      </c>
      <c r="L1126" t="s">
        <v>41</v>
      </c>
      <c r="M1126">
        <v>38</v>
      </c>
      <c r="N1126">
        <v>4</v>
      </c>
      <c r="O1126">
        <v>3</v>
      </c>
      <c r="P1126" t="s">
        <v>36</v>
      </c>
      <c r="Q1126">
        <v>3</v>
      </c>
      <c r="R1126" t="s">
        <v>43</v>
      </c>
      <c r="S1126">
        <v>8237</v>
      </c>
      <c r="T1126">
        <v>4658</v>
      </c>
      <c r="U1126">
        <v>2</v>
      </c>
      <c r="V1126" t="s">
        <v>38</v>
      </c>
      <c r="W1126">
        <v>11</v>
      </c>
      <c r="X1126">
        <v>3</v>
      </c>
      <c r="Y1126">
        <v>1</v>
      </c>
      <c r="Z1126">
        <v>1</v>
      </c>
      <c r="AA1126">
        <v>11</v>
      </c>
      <c r="AB1126" t="str">
        <f>IF(Table2[[#This Row],[TotalWorkingYears]]&lt;=5,"Early (0-5)",IF(Table2[[#This Row],[TotalWorkingYears]]&lt;=15,"Mid (6-15)","Senior (16+)"))</f>
        <v>Mid (6-15)</v>
      </c>
      <c r="AC1126">
        <v>3</v>
      </c>
      <c r="AD1126">
        <v>3</v>
      </c>
      <c r="AE1126" t="s">
        <v>62</v>
      </c>
      <c r="AF1126">
        <v>6</v>
      </c>
      <c r="AG1126">
        <v>7</v>
      </c>
      <c r="AH1126">
        <v>6</v>
      </c>
    </row>
    <row r="1127" spans="1:34" x14ac:dyDescent="0.3">
      <c r="A1127" t="s">
        <v>59</v>
      </c>
      <c r="B1127">
        <v>0</v>
      </c>
      <c r="C1127" t="s">
        <v>39</v>
      </c>
      <c r="D1127">
        <v>995</v>
      </c>
      <c r="E1127" t="s">
        <v>40</v>
      </c>
      <c r="F1127">
        <v>2</v>
      </c>
      <c r="G1127" t="str">
        <f>IF(Table2[[#This Row],[DistanceFromHome]]&lt;=5, "short", IF(Table2[[#This Row],[DistanceFromHome]]&lt;=15, "medium", "long"))</f>
        <v>short</v>
      </c>
      <c r="H1127">
        <v>1</v>
      </c>
      <c r="I1127" t="s">
        <v>34</v>
      </c>
      <c r="J1127">
        <v>1590</v>
      </c>
      <c r="K1127">
        <v>1</v>
      </c>
      <c r="L1127" t="s">
        <v>41</v>
      </c>
      <c r="M1127">
        <v>87</v>
      </c>
      <c r="N1127">
        <v>3</v>
      </c>
      <c r="O1127">
        <v>2</v>
      </c>
      <c r="P1127" t="s">
        <v>49</v>
      </c>
      <c r="Q1127">
        <v>4</v>
      </c>
      <c r="R1127" t="s">
        <v>47</v>
      </c>
      <c r="S1127">
        <v>8853</v>
      </c>
      <c r="T1127">
        <v>24483</v>
      </c>
      <c r="U1127">
        <v>1</v>
      </c>
      <c r="V1127" t="s">
        <v>38</v>
      </c>
      <c r="W1127">
        <v>19</v>
      </c>
      <c r="X1127">
        <v>3</v>
      </c>
      <c r="Y1127">
        <v>4</v>
      </c>
      <c r="Z1127">
        <v>1</v>
      </c>
      <c r="AA1127">
        <v>6</v>
      </c>
      <c r="AB1127" t="str">
        <f>IF(Table2[[#This Row],[TotalWorkingYears]]&lt;=5,"Early (0-5)",IF(Table2[[#This Row],[TotalWorkingYears]]&lt;=15,"Mid (6-15)","Senior (16+)"))</f>
        <v>Mid (6-15)</v>
      </c>
      <c r="AC1127">
        <v>0</v>
      </c>
      <c r="AD1127">
        <v>4</v>
      </c>
      <c r="AE1127" t="s">
        <v>62</v>
      </c>
      <c r="AF1127">
        <v>4</v>
      </c>
      <c r="AG1127">
        <v>1</v>
      </c>
      <c r="AH1127">
        <v>3</v>
      </c>
    </row>
    <row r="1128" spans="1:34" x14ac:dyDescent="0.3">
      <c r="A1128" t="s">
        <v>58</v>
      </c>
      <c r="B1128">
        <v>0</v>
      </c>
      <c r="C1128" t="s">
        <v>32</v>
      </c>
      <c r="D1128">
        <v>264</v>
      </c>
      <c r="E1128" t="s">
        <v>33</v>
      </c>
      <c r="F1128">
        <v>9</v>
      </c>
      <c r="G1128" t="str">
        <f>IF(Table2[[#This Row],[DistanceFromHome]]&lt;=5, "short", IF(Table2[[#This Row],[DistanceFromHome]]&lt;=15, "medium", "long"))</f>
        <v>medium</v>
      </c>
      <c r="H1128">
        <v>3</v>
      </c>
      <c r="I1128" t="s">
        <v>54</v>
      </c>
      <c r="J1128">
        <v>1591</v>
      </c>
      <c r="K1128">
        <v>3</v>
      </c>
      <c r="L1128" t="s">
        <v>41</v>
      </c>
      <c r="M1128">
        <v>59</v>
      </c>
      <c r="N1128">
        <v>3</v>
      </c>
      <c r="O1128">
        <v>5</v>
      </c>
      <c r="P1128" t="s">
        <v>51</v>
      </c>
      <c r="Q1128">
        <v>3</v>
      </c>
      <c r="R1128" t="s">
        <v>43</v>
      </c>
      <c r="S1128">
        <v>19331</v>
      </c>
      <c r="T1128">
        <v>19519</v>
      </c>
      <c r="U1128">
        <v>4</v>
      </c>
      <c r="V1128" t="s">
        <v>31</v>
      </c>
      <c r="W1128">
        <v>16</v>
      </c>
      <c r="X1128">
        <v>3</v>
      </c>
      <c r="Y1128">
        <v>3</v>
      </c>
      <c r="Z1128">
        <v>1</v>
      </c>
      <c r="AA1128">
        <v>27</v>
      </c>
      <c r="AB1128" t="str">
        <f>IF(Table2[[#This Row],[TotalWorkingYears]]&lt;=5,"Early (0-5)",IF(Table2[[#This Row],[TotalWorkingYears]]&lt;=15,"Mid (6-15)","Senior (16+)"))</f>
        <v>Senior (16+)</v>
      </c>
      <c r="AC1128">
        <v>2</v>
      </c>
      <c r="AD1128">
        <v>3</v>
      </c>
      <c r="AE1128" t="s">
        <v>63</v>
      </c>
      <c r="AF1128">
        <v>0</v>
      </c>
      <c r="AG1128">
        <v>0</v>
      </c>
      <c r="AH1128">
        <v>0</v>
      </c>
    </row>
    <row r="1129" spans="1:34" x14ac:dyDescent="0.3">
      <c r="A1129" t="s">
        <v>60</v>
      </c>
      <c r="B1129">
        <v>0</v>
      </c>
      <c r="C1129" t="s">
        <v>32</v>
      </c>
      <c r="D1129">
        <v>977</v>
      </c>
      <c r="E1129" t="s">
        <v>40</v>
      </c>
      <c r="F1129">
        <v>10</v>
      </c>
      <c r="G1129" t="str">
        <f>IF(Table2[[#This Row],[DistanceFromHome]]&lt;=5, "short", IF(Table2[[#This Row],[DistanceFromHome]]&lt;=15, "medium", "long"))</f>
        <v>medium</v>
      </c>
      <c r="H1129">
        <v>3</v>
      </c>
      <c r="I1129" t="s">
        <v>55</v>
      </c>
      <c r="J1129">
        <v>1592</v>
      </c>
      <c r="K1129">
        <v>4</v>
      </c>
      <c r="L1129" t="s">
        <v>41</v>
      </c>
      <c r="M1129">
        <v>45</v>
      </c>
      <c r="N1129">
        <v>4</v>
      </c>
      <c r="O1129">
        <v>1</v>
      </c>
      <c r="P1129" t="s">
        <v>42</v>
      </c>
      <c r="Q1129">
        <v>3</v>
      </c>
      <c r="R1129" t="s">
        <v>43</v>
      </c>
      <c r="S1129">
        <v>2073</v>
      </c>
      <c r="T1129">
        <v>12826</v>
      </c>
      <c r="U1129">
        <v>2</v>
      </c>
      <c r="V1129" t="s">
        <v>38</v>
      </c>
      <c r="W1129">
        <v>16</v>
      </c>
      <c r="X1129">
        <v>3</v>
      </c>
      <c r="Y1129">
        <v>4</v>
      </c>
      <c r="Z1129">
        <v>1</v>
      </c>
      <c r="AA1129">
        <v>4</v>
      </c>
      <c r="AB1129" t="str">
        <f>IF(Table2[[#This Row],[TotalWorkingYears]]&lt;=5,"Early (0-5)",IF(Table2[[#This Row],[TotalWorkingYears]]&lt;=15,"Mid (6-15)","Senior (16+)"))</f>
        <v>Early (0-5)</v>
      </c>
      <c r="AC1129">
        <v>2</v>
      </c>
      <c r="AD1129">
        <v>3</v>
      </c>
      <c r="AE1129" t="s">
        <v>63</v>
      </c>
      <c r="AF1129">
        <v>2</v>
      </c>
      <c r="AG1129">
        <v>2</v>
      </c>
      <c r="AH1129">
        <v>2</v>
      </c>
    </row>
    <row r="1130" spans="1:34" x14ac:dyDescent="0.3">
      <c r="A1130" t="s">
        <v>57</v>
      </c>
      <c r="B1130">
        <v>0</v>
      </c>
      <c r="C1130" t="s">
        <v>39</v>
      </c>
      <c r="D1130">
        <v>1302</v>
      </c>
      <c r="E1130" t="s">
        <v>40</v>
      </c>
      <c r="F1130">
        <v>6</v>
      </c>
      <c r="G1130" t="str">
        <f>IF(Table2[[#This Row],[DistanceFromHome]]&lt;=5, "short", IF(Table2[[#This Row],[DistanceFromHome]]&lt;=15, "medium", "long"))</f>
        <v>medium</v>
      </c>
      <c r="H1130">
        <v>4</v>
      </c>
      <c r="I1130" t="s">
        <v>34</v>
      </c>
      <c r="J1130">
        <v>1594</v>
      </c>
      <c r="K1130">
        <v>1</v>
      </c>
      <c r="L1130" t="s">
        <v>41</v>
      </c>
      <c r="M1130">
        <v>80</v>
      </c>
      <c r="N1130">
        <v>4</v>
      </c>
      <c r="O1130">
        <v>2</v>
      </c>
      <c r="P1130" t="s">
        <v>45</v>
      </c>
      <c r="Q1130">
        <v>1</v>
      </c>
      <c r="R1130" t="s">
        <v>43</v>
      </c>
      <c r="S1130">
        <v>5562</v>
      </c>
      <c r="T1130">
        <v>19711</v>
      </c>
      <c r="U1130">
        <v>3</v>
      </c>
      <c r="V1130" t="s">
        <v>31</v>
      </c>
      <c r="W1130">
        <v>13</v>
      </c>
      <c r="X1130">
        <v>3</v>
      </c>
      <c r="Y1130">
        <v>4</v>
      </c>
      <c r="Z1130">
        <v>1</v>
      </c>
      <c r="AA1130">
        <v>9</v>
      </c>
      <c r="AB1130" t="str">
        <f>IF(Table2[[#This Row],[TotalWorkingYears]]&lt;=5,"Early (0-5)",IF(Table2[[#This Row],[TotalWorkingYears]]&lt;=15,"Mid (6-15)","Senior (16+)"))</f>
        <v>Mid (6-15)</v>
      </c>
      <c r="AC1130">
        <v>3</v>
      </c>
      <c r="AD1130">
        <v>3</v>
      </c>
      <c r="AE1130" t="s">
        <v>64</v>
      </c>
      <c r="AF1130">
        <v>2</v>
      </c>
      <c r="AG1130">
        <v>0</v>
      </c>
      <c r="AH1130">
        <v>2</v>
      </c>
    </row>
    <row r="1131" spans="1:34" x14ac:dyDescent="0.3">
      <c r="A1131" t="s">
        <v>57</v>
      </c>
      <c r="B1131">
        <v>0</v>
      </c>
      <c r="C1131" t="s">
        <v>32</v>
      </c>
      <c r="D1131">
        <v>1059</v>
      </c>
      <c r="E1131" t="s">
        <v>40</v>
      </c>
      <c r="F1131">
        <v>9</v>
      </c>
      <c r="G1131" t="str">
        <f>IF(Table2[[#This Row],[DistanceFromHome]]&lt;=5, "short", IF(Table2[[#This Row],[DistanceFromHome]]&lt;=15, "medium", "long"))</f>
        <v>medium</v>
      </c>
      <c r="H1131">
        <v>2</v>
      </c>
      <c r="I1131" t="s">
        <v>44</v>
      </c>
      <c r="J1131">
        <v>1595</v>
      </c>
      <c r="K1131">
        <v>4</v>
      </c>
      <c r="L1131" t="s">
        <v>41</v>
      </c>
      <c r="M1131">
        <v>93</v>
      </c>
      <c r="N1131">
        <v>2</v>
      </c>
      <c r="O1131">
        <v>5</v>
      </c>
      <c r="P1131" t="s">
        <v>51</v>
      </c>
      <c r="Q1131">
        <v>4</v>
      </c>
      <c r="R1131" t="s">
        <v>37</v>
      </c>
      <c r="S1131">
        <v>19613</v>
      </c>
      <c r="T1131">
        <v>26362</v>
      </c>
      <c r="U1131">
        <v>8</v>
      </c>
      <c r="V1131" t="s">
        <v>38</v>
      </c>
      <c r="W1131">
        <v>22</v>
      </c>
      <c r="X1131">
        <v>4</v>
      </c>
      <c r="Y1131">
        <v>4</v>
      </c>
      <c r="Z1131">
        <v>0</v>
      </c>
      <c r="AA1131">
        <v>24</v>
      </c>
      <c r="AB1131" t="str">
        <f>IF(Table2[[#This Row],[TotalWorkingYears]]&lt;=5,"Early (0-5)",IF(Table2[[#This Row],[TotalWorkingYears]]&lt;=15,"Mid (6-15)","Senior (16+)"))</f>
        <v>Senior (16+)</v>
      </c>
      <c r="AC1131">
        <v>2</v>
      </c>
      <c r="AD1131">
        <v>3</v>
      </c>
      <c r="AE1131" t="s">
        <v>63</v>
      </c>
      <c r="AF1131">
        <v>0</v>
      </c>
      <c r="AG1131">
        <v>0</v>
      </c>
      <c r="AH1131">
        <v>1</v>
      </c>
    </row>
    <row r="1132" spans="1:34" x14ac:dyDescent="0.3">
      <c r="A1132" t="s">
        <v>59</v>
      </c>
      <c r="B1132">
        <v>0</v>
      </c>
      <c r="C1132" t="s">
        <v>32</v>
      </c>
      <c r="D1132">
        <v>750</v>
      </c>
      <c r="E1132" t="s">
        <v>40</v>
      </c>
      <c r="F1132">
        <v>28</v>
      </c>
      <c r="G1132" t="str">
        <f>IF(Table2[[#This Row],[DistanceFromHome]]&lt;=5, "short", IF(Table2[[#This Row],[DistanceFromHome]]&lt;=15, "medium", "long"))</f>
        <v>long</v>
      </c>
      <c r="H1132">
        <v>3</v>
      </c>
      <c r="I1132" t="s">
        <v>34</v>
      </c>
      <c r="J1132">
        <v>1596</v>
      </c>
      <c r="K1132">
        <v>2</v>
      </c>
      <c r="L1132" t="s">
        <v>41</v>
      </c>
      <c r="M1132">
        <v>46</v>
      </c>
      <c r="N1132">
        <v>4</v>
      </c>
      <c r="O1132">
        <v>2</v>
      </c>
      <c r="P1132" t="s">
        <v>45</v>
      </c>
      <c r="Q1132">
        <v>3</v>
      </c>
      <c r="R1132" t="s">
        <v>43</v>
      </c>
      <c r="S1132">
        <v>3407</v>
      </c>
      <c r="T1132">
        <v>25348</v>
      </c>
      <c r="U1132">
        <v>1</v>
      </c>
      <c r="V1132" t="s">
        <v>38</v>
      </c>
      <c r="W1132">
        <v>17</v>
      </c>
      <c r="X1132">
        <v>3</v>
      </c>
      <c r="Y1132">
        <v>4</v>
      </c>
      <c r="Z1132">
        <v>2</v>
      </c>
      <c r="AA1132">
        <v>10</v>
      </c>
      <c r="AB1132" t="str">
        <f>IF(Table2[[#This Row],[TotalWorkingYears]]&lt;=5,"Early (0-5)",IF(Table2[[#This Row],[TotalWorkingYears]]&lt;=15,"Mid (6-15)","Senior (16+)"))</f>
        <v>Mid (6-15)</v>
      </c>
      <c r="AC1132">
        <v>3</v>
      </c>
      <c r="AD1132">
        <v>2</v>
      </c>
      <c r="AE1132" t="s">
        <v>62</v>
      </c>
      <c r="AF1132">
        <v>9</v>
      </c>
      <c r="AG1132">
        <v>6</v>
      </c>
      <c r="AH1132">
        <v>8</v>
      </c>
    </row>
    <row r="1133" spans="1:34" x14ac:dyDescent="0.3">
      <c r="A1133" t="s">
        <v>59</v>
      </c>
      <c r="B1133">
        <v>0</v>
      </c>
      <c r="C1133" t="s">
        <v>39</v>
      </c>
      <c r="D1133">
        <v>653</v>
      </c>
      <c r="E1133" t="s">
        <v>40</v>
      </c>
      <c r="F1133">
        <v>10</v>
      </c>
      <c r="G1133" t="str">
        <f>IF(Table2[[#This Row],[DistanceFromHome]]&lt;=5, "short", IF(Table2[[#This Row],[DistanceFromHome]]&lt;=15, "medium", "long"))</f>
        <v>medium</v>
      </c>
      <c r="H1133">
        <v>4</v>
      </c>
      <c r="I1133" t="s">
        <v>55</v>
      </c>
      <c r="J1133">
        <v>1597</v>
      </c>
      <c r="K1133">
        <v>4</v>
      </c>
      <c r="L1133" t="s">
        <v>41</v>
      </c>
      <c r="M1133">
        <v>92</v>
      </c>
      <c r="N1133">
        <v>2</v>
      </c>
      <c r="O1133">
        <v>2</v>
      </c>
      <c r="P1133" t="s">
        <v>49</v>
      </c>
      <c r="Q1133">
        <v>3</v>
      </c>
      <c r="R1133" t="s">
        <v>43</v>
      </c>
      <c r="S1133">
        <v>5063</v>
      </c>
      <c r="T1133">
        <v>15332</v>
      </c>
      <c r="U1133">
        <v>1</v>
      </c>
      <c r="V1133" t="s">
        <v>38</v>
      </c>
      <c r="W1133">
        <v>14</v>
      </c>
      <c r="X1133">
        <v>3</v>
      </c>
      <c r="Y1133">
        <v>2</v>
      </c>
      <c r="Z1133">
        <v>1</v>
      </c>
      <c r="AA1133">
        <v>8</v>
      </c>
      <c r="AB1133" t="str">
        <f>IF(Table2[[#This Row],[TotalWorkingYears]]&lt;=5,"Early (0-5)",IF(Table2[[#This Row],[TotalWorkingYears]]&lt;=15,"Mid (6-15)","Senior (16+)"))</f>
        <v>Mid (6-15)</v>
      </c>
      <c r="AC1133">
        <v>3</v>
      </c>
      <c r="AD1133">
        <v>2</v>
      </c>
      <c r="AE1133" t="s">
        <v>62</v>
      </c>
      <c r="AF1133">
        <v>2</v>
      </c>
      <c r="AG1133">
        <v>7</v>
      </c>
      <c r="AH1133">
        <v>7</v>
      </c>
    </row>
    <row r="1134" spans="1:34" x14ac:dyDescent="0.3">
      <c r="A1134" t="s">
        <v>57</v>
      </c>
      <c r="B1134">
        <v>0</v>
      </c>
      <c r="C1134" t="s">
        <v>32</v>
      </c>
      <c r="D1134">
        <v>118</v>
      </c>
      <c r="E1134" t="s">
        <v>33</v>
      </c>
      <c r="F1134">
        <v>14</v>
      </c>
      <c r="G1134" t="str">
        <f>IF(Table2[[#This Row],[DistanceFromHome]]&lt;=5, "short", IF(Table2[[#This Row],[DistanceFromHome]]&lt;=15, "medium", "long"))</f>
        <v>medium</v>
      </c>
      <c r="H1134">
        <v>2</v>
      </c>
      <c r="I1134" t="s">
        <v>34</v>
      </c>
      <c r="J1134">
        <v>1598</v>
      </c>
      <c r="K1134">
        <v>4</v>
      </c>
      <c r="L1134" t="s">
        <v>35</v>
      </c>
      <c r="M1134">
        <v>84</v>
      </c>
      <c r="N1134">
        <v>3</v>
      </c>
      <c r="O1134">
        <v>2</v>
      </c>
      <c r="P1134" t="s">
        <v>36</v>
      </c>
      <c r="Q1134">
        <v>1</v>
      </c>
      <c r="R1134" t="s">
        <v>43</v>
      </c>
      <c r="S1134">
        <v>4639</v>
      </c>
      <c r="T1134">
        <v>11262</v>
      </c>
      <c r="U1134">
        <v>1</v>
      </c>
      <c r="V1134" t="s">
        <v>38</v>
      </c>
      <c r="W1134">
        <v>15</v>
      </c>
      <c r="X1134">
        <v>3</v>
      </c>
      <c r="Y1134">
        <v>3</v>
      </c>
      <c r="Z1134">
        <v>1</v>
      </c>
      <c r="AA1134">
        <v>5</v>
      </c>
      <c r="AB1134" t="str">
        <f>IF(Table2[[#This Row],[TotalWorkingYears]]&lt;=5,"Early (0-5)",IF(Table2[[#This Row],[TotalWorkingYears]]&lt;=15,"Mid (6-15)","Senior (16+)"))</f>
        <v>Early (0-5)</v>
      </c>
      <c r="AC1134">
        <v>2</v>
      </c>
      <c r="AD1134">
        <v>3</v>
      </c>
      <c r="AE1134" t="s">
        <v>64</v>
      </c>
      <c r="AF1134">
        <v>4</v>
      </c>
      <c r="AG1134">
        <v>1</v>
      </c>
      <c r="AH1134">
        <v>2</v>
      </c>
    </row>
    <row r="1135" spans="1:34" x14ac:dyDescent="0.3">
      <c r="A1135" t="s">
        <v>57</v>
      </c>
      <c r="B1135">
        <v>0</v>
      </c>
      <c r="C1135" t="s">
        <v>32</v>
      </c>
      <c r="D1135">
        <v>990</v>
      </c>
      <c r="E1135" t="s">
        <v>40</v>
      </c>
      <c r="F1135">
        <v>27</v>
      </c>
      <c r="G1135" t="str">
        <f>IF(Table2[[#This Row],[DistanceFromHome]]&lt;=5, "short", IF(Table2[[#This Row],[DistanceFromHome]]&lt;=15, "medium", "long"))</f>
        <v>long</v>
      </c>
      <c r="H1135">
        <v>3</v>
      </c>
      <c r="I1135" t="s">
        <v>55</v>
      </c>
      <c r="J1135">
        <v>1599</v>
      </c>
      <c r="K1135">
        <v>4</v>
      </c>
      <c r="L1135" t="s">
        <v>41</v>
      </c>
      <c r="M1135">
        <v>87</v>
      </c>
      <c r="N1135">
        <v>4</v>
      </c>
      <c r="O1135">
        <v>1</v>
      </c>
      <c r="P1135" t="s">
        <v>45</v>
      </c>
      <c r="Q1135">
        <v>2</v>
      </c>
      <c r="R1135" t="s">
        <v>47</v>
      </c>
      <c r="S1135">
        <v>4876</v>
      </c>
      <c r="T1135">
        <v>5855</v>
      </c>
      <c r="U1135">
        <v>5</v>
      </c>
      <c r="V1135" t="s">
        <v>38</v>
      </c>
      <c r="W1135">
        <v>12</v>
      </c>
      <c r="X1135">
        <v>3</v>
      </c>
      <c r="Y1135">
        <v>3</v>
      </c>
      <c r="Z1135">
        <v>1</v>
      </c>
      <c r="AA1135">
        <v>8</v>
      </c>
      <c r="AB1135" t="str">
        <f>IF(Table2[[#This Row],[TotalWorkingYears]]&lt;=5,"Early (0-5)",IF(Table2[[#This Row],[TotalWorkingYears]]&lt;=15,"Mid (6-15)","Senior (16+)"))</f>
        <v>Mid (6-15)</v>
      </c>
      <c r="AC1135">
        <v>0</v>
      </c>
      <c r="AD1135">
        <v>3</v>
      </c>
      <c r="AE1135" t="s">
        <v>62</v>
      </c>
      <c r="AF1135">
        <v>4</v>
      </c>
      <c r="AG1135">
        <v>0</v>
      </c>
      <c r="AH1135">
        <v>2</v>
      </c>
    </row>
    <row r="1136" spans="1:34" x14ac:dyDescent="0.3">
      <c r="A1136" t="s">
        <v>59</v>
      </c>
      <c r="B1136">
        <v>0</v>
      </c>
      <c r="C1136" t="s">
        <v>32</v>
      </c>
      <c r="D1136">
        <v>1349</v>
      </c>
      <c r="E1136" t="s">
        <v>40</v>
      </c>
      <c r="F1136">
        <v>7</v>
      </c>
      <c r="G1136" t="str">
        <f>IF(Table2[[#This Row],[DistanceFromHome]]&lt;=5, "short", IF(Table2[[#This Row],[DistanceFromHome]]&lt;=15, "medium", "long"))</f>
        <v>medium</v>
      </c>
      <c r="H1136">
        <v>2</v>
      </c>
      <c r="I1136" t="s">
        <v>34</v>
      </c>
      <c r="J1136">
        <v>1601</v>
      </c>
      <c r="K1136">
        <v>3</v>
      </c>
      <c r="L1136" t="s">
        <v>41</v>
      </c>
      <c r="M1136">
        <v>63</v>
      </c>
      <c r="N1136">
        <v>2</v>
      </c>
      <c r="O1136">
        <v>1</v>
      </c>
      <c r="P1136" t="s">
        <v>45</v>
      </c>
      <c r="Q1136">
        <v>4</v>
      </c>
      <c r="R1136" t="s">
        <v>43</v>
      </c>
      <c r="S1136">
        <v>2690</v>
      </c>
      <c r="T1136">
        <v>7713</v>
      </c>
      <c r="U1136">
        <v>1</v>
      </c>
      <c r="V1136" t="s">
        <v>38</v>
      </c>
      <c r="W1136">
        <v>18</v>
      </c>
      <c r="X1136">
        <v>3</v>
      </c>
      <c r="Y1136">
        <v>4</v>
      </c>
      <c r="Z1136">
        <v>1</v>
      </c>
      <c r="AA1136">
        <v>1</v>
      </c>
      <c r="AB1136" t="str">
        <f>IF(Table2[[#This Row],[TotalWorkingYears]]&lt;=5,"Early (0-5)",IF(Table2[[#This Row],[TotalWorkingYears]]&lt;=15,"Mid (6-15)","Senior (16+)"))</f>
        <v>Early (0-5)</v>
      </c>
      <c r="AC1136">
        <v>5</v>
      </c>
      <c r="AD1136">
        <v>2</v>
      </c>
      <c r="AE1136" t="s">
        <v>63</v>
      </c>
      <c r="AF1136">
        <v>0</v>
      </c>
      <c r="AG1136">
        <v>0</v>
      </c>
      <c r="AH1136">
        <v>1</v>
      </c>
    </row>
    <row r="1137" spans="1:34" x14ac:dyDescent="0.3">
      <c r="A1137" t="s">
        <v>58</v>
      </c>
      <c r="B1137">
        <v>0</v>
      </c>
      <c r="C1137" t="s">
        <v>32</v>
      </c>
      <c r="D1137">
        <v>563</v>
      </c>
      <c r="E1137" t="s">
        <v>33</v>
      </c>
      <c r="F1137">
        <v>1</v>
      </c>
      <c r="G1137" t="str">
        <f>IF(Table2[[#This Row],[DistanceFromHome]]&lt;=5, "short", IF(Table2[[#This Row],[DistanceFromHome]]&lt;=15, "medium", "long"))</f>
        <v>short</v>
      </c>
      <c r="H1137">
        <v>4</v>
      </c>
      <c r="I1137" t="s">
        <v>34</v>
      </c>
      <c r="J1137">
        <v>1602</v>
      </c>
      <c r="K1137">
        <v>4</v>
      </c>
      <c r="L1137" t="s">
        <v>41</v>
      </c>
      <c r="M1137">
        <v>56</v>
      </c>
      <c r="N1137">
        <v>4</v>
      </c>
      <c r="O1137">
        <v>4</v>
      </c>
      <c r="P1137" t="s">
        <v>51</v>
      </c>
      <c r="Q1137">
        <v>1</v>
      </c>
      <c r="R1137" t="s">
        <v>37</v>
      </c>
      <c r="S1137">
        <v>17567</v>
      </c>
      <c r="T1137">
        <v>3156</v>
      </c>
      <c r="U1137">
        <v>1</v>
      </c>
      <c r="V1137" t="s">
        <v>38</v>
      </c>
      <c r="W1137">
        <v>15</v>
      </c>
      <c r="X1137">
        <v>3</v>
      </c>
      <c r="Y1137">
        <v>2</v>
      </c>
      <c r="Z1137">
        <v>0</v>
      </c>
      <c r="AA1137">
        <v>27</v>
      </c>
      <c r="AB1137" t="str">
        <f>IF(Table2[[#This Row],[TotalWorkingYears]]&lt;=5,"Early (0-5)",IF(Table2[[#This Row],[TotalWorkingYears]]&lt;=15,"Mid (6-15)","Senior (16+)"))</f>
        <v>Senior (16+)</v>
      </c>
      <c r="AC1137">
        <v>5</v>
      </c>
      <c r="AD1137">
        <v>1</v>
      </c>
      <c r="AE1137" t="s">
        <v>65</v>
      </c>
      <c r="AF1137">
        <v>0</v>
      </c>
      <c r="AG1137">
        <v>0</v>
      </c>
      <c r="AH1137">
        <v>12</v>
      </c>
    </row>
    <row r="1138" spans="1:34" x14ac:dyDescent="0.3">
      <c r="A1138" t="s">
        <v>59</v>
      </c>
      <c r="B1138">
        <v>1</v>
      </c>
      <c r="C1138" t="s">
        <v>32</v>
      </c>
      <c r="D1138">
        <v>329</v>
      </c>
      <c r="E1138" t="s">
        <v>40</v>
      </c>
      <c r="F1138">
        <v>24</v>
      </c>
      <c r="G1138" t="str">
        <f>IF(Table2[[#This Row],[DistanceFromHome]]&lt;=5, "short", IF(Table2[[#This Row],[DistanceFromHome]]&lt;=15, "medium", "long"))</f>
        <v>long</v>
      </c>
      <c r="H1138">
        <v>3</v>
      </c>
      <c r="I1138" t="s">
        <v>46</v>
      </c>
      <c r="J1138">
        <v>1604</v>
      </c>
      <c r="K1138">
        <v>3</v>
      </c>
      <c r="L1138" t="s">
        <v>41</v>
      </c>
      <c r="M1138">
        <v>51</v>
      </c>
      <c r="N1138">
        <v>3</v>
      </c>
      <c r="O1138">
        <v>1</v>
      </c>
      <c r="P1138" t="s">
        <v>45</v>
      </c>
      <c r="Q1138">
        <v>2</v>
      </c>
      <c r="R1138" t="s">
        <v>43</v>
      </c>
      <c r="S1138">
        <v>2408</v>
      </c>
      <c r="T1138">
        <v>7324</v>
      </c>
      <c r="U1138">
        <v>1</v>
      </c>
      <c r="V1138" t="s">
        <v>31</v>
      </c>
      <c r="W1138">
        <v>17</v>
      </c>
      <c r="X1138">
        <v>3</v>
      </c>
      <c r="Y1138">
        <v>3</v>
      </c>
      <c r="Z1138">
        <v>3</v>
      </c>
      <c r="AA1138">
        <v>1</v>
      </c>
      <c r="AB1138" t="str">
        <f>IF(Table2[[#This Row],[TotalWorkingYears]]&lt;=5,"Early (0-5)",IF(Table2[[#This Row],[TotalWorkingYears]]&lt;=15,"Mid (6-15)","Senior (16+)"))</f>
        <v>Early (0-5)</v>
      </c>
      <c r="AC1138">
        <v>3</v>
      </c>
      <c r="AD1138">
        <v>3</v>
      </c>
      <c r="AE1138" t="s">
        <v>63</v>
      </c>
      <c r="AF1138">
        <v>1</v>
      </c>
      <c r="AG1138">
        <v>0</v>
      </c>
      <c r="AH1138">
        <v>0</v>
      </c>
    </row>
    <row r="1139" spans="1:34" x14ac:dyDescent="0.3">
      <c r="A1139" t="s">
        <v>60</v>
      </c>
      <c r="B1139">
        <v>0</v>
      </c>
      <c r="C1139" t="s">
        <v>50</v>
      </c>
      <c r="D1139">
        <v>457</v>
      </c>
      <c r="E1139" t="s">
        <v>40</v>
      </c>
      <c r="F1139">
        <v>26</v>
      </c>
      <c r="G1139" t="str">
        <f>IF(Table2[[#This Row],[DistanceFromHome]]&lt;=5, "short", IF(Table2[[#This Row],[DistanceFromHome]]&lt;=15, "medium", "long"))</f>
        <v>long</v>
      </c>
      <c r="H1139">
        <v>2</v>
      </c>
      <c r="I1139" t="s">
        <v>44</v>
      </c>
      <c r="J1139">
        <v>1605</v>
      </c>
      <c r="K1139">
        <v>2</v>
      </c>
      <c r="L1139" t="s">
        <v>35</v>
      </c>
      <c r="M1139">
        <v>85</v>
      </c>
      <c r="N1139">
        <v>2</v>
      </c>
      <c r="O1139">
        <v>1</v>
      </c>
      <c r="P1139" t="s">
        <v>42</v>
      </c>
      <c r="Q1139">
        <v>3</v>
      </c>
      <c r="R1139" t="s">
        <v>43</v>
      </c>
      <c r="S1139">
        <v>2814</v>
      </c>
      <c r="T1139">
        <v>10293</v>
      </c>
      <c r="U1139">
        <v>1</v>
      </c>
      <c r="V1139" t="s">
        <v>31</v>
      </c>
      <c r="W1139">
        <v>14</v>
      </c>
      <c r="X1139">
        <v>3</v>
      </c>
      <c r="Y1139">
        <v>2</v>
      </c>
      <c r="Z1139">
        <v>0</v>
      </c>
      <c r="AA1139">
        <v>4</v>
      </c>
      <c r="AB1139" t="str">
        <f>IF(Table2[[#This Row],[TotalWorkingYears]]&lt;=5,"Early (0-5)",IF(Table2[[#This Row],[TotalWorkingYears]]&lt;=15,"Mid (6-15)","Senior (16+)"))</f>
        <v>Early (0-5)</v>
      </c>
      <c r="AC1139">
        <v>2</v>
      </c>
      <c r="AD1139">
        <v>2</v>
      </c>
      <c r="AE1139" t="s">
        <v>64</v>
      </c>
      <c r="AF1139">
        <v>2</v>
      </c>
      <c r="AG1139">
        <v>1</v>
      </c>
      <c r="AH1139">
        <v>3</v>
      </c>
    </row>
    <row r="1140" spans="1:34" x14ac:dyDescent="0.3">
      <c r="A1140" t="s">
        <v>58</v>
      </c>
      <c r="B1140">
        <v>0</v>
      </c>
      <c r="C1140" t="s">
        <v>39</v>
      </c>
      <c r="D1140">
        <v>1234</v>
      </c>
      <c r="E1140" t="s">
        <v>40</v>
      </c>
      <c r="F1140">
        <v>20</v>
      </c>
      <c r="G1140" t="str">
        <f>IF(Table2[[#This Row],[DistanceFromHome]]&lt;=5, "short", IF(Table2[[#This Row],[DistanceFromHome]]&lt;=15, "medium", "long"))</f>
        <v>long</v>
      </c>
      <c r="H1140">
        <v>5</v>
      </c>
      <c r="I1140" t="s">
        <v>46</v>
      </c>
      <c r="J1140">
        <v>1606</v>
      </c>
      <c r="K1140">
        <v>2</v>
      </c>
      <c r="L1140" t="s">
        <v>41</v>
      </c>
      <c r="M1140">
        <v>41</v>
      </c>
      <c r="N1140">
        <v>3</v>
      </c>
      <c r="O1140">
        <v>4</v>
      </c>
      <c r="P1140" t="s">
        <v>49</v>
      </c>
      <c r="Q1140">
        <v>3</v>
      </c>
      <c r="R1140" t="s">
        <v>43</v>
      </c>
      <c r="S1140">
        <v>11245</v>
      </c>
      <c r="T1140">
        <v>20689</v>
      </c>
      <c r="U1140">
        <v>2</v>
      </c>
      <c r="V1140" t="s">
        <v>31</v>
      </c>
      <c r="W1140">
        <v>15</v>
      </c>
      <c r="X1140">
        <v>3</v>
      </c>
      <c r="Y1140">
        <v>3</v>
      </c>
      <c r="Z1140">
        <v>1</v>
      </c>
      <c r="AA1140">
        <v>32</v>
      </c>
      <c r="AB1140" t="str">
        <f>IF(Table2[[#This Row],[TotalWorkingYears]]&lt;=5,"Early (0-5)",IF(Table2[[#This Row],[TotalWorkingYears]]&lt;=15,"Mid (6-15)","Senior (16+)"))</f>
        <v>Senior (16+)</v>
      </c>
      <c r="AC1140">
        <v>3</v>
      </c>
      <c r="AD1140">
        <v>3</v>
      </c>
      <c r="AE1140" t="s">
        <v>65</v>
      </c>
      <c r="AF1140">
        <v>8</v>
      </c>
      <c r="AG1140">
        <v>12</v>
      </c>
      <c r="AH1140">
        <v>13</v>
      </c>
    </row>
    <row r="1141" spans="1:34" x14ac:dyDescent="0.3">
      <c r="A1141" t="s">
        <v>59</v>
      </c>
      <c r="B1141">
        <v>0</v>
      </c>
      <c r="C1141" t="s">
        <v>32</v>
      </c>
      <c r="D1141">
        <v>634</v>
      </c>
      <c r="E1141" t="s">
        <v>40</v>
      </c>
      <c r="F1141">
        <v>5</v>
      </c>
      <c r="G1141" t="str">
        <f>IF(Table2[[#This Row],[DistanceFromHome]]&lt;=5, "short", IF(Table2[[#This Row],[DistanceFromHome]]&lt;=15, "medium", "long"))</f>
        <v>short</v>
      </c>
      <c r="H1141">
        <v>4</v>
      </c>
      <c r="I1141" t="s">
        <v>44</v>
      </c>
      <c r="J1141">
        <v>1607</v>
      </c>
      <c r="K1141">
        <v>2</v>
      </c>
      <c r="L1141" t="s">
        <v>35</v>
      </c>
      <c r="M1141">
        <v>35</v>
      </c>
      <c r="N1141">
        <v>4</v>
      </c>
      <c r="O1141">
        <v>1</v>
      </c>
      <c r="P1141" t="s">
        <v>42</v>
      </c>
      <c r="Q1141">
        <v>4</v>
      </c>
      <c r="R1141" t="s">
        <v>43</v>
      </c>
      <c r="S1141">
        <v>3312</v>
      </c>
      <c r="T1141">
        <v>18783</v>
      </c>
      <c r="U1141">
        <v>3</v>
      </c>
      <c r="V1141" t="s">
        <v>38</v>
      </c>
      <c r="W1141">
        <v>17</v>
      </c>
      <c r="X1141">
        <v>3</v>
      </c>
      <c r="Y1141">
        <v>4</v>
      </c>
      <c r="Z1141">
        <v>2</v>
      </c>
      <c r="AA1141">
        <v>6</v>
      </c>
      <c r="AB1141" t="str">
        <f>IF(Table2[[#This Row],[TotalWorkingYears]]&lt;=5,"Early (0-5)",IF(Table2[[#This Row],[TotalWorkingYears]]&lt;=15,"Mid (6-15)","Senior (16+)"))</f>
        <v>Mid (6-15)</v>
      </c>
      <c r="AC1141">
        <v>3</v>
      </c>
      <c r="AD1141">
        <v>3</v>
      </c>
      <c r="AE1141" t="s">
        <v>64</v>
      </c>
      <c r="AF1141">
        <v>2</v>
      </c>
      <c r="AG1141">
        <v>0</v>
      </c>
      <c r="AH1141">
        <v>2</v>
      </c>
    </row>
    <row r="1142" spans="1:34" x14ac:dyDescent="0.3">
      <c r="A1142" t="s">
        <v>57</v>
      </c>
      <c r="B1142">
        <v>0</v>
      </c>
      <c r="C1142" t="s">
        <v>32</v>
      </c>
      <c r="D1142">
        <v>1313</v>
      </c>
      <c r="E1142" t="s">
        <v>40</v>
      </c>
      <c r="F1142">
        <v>7</v>
      </c>
      <c r="G1142" t="str">
        <f>IF(Table2[[#This Row],[DistanceFromHome]]&lt;=5, "short", IF(Table2[[#This Row],[DistanceFromHome]]&lt;=15, "medium", "long"))</f>
        <v>medium</v>
      </c>
      <c r="H1142">
        <v>3</v>
      </c>
      <c r="I1142" t="s">
        <v>46</v>
      </c>
      <c r="J1142">
        <v>1608</v>
      </c>
      <c r="K1142">
        <v>2</v>
      </c>
      <c r="L1142" t="s">
        <v>35</v>
      </c>
      <c r="M1142">
        <v>31</v>
      </c>
      <c r="N1142">
        <v>3</v>
      </c>
      <c r="O1142">
        <v>5</v>
      </c>
      <c r="P1142" t="s">
        <v>53</v>
      </c>
      <c r="Q1142">
        <v>4</v>
      </c>
      <c r="R1142" t="s">
        <v>47</v>
      </c>
      <c r="S1142">
        <v>19049</v>
      </c>
      <c r="T1142">
        <v>3549</v>
      </c>
      <c r="U1142">
        <v>0</v>
      </c>
      <c r="V1142" t="s">
        <v>31</v>
      </c>
      <c r="W1142">
        <v>14</v>
      </c>
      <c r="X1142">
        <v>3</v>
      </c>
      <c r="Y1142">
        <v>4</v>
      </c>
      <c r="Z1142">
        <v>1</v>
      </c>
      <c r="AA1142">
        <v>23</v>
      </c>
      <c r="AB1142" t="str">
        <f>IF(Table2[[#This Row],[TotalWorkingYears]]&lt;=5,"Early (0-5)",IF(Table2[[#This Row],[TotalWorkingYears]]&lt;=15,"Mid (6-15)","Senior (16+)"))</f>
        <v>Senior (16+)</v>
      </c>
      <c r="AC1142">
        <v>4</v>
      </c>
      <c r="AD1142">
        <v>2</v>
      </c>
      <c r="AE1142" t="s">
        <v>65</v>
      </c>
      <c r="AF1142">
        <v>7</v>
      </c>
      <c r="AG1142">
        <v>1</v>
      </c>
      <c r="AH1142">
        <v>10</v>
      </c>
    </row>
    <row r="1143" spans="1:34" x14ac:dyDescent="0.3">
      <c r="A1143" t="s">
        <v>59</v>
      </c>
      <c r="B1143">
        <v>0</v>
      </c>
      <c r="C1143" t="s">
        <v>32</v>
      </c>
      <c r="D1143">
        <v>241</v>
      </c>
      <c r="E1143" t="s">
        <v>40</v>
      </c>
      <c r="F1143">
        <v>7</v>
      </c>
      <c r="G1143" t="str">
        <f>IF(Table2[[#This Row],[DistanceFromHome]]&lt;=5, "short", IF(Table2[[#This Row],[DistanceFromHome]]&lt;=15, "medium", "long"))</f>
        <v>medium</v>
      </c>
      <c r="H1143">
        <v>3</v>
      </c>
      <c r="I1143" t="s">
        <v>46</v>
      </c>
      <c r="J1143">
        <v>1609</v>
      </c>
      <c r="K1143">
        <v>2</v>
      </c>
      <c r="L1143" t="s">
        <v>41</v>
      </c>
      <c r="M1143">
        <v>48</v>
      </c>
      <c r="N1143">
        <v>2</v>
      </c>
      <c r="O1143">
        <v>1</v>
      </c>
      <c r="P1143" t="s">
        <v>42</v>
      </c>
      <c r="Q1143">
        <v>2</v>
      </c>
      <c r="R1143" t="s">
        <v>43</v>
      </c>
      <c r="S1143">
        <v>2141</v>
      </c>
      <c r="T1143">
        <v>5348</v>
      </c>
      <c r="U1143">
        <v>1</v>
      </c>
      <c r="V1143" t="s">
        <v>38</v>
      </c>
      <c r="W1143">
        <v>12</v>
      </c>
      <c r="X1143">
        <v>3</v>
      </c>
      <c r="Y1143">
        <v>2</v>
      </c>
      <c r="Z1143">
        <v>1</v>
      </c>
      <c r="AA1143">
        <v>6</v>
      </c>
      <c r="AB1143" t="str">
        <f>IF(Table2[[#This Row],[TotalWorkingYears]]&lt;=5,"Early (0-5)",IF(Table2[[#This Row],[TotalWorkingYears]]&lt;=15,"Mid (6-15)","Senior (16+)"))</f>
        <v>Mid (6-15)</v>
      </c>
      <c r="AC1143">
        <v>3</v>
      </c>
      <c r="AD1143">
        <v>2</v>
      </c>
      <c r="AE1143" t="s">
        <v>62</v>
      </c>
      <c r="AF1143">
        <v>4</v>
      </c>
      <c r="AG1143">
        <v>1</v>
      </c>
      <c r="AH1143">
        <v>1</v>
      </c>
    </row>
    <row r="1144" spans="1:34" x14ac:dyDescent="0.3">
      <c r="A1144" t="s">
        <v>57</v>
      </c>
      <c r="B1144">
        <v>0</v>
      </c>
      <c r="C1144" t="s">
        <v>32</v>
      </c>
      <c r="D1144">
        <v>1015</v>
      </c>
      <c r="E1144" t="s">
        <v>40</v>
      </c>
      <c r="F1144">
        <v>5</v>
      </c>
      <c r="G1144" t="str">
        <f>IF(Table2[[#This Row],[DistanceFromHome]]&lt;=5, "short", IF(Table2[[#This Row],[DistanceFromHome]]&lt;=15, "medium", "long"))</f>
        <v>short</v>
      </c>
      <c r="H1144">
        <v>5</v>
      </c>
      <c r="I1144" t="s">
        <v>46</v>
      </c>
      <c r="J1144">
        <v>1611</v>
      </c>
      <c r="K1144">
        <v>3</v>
      </c>
      <c r="L1144" t="s">
        <v>35</v>
      </c>
      <c r="M1144">
        <v>50</v>
      </c>
      <c r="N1144">
        <v>1</v>
      </c>
      <c r="O1144">
        <v>2</v>
      </c>
      <c r="P1144" t="s">
        <v>45</v>
      </c>
      <c r="Q1144">
        <v>1</v>
      </c>
      <c r="R1144" t="s">
        <v>37</v>
      </c>
      <c r="S1144">
        <v>5769</v>
      </c>
      <c r="T1144">
        <v>23447</v>
      </c>
      <c r="U1144">
        <v>1</v>
      </c>
      <c r="V1144" t="s">
        <v>31</v>
      </c>
      <c r="W1144">
        <v>14</v>
      </c>
      <c r="X1144">
        <v>3</v>
      </c>
      <c r="Y1144">
        <v>1</v>
      </c>
      <c r="Z1144">
        <v>0</v>
      </c>
      <c r="AA1144">
        <v>10</v>
      </c>
      <c r="AB1144" t="str">
        <f>IF(Table2[[#This Row],[TotalWorkingYears]]&lt;=5,"Early (0-5)",IF(Table2[[#This Row],[TotalWorkingYears]]&lt;=15,"Mid (6-15)","Senior (16+)"))</f>
        <v>Mid (6-15)</v>
      </c>
      <c r="AC1144">
        <v>3</v>
      </c>
      <c r="AD1144">
        <v>3</v>
      </c>
      <c r="AE1144" t="s">
        <v>62</v>
      </c>
      <c r="AF1144">
        <v>7</v>
      </c>
      <c r="AG1144">
        <v>1</v>
      </c>
      <c r="AH1144">
        <v>4</v>
      </c>
    </row>
    <row r="1145" spans="1:34" x14ac:dyDescent="0.3">
      <c r="A1145" t="s">
        <v>57</v>
      </c>
      <c r="B1145">
        <v>0</v>
      </c>
      <c r="C1145" t="s">
        <v>50</v>
      </c>
      <c r="D1145">
        <v>336</v>
      </c>
      <c r="E1145" t="s">
        <v>33</v>
      </c>
      <c r="F1145">
        <v>26</v>
      </c>
      <c r="G1145" t="str">
        <f>IF(Table2[[#This Row],[DistanceFromHome]]&lt;=5, "short", IF(Table2[[#This Row],[DistanceFromHome]]&lt;=15, "medium", "long"))</f>
        <v>long</v>
      </c>
      <c r="H1145">
        <v>3</v>
      </c>
      <c r="I1145" t="s">
        <v>54</v>
      </c>
      <c r="J1145">
        <v>1612</v>
      </c>
      <c r="K1145">
        <v>1</v>
      </c>
      <c r="L1145" t="s">
        <v>41</v>
      </c>
      <c r="M1145">
        <v>52</v>
      </c>
      <c r="N1145">
        <v>2</v>
      </c>
      <c r="O1145">
        <v>2</v>
      </c>
      <c r="P1145" t="s">
        <v>36</v>
      </c>
      <c r="Q1145">
        <v>1</v>
      </c>
      <c r="R1145" t="s">
        <v>43</v>
      </c>
      <c r="S1145">
        <v>4385</v>
      </c>
      <c r="T1145">
        <v>24162</v>
      </c>
      <c r="U1145">
        <v>1</v>
      </c>
      <c r="V1145" t="s">
        <v>38</v>
      </c>
      <c r="W1145">
        <v>15</v>
      </c>
      <c r="X1145">
        <v>3</v>
      </c>
      <c r="Y1145">
        <v>1</v>
      </c>
      <c r="Z1145">
        <v>1</v>
      </c>
      <c r="AA1145">
        <v>10</v>
      </c>
      <c r="AB1145" t="str">
        <f>IF(Table2[[#This Row],[TotalWorkingYears]]&lt;=5,"Early (0-5)",IF(Table2[[#This Row],[TotalWorkingYears]]&lt;=15,"Mid (6-15)","Senior (16+)"))</f>
        <v>Mid (6-15)</v>
      </c>
      <c r="AC1145">
        <v>2</v>
      </c>
      <c r="AD1145">
        <v>3</v>
      </c>
      <c r="AE1145" t="s">
        <v>62</v>
      </c>
      <c r="AF1145">
        <v>7</v>
      </c>
      <c r="AG1145">
        <v>4</v>
      </c>
      <c r="AH1145">
        <v>5</v>
      </c>
    </row>
    <row r="1146" spans="1:34" x14ac:dyDescent="0.3">
      <c r="A1146" t="s">
        <v>59</v>
      </c>
      <c r="B1146">
        <v>0</v>
      </c>
      <c r="C1146" t="s">
        <v>39</v>
      </c>
      <c r="D1146">
        <v>715</v>
      </c>
      <c r="E1146" t="s">
        <v>33</v>
      </c>
      <c r="F1146">
        <v>2</v>
      </c>
      <c r="G1146" t="str">
        <f>IF(Table2[[#This Row],[DistanceFromHome]]&lt;=5, "short", IF(Table2[[#This Row],[DistanceFromHome]]&lt;=15, "medium", "long"))</f>
        <v>short</v>
      </c>
      <c r="H1146">
        <v>4</v>
      </c>
      <c r="I1146" t="s">
        <v>44</v>
      </c>
      <c r="J1146">
        <v>1613</v>
      </c>
      <c r="K1146">
        <v>4</v>
      </c>
      <c r="L1146" t="s">
        <v>41</v>
      </c>
      <c r="M1146">
        <v>54</v>
      </c>
      <c r="N1146">
        <v>3</v>
      </c>
      <c r="O1146">
        <v>2</v>
      </c>
      <c r="P1146" t="s">
        <v>36</v>
      </c>
      <c r="Q1146">
        <v>1</v>
      </c>
      <c r="R1146" t="s">
        <v>37</v>
      </c>
      <c r="S1146">
        <v>5332</v>
      </c>
      <c r="T1146">
        <v>21602</v>
      </c>
      <c r="U1146">
        <v>7</v>
      </c>
      <c r="V1146" t="s">
        <v>38</v>
      </c>
      <c r="W1146">
        <v>13</v>
      </c>
      <c r="X1146">
        <v>3</v>
      </c>
      <c r="Y1146">
        <v>4</v>
      </c>
      <c r="Z1146">
        <v>0</v>
      </c>
      <c r="AA1146">
        <v>10</v>
      </c>
      <c r="AB1146" t="str">
        <f>IF(Table2[[#This Row],[TotalWorkingYears]]&lt;=5,"Early (0-5)",IF(Table2[[#This Row],[TotalWorkingYears]]&lt;=15,"Mid (6-15)","Senior (16+)"))</f>
        <v>Mid (6-15)</v>
      </c>
      <c r="AC1146">
        <v>3</v>
      </c>
      <c r="AD1146">
        <v>3</v>
      </c>
      <c r="AE1146" t="s">
        <v>64</v>
      </c>
      <c r="AF1146">
        <v>2</v>
      </c>
      <c r="AG1146">
        <v>0</v>
      </c>
      <c r="AH1146">
        <v>3</v>
      </c>
    </row>
    <row r="1147" spans="1:34" x14ac:dyDescent="0.3">
      <c r="A1147" t="s">
        <v>57</v>
      </c>
      <c r="B1147">
        <v>0</v>
      </c>
      <c r="C1147" t="s">
        <v>32</v>
      </c>
      <c r="D1147">
        <v>559</v>
      </c>
      <c r="E1147" t="s">
        <v>40</v>
      </c>
      <c r="F1147">
        <v>12</v>
      </c>
      <c r="G1147" t="str">
        <f>IF(Table2[[#This Row],[DistanceFromHome]]&lt;=5, "short", IF(Table2[[#This Row],[DistanceFromHome]]&lt;=15, "medium", "long"))</f>
        <v>medium</v>
      </c>
      <c r="H1147">
        <v>4</v>
      </c>
      <c r="I1147" t="s">
        <v>34</v>
      </c>
      <c r="J1147">
        <v>1614</v>
      </c>
      <c r="K1147">
        <v>3</v>
      </c>
      <c r="L1147" t="s">
        <v>35</v>
      </c>
      <c r="M1147">
        <v>76</v>
      </c>
      <c r="N1147">
        <v>3</v>
      </c>
      <c r="O1147">
        <v>2</v>
      </c>
      <c r="P1147" t="s">
        <v>48</v>
      </c>
      <c r="Q1147">
        <v>3</v>
      </c>
      <c r="R1147" t="s">
        <v>43</v>
      </c>
      <c r="S1147">
        <v>4663</v>
      </c>
      <c r="T1147">
        <v>12421</v>
      </c>
      <c r="U1147">
        <v>9</v>
      </c>
      <c r="V1147" t="s">
        <v>31</v>
      </c>
      <c r="W1147">
        <v>12</v>
      </c>
      <c r="X1147">
        <v>3</v>
      </c>
      <c r="Y1147">
        <v>2</v>
      </c>
      <c r="Z1147">
        <v>2</v>
      </c>
      <c r="AA1147">
        <v>7</v>
      </c>
      <c r="AB1147" t="str">
        <f>IF(Table2[[#This Row],[TotalWorkingYears]]&lt;=5,"Early (0-5)",IF(Table2[[#This Row],[TotalWorkingYears]]&lt;=15,"Mid (6-15)","Senior (16+)"))</f>
        <v>Mid (6-15)</v>
      </c>
      <c r="AC1147">
        <v>2</v>
      </c>
      <c r="AD1147">
        <v>3</v>
      </c>
      <c r="AE1147" t="s">
        <v>64</v>
      </c>
      <c r="AF1147">
        <v>2</v>
      </c>
      <c r="AG1147">
        <v>1</v>
      </c>
      <c r="AH1147">
        <v>1</v>
      </c>
    </row>
    <row r="1148" spans="1:34" x14ac:dyDescent="0.3">
      <c r="A1148" t="s">
        <v>59</v>
      </c>
      <c r="B1148">
        <v>0</v>
      </c>
      <c r="C1148" t="s">
        <v>39</v>
      </c>
      <c r="D1148">
        <v>426</v>
      </c>
      <c r="E1148" t="s">
        <v>40</v>
      </c>
      <c r="F1148">
        <v>10</v>
      </c>
      <c r="G1148" t="str">
        <f>IF(Table2[[#This Row],[DistanceFromHome]]&lt;=5, "short", IF(Table2[[#This Row],[DistanceFromHome]]&lt;=15, "medium", "long"))</f>
        <v>medium</v>
      </c>
      <c r="H1148">
        <v>4</v>
      </c>
      <c r="I1148" t="s">
        <v>34</v>
      </c>
      <c r="J1148">
        <v>1615</v>
      </c>
      <c r="K1148">
        <v>3</v>
      </c>
      <c r="L1148" t="s">
        <v>41</v>
      </c>
      <c r="M1148">
        <v>42</v>
      </c>
      <c r="N1148">
        <v>4</v>
      </c>
      <c r="O1148">
        <v>2</v>
      </c>
      <c r="P1148" t="s">
        <v>48</v>
      </c>
      <c r="Q1148">
        <v>4</v>
      </c>
      <c r="R1148" t="s">
        <v>47</v>
      </c>
      <c r="S1148">
        <v>4724</v>
      </c>
      <c r="T1148">
        <v>17000</v>
      </c>
      <c r="U1148">
        <v>1</v>
      </c>
      <c r="V1148" t="s">
        <v>38</v>
      </c>
      <c r="W1148">
        <v>13</v>
      </c>
      <c r="X1148">
        <v>3</v>
      </c>
      <c r="Y1148">
        <v>1</v>
      </c>
      <c r="Z1148">
        <v>1</v>
      </c>
      <c r="AA1148">
        <v>9</v>
      </c>
      <c r="AB1148" t="str">
        <f>IF(Table2[[#This Row],[TotalWorkingYears]]&lt;=5,"Early (0-5)",IF(Table2[[#This Row],[TotalWorkingYears]]&lt;=15,"Mid (6-15)","Senior (16+)"))</f>
        <v>Mid (6-15)</v>
      </c>
      <c r="AC1148">
        <v>3</v>
      </c>
      <c r="AD1148">
        <v>3</v>
      </c>
      <c r="AE1148" t="s">
        <v>62</v>
      </c>
      <c r="AF1148">
        <v>7</v>
      </c>
      <c r="AG1148">
        <v>7</v>
      </c>
      <c r="AH1148">
        <v>2</v>
      </c>
    </row>
    <row r="1149" spans="1:34" x14ac:dyDescent="0.3">
      <c r="A1149" t="s">
        <v>58</v>
      </c>
      <c r="B1149">
        <v>0</v>
      </c>
      <c r="C1149" t="s">
        <v>32</v>
      </c>
      <c r="D1149">
        <v>722</v>
      </c>
      <c r="E1149" t="s">
        <v>40</v>
      </c>
      <c r="F1149">
        <v>25</v>
      </c>
      <c r="G1149" t="str">
        <f>IF(Table2[[#This Row],[DistanceFromHome]]&lt;=5, "short", IF(Table2[[#This Row],[DistanceFromHome]]&lt;=15, "medium", "long"))</f>
        <v>long</v>
      </c>
      <c r="H1149">
        <v>4</v>
      </c>
      <c r="I1149" t="s">
        <v>34</v>
      </c>
      <c r="J1149">
        <v>1617</v>
      </c>
      <c r="K1149">
        <v>3</v>
      </c>
      <c r="L1149" t="s">
        <v>35</v>
      </c>
      <c r="M1149">
        <v>84</v>
      </c>
      <c r="N1149">
        <v>3</v>
      </c>
      <c r="O1149">
        <v>1</v>
      </c>
      <c r="P1149" t="s">
        <v>45</v>
      </c>
      <c r="Q1149">
        <v>1</v>
      </c>
      <c r="R1149" t="s">
        <v>43</v>
      </c>
      <c r="S1149">
        <v>3211</v>
      </c>
      <c r="T1149">
        <v>22102</v>
      </c>
      <c r="U1149">
        <v>1</v>
      </c>
      <c r="V1149" t="s">
        <v>38</v>
      </c>
      <c r="W1149">
        <v>14</v>
      </c>
      <c r="X1149">
        <v>3</v>
      </c>
      <c r="Y1149">
        <v>4</v>
      </c>
      <c r="Z1149">
        <v>1</v>
      </c>
      <c r="AA1149">
        <v>10</v>
      </c>
      <c r="AB1149" t="str">
        <f>IF(Table2[[#This Row],[TotalWorkingYears]]&lt;=5,"Early (0-5)",IF(Table2[[#This Row],[TotalWorkingYears]]&lt;=15,"Mid (6-15)","Senior (16+)"))</f>
        <v>Mid (6-15)</v>
      </c>
      <c r="AC1149">
        <v>3</v>
      </c>
      <c r="AD1149">
        <v>2</v>
      </c>
      <c r="AE1149" t="s">
        <v>62</v>
      </c>
      <c r="AF1149">
        <v>6</v>
      </c>
      <c r="AG1149">
        <v>1</v>
      </c>
      <c r="AH1149">
        <v>4</v>
      </c>
    </row>
    <row r="1150" spans="1:34" x14ac:dyDescent="0.3">
      <c r="A1150" t="s">
        <v>57</v>
      </c>
      <c r="B1150">
        <v>0</v>
      </c>
      <c r="C1150" t="s">
        <v>32</v>
      </c>
      <c r="D1150">
        <v>1387</v>
      </c>
      <c r="E1150" t="s">
        <v>40</v>
      </c>
      <c r="F1150">
        <v>10</v>
      </c>
      <c r="G1150" t="str">
        <f>IF(Table2[[#This Row],[DistanceFromHome]]&lt;=5, "short", IF(Table2[[#This Row],[DistanceFromHome]]&lt;=15, "medium", "long"))</f>
        <v>medium</v>
      </c>
      <c r="H1150">
        <v>5</v>
      </c>
      <c r="I1150" t="s">
        <v>46</v>
      </c>
      <c r="J1150">
        <v>1618</v>
      </c>
      <c r="K1150">
        <v>2</v>
      </c>
      <c r="L1150" t="s">
        <v>41</v>
      </c>
      <c r="M1150">
        <v>76</v>
      </c>
      <c r="N1150">
        <v>3</v>
      </c>
      <c r="O1150">
        <v>2</v>
      </c>
      <c r="P1150" t="s">
        <v>48</v>
      </c>
      <c r="Q1150">
        <v>1</v>
      </c>
      <c r="R1150" t="s">
        <v>43</v>
      </c>
      <c r="S1150">
        <v>5377</v>
      </c>
      <c r="T1150">
        <v>3835</v>
      </c>
      <c r="U1150">
        <v>2</v>
      </c>
      <c r="V1150" t="s">
        <v>38</v>
      </c>
      <c r="W1150">
        <v>13</v>
      </c>
      <c r="X1150">
        <v>3</v>
      </c>
      <c r="Y1150">
        <v>4</v>
      </c>
      <c r="Z1150">
        <v>3</v>
      </c>
      <c r="AA1150">
        <v>10</v>
      </c>
      <c r="AB1150" t="str">
        <f>IF(Table2[[#This Row],[TotalWorkingYears]]&lt;=5,"Early (0-5)",IF(Table2[[#This Row],[TotalWorkingYears]]&lt;=15,"Mid (6-15)","Senior (16+)"))</f>
        <v>Mid (6-15)</v>
      </c>
      <c r="AC1150">
        <v>3</v>
      </c>
      <c r="AD1150">
        <v>3</v>
      </c>
      <c r="AE1150" t="s">
        <v>62</v>
      </c>
      <c r="AF1150">
        <v>7</v>
      </c>
      <c r="AG1150">
        <v>7</v>
      </c>
      <c r="AH1150">
        <v>7</v>
      </c>
    </row>
    <row r="1151" spans="1:34" x14ac:dyDescent="0.3">
      <c r="A1151" t="s">
        <v>59</v>
      </c>
      <c r="B1151">
        <v>0</v>
      </c>
      <c r="C1151" t="s">
        <v>32</v>
      </c>
      <c r="D1151">
        <v>1302</v>
      </c>
      <c r="E1151" t="s">
        <v>40</v>
      </c>
      <c r="F1151">
        <v>19</v>
      </c>
      <c r="G1151" t="str">
        <f>IF(Table2[[#This Row],[DistanceFromHome]]&lt;=5, "short", IF(Table2[[#This Row],[DistanceFromHome]]&lt;=15, "medium", "long"))</f>
        <v>long</v>
      </c>
      <c r="H1151">
        <v>3</v>
      </c>
      <c r="I1151" t="s">
        <v>44</v>
      </c>
      <c r="J1151">
        <v>1619</v>
      </c>
      <c r="K1151">
        <v>4</v>
      </c>
      <c r="L1151" t="s">
        <v>41</v>
      </c>
      <c r="M1151">
        <v>67</v>
      </c>
      <c r="N1151">
        <v>2</v>
      </c>
      <c r="O1151">
        <v>1</v>
      </c>
      <c r="P1151" t="s">
        <v>45</v>
      </c>
      <c r="Q1151">
        <v>1</v>
      </c>
      <c r="R1151" t="s">
        <v>47</v>
      </c>
      <c r="S1151">
        <v>4066</v>
      </c>
      <c r="T1151">
        <v>16290</v>
      </c>
      <c r="U1151">
        <v>1</v>
      </c>
      <c r="V1151" t="s">
        <v>38</v>
      </c>
      <c r="W1151">
        <v>11</v>
      </c>
      <c r="X1151">
        <v>3</v>
      </c>
      <c r="Y1151">
        <v>1</v>
      </c>
      <c r="Z1151">
        <v>2</v>
      </c>
      <c r="AA1151">
        <v>7</v>
      </c>
      <c r="AB1151" t="str">
        <f>IF(Table2[[#This Row],[TotalWorkingYears]]&lt;=5,"Early (0-5)",IF(Table2[[#This Row],[TotalWorkingYears]]&lt;=15,"Mid (6-15)","Senior (16+)"))</f>
        <v>Mid (6-15)</v>
      </c>
      <c r="AC1151">
        <v>3</v>
      </c>
      <c r="AD1151">
        <v>3</v>
      </c>
      <c r="AE1151" t="s">
        <v>62</v>
      </c>
      <c r="AF1151">
        <v>7</v>
      </c>
      <c r="AG1151">
        <v>0</v>
      </c>
      <c r="AH1151">
        <v>7</v>
      </c>
    </row>
    <row r="1152" spans="1:34" x14ac:dyDescent="0.3">
      <c r="A1152" t="s">
        <v>59</v>
      </c>
      <c r="B1152">
        <v>0</v>
      </c>
      <c r="C1152" t="s">
        <v>32</v>
      </c>
      <c r="D1152">
        <v>819</v>
      </c>
      <c r="E1152" t="s">
        <v>40</v>
      </c>
      <c r="F1152">
        <v>18</v>
      </c>
      <c r="G1152" t="str">
        <f>IF(Table2[[#This Row],[DistanceFromHome]]&lt;=5, "short", IF(Table2[[#This Row],[DistanceFromHome]]&lt;=15, "medium", "long"))</f>
        <v>long</v>
      </c>
      <c r="H1152">
        <v>5</v>
      </c>
      <c r="I1152" t="s">
        <v>34</v>
      </c>
      <c r="J1152">
        <v>1621</v>
      </c>
      <c r="K1152">
        <v>2</v>
      </c>
      <c r="L1152" t="s">
        <v>41</v>
      </c>
      <c r="M1152">
        <v>48</v>
      </c>
      <c r="N1152">
        <v>4</v>
      </c>
      <c r="O1152">
        <v>2</v>
      </c>
      <c r="P1152" t="s">
        <v>42</v>
      </c>
      <c r="Q1152">
        <v>1</v>
      </c>
      <c r="R1152" t="s">
        <v>43</v>
      </c>
      <c r="S1152">
        <v>5208</v>
      </c>
      <c r="T1152">
        <v>26312</v>
      </c>
      <c r="U1152">
        <v>1</v>
      </c>
      <c r="V1152" t="s">
        <v>38</v>
      </c>
      <c r="W1152">
        <v>11</v>
      </c>
      <c r="X1152">
        <v>3</v>
      </c>
      <c r="Y1152">
        <v>4</v>
      </c>
      <c r="Z1152">
        <v>0</v>
      </c>
      <c r="AA1152">
        <v>16</v>
      </c>
      <c r="AB1152" t="str">
        <f>IF(Table2[[#This Row],[TotalWorkingYears]]&lt;=5,"Early (0-5)",IF(Table2[[#This Row],[TotalWorkingYears]]&lt;=15,"Mid (6-15)","Senior (16+)"))</f>
        <v>Senior (16+)</v>
      </c>
      <c r="AC1152">
        <v>2</v>
      </c>
      <c r="AD1152">
        <v>3</v>
      </c>
      <c r="AE1152" t="s">
        <v>65</v>
      </c>
      <c r="AF1152">
        <v>15</v>
      </c>
      <c r="AG1152">
        <v>1</v>
      </c>
      <c r="AH1152">
        <v>10</v>
      </c>
    </row>
    <row r="1153" spans="1:34" x14ac:dyDescent="0.3">
      <c r="A1153" t="s">
        <v>59</v>
      </c>
      <c r="B1153">
        <v>0</v>
      </c>
      <c r="C1153" t="s">
        <v>32</v>
      </c>
      <c r="D1153">
        <v>580</v>
      </c>
      <c r="E1153" t="s">
        <v>40</v>
      </c>
      <c r="F1153">
        <v>27</v>
      </c>
      <c r="G1153" t="str">
        <f>IF(Table2[[#This Row],[DistanceFromHome]]&lt;=5, "short", IF(Table2[[#This Row],[DistanceFromHome]]&lt;=15, "medium", "long"))</f>
        <v>long</v>
      </c>
      <c r="H1153">
        <v>3</v>
      </c>
      <c r="I1153" t="s">
        <v>46</v>
      </c>
      <c r="J1153">
        <v>1622</v>
      </c>
      <c r="K1153">
        <v>2</v>
      </c>
      <c r="L1153" t="s">
        <v>35</v>
      </c>
      <c r="M1153">
        <v>39</v>
      </c>
      <c r="N1153">
        <v>1</v>
      </c>
      <c r="O1153">
        <v>2</v>
      </c>
      <c r="P1153" t="s">
        <v>48</v>
      </c>
      <c r="Q1153">
        <v>1</v>
      </c>
      <c r="R1153" t="s">
        <v>47</v>
      </c>
      <c r="S1153">
        <v>4877</v>
      </c>
      <c r="T1153">
        <v>20460</v>
      </c>
      <c r="U1153">
        <v>0</v>
      </c>
      <c r="V1153" t="s">
        <v>38</v>
      </c>
      <c r="W1153">
        <v>21</v>
      </c>
      <c r="X1153">
        <v>4</v>
      </c>
      <c r="Y1153">
        <v>2</v>
      </c>
      <c r="Z1153">
        <v>1</v>
      </c>
      <c r="AA1153">
        <v>6</v>
      </c>
      <c r="AB1153" t="str">
        <f>IF(Table2[[#This Row],[TotalWorkingYears]]&lt;=5,"Early (0-5)",IF(Table2[[#This Row],[TotalWorkingYears]]&lt;=15,"Mid (6-15)","Senior (16+)"))</f>
        <v>Mid (6-15)</v>
      </c>
      <c r="AC1153">
        <v>5</v>
      </c>
      <c r="AD1153">
        <v>2</v>
      </c>
      <c r="AE1153" t="s">
        <v>64</v>
      </c>
      <c r="AF1153">
        <v>3</v>
      </c>
      <c r="AG1153">
        <v>0</v>
      </c>
      <c r="AH1153">
        <v>0</v>
      </c>
    </row>
    <row r="1154" spans="1:34" x14ac:dyDescent="0.3">
      <c r="A1154" t="s">
        <v>60</v>
      </c>
      <c r="B1154">
        <v>0</v>
      </c>
      <c r="C1154" t="s">
        <v>32</v>
      </c>
      <c r="D1154">
        <v>546</v>
      </c>
      <c r="E1154" t="s">
        <v>40</v>
      </c>
      <c r="F1154">
        <v>5</v>
      </c>
      <c r="G1154" t="str">
        <f>IF(Table2[[#This Row],[DistanceFromHome]]&lt;=5, "short", IF(Table2[[#This Row],[DistanceFromHome]]&lt;=15, "medium", "long"))</f>
        <v>short</v>
      </c>
      <c r="H1154">
        <v>1</v>
      </c>
      <c r="I1154" t="s">
        <v>46</v>
      </c>
      <c r="J1154">
        <v>1623</v>
      </c>
      <c r="K1154">
        <v>3</v>
      </c>
      <c r="L1154" t="s">
        <v>41</v>
      </c>
      <c r="M1154">
        <v>97</v>
      </c>
      <c r="N1154">
        <v>3</v>
      </c>
      <c r="O1154">
        <v>1</v>
      </c>
      <c r="P1154" t="s">
        <v>42</v>
      </c>
      <c r="Q1154">
        <v>4</v>
      </c>
      <c r="R1154" t="s">
        <v>37</v>
      </c>
      <c r="S1154">
        <v>3117</v>
      </c>
      <c r="T1154">
        <v>26009</v>
      </c>
      <c r="U1154">
        <v>1</v>
      </c>
      <c r="V1154" t="s">
        <v>38</v>
      </c>
      <c r="W1154">
        <v>18</v>
      </c>
      <c r="X1154">
        <v>3</v>
      </c>
      <c r="Y1154">
        <v>3</v>
      </c>
      <c r="Z1154">
        <v>0</v>
      </c>
      <c r="AA1154">
        <v>3</v>
      </c>
      <c r="AB1154" t="str">
        <f>IF(Table2[[#This Row],[TotalWorkingYears]]&lt;=5,"Early (0-5)",IF(Table2[[#This Row],[TotalWorkingYears]]&lt;=15,"Mid (6-15)","Senior (16+)"))</f>
        <v>Early (0-5)</v>
      </c>
      <c r="AC1154">
        <v>2</v>
      </c>
      <c r="AD1154">
        <v>3</v>
      </c>
      <c r="AE1154" t="s">
        <v>63</v>
      </c>
      <c r="AF1154">
        <v>2</v>
      </c>
      <c r="AG1154">
        <v>2</v>
      </c>
      <c r="AH1154">
        <v>2</v>
      </c>
    </row>
    <row r="1155" spans="1:34" x14ac:dyDescent="0.3">
      <c r="A1155" t="s">
        <v>60</v>
      </c>
      <c r="B1155">
        <v>1</v>
      </c>
      <c r="C1155" t="s">
        <v>39</v>
      </c>
      <c r="D1155">
        <v>544</v>
      </c>
      <c r="E1155" t="s">
        <v>33</v>
      </c>
      <c r="F1155">
        <v>3</v>
      </c>
      <c r="G1155" t="str">
        <f>IF(Table2[[#This Row],[DistanceFromHome]]&lt;=5, "short", IF(Table2[[#This Row],[DistanceFromHome]]&lt;=15, "medium", "long"))</f>
        <v>short</v>
      </c>
      <c r="H1155">
        <v>2</v>
      </c>
      <c r="I1155" t="s">
        <v>46</v>
      </c>
      <c r="J1155">
        <v>1624</v>
      </c>
      <c r="K1155">
        <v>2</v>
      </c>
      <c r="L1155" t="s">
        <v>35</v>
      </c>
      <c r="M1155">
        <v>70</v>
      </c>
      <c r="N1155">
        <v>3</v>
      </c>
      <c r="O1155">
        <v>1</v>
      </c>
      <c r="P1155" t="s">
        <v>52</v>
      </c>
      <c r="Q1155">
        <v>4</v>
      </c>
      <c r="R1155" t="s">
        <v>37</v>
      </c>
      <c r="S1155">
        <v>1569</v>
      </c>
      <c r="T1155">
        <v>18420</v>
      </c>
      <c r="U1155">
        <v>1</v>
      </c>
      <c r="V1155" t="s">
        <v>31</v>
      </c>
      <c r="W1155">
        <v>12</v>
      </c>
      <c r="X1155">
        <v>3</v>
      </c>
      <c r="Y1155">
        <v>3</v>
      </c>
      <c r="Z1155">
        <v>0</v>
      </c>
      <c r="AA1155">
        <v>0</v>
      </c>
      <c r="AB1155" t="str">
        <f>IF(Table2[[#This Row],[TotalWorkingYears]]&lt;=5,"Early (0-5)",IF(Table2[[#This Row],[TotalWorkingYears]]&lt;=15,"Mid (6-15)","Senior (16+)"))</f>
        <v>Early (0-5)</v>
      </c>
      <c r="AC1155">
        <v>2</v>
      </c>
      <c r="AD1155">
        <v>4</v>
      </c>
      <c r="AE1155" t="s">
        <v>63</v>
      </c>
      <c r="AF1155">
        <v>0</v>
      </c>
      <c r="AG1155">
        <v>0</v>
      </c>
      <c r="AH1155">
        <v>0</v>
      </c>
    </row>
    <row r="1156" spans="1:34" x14ac:dyDescent="0.3">
      <c r="A1156" t="s">
        <v>58</v>
      </c>
      <c r="B1156">
        <v>0</v>
      </c>
      <c r="C1156" t="s">
        <v>32</v>
      </c>
      <c r="D1156">
        <v>1176</v>
      </c>
      <c r="E1156" t="s">
        <v>56</v>
      </c>
      <c r="F1156">
        <v>26</v>
      </c>
      <c r="G1156" t="str">
        <f>IF(Table2[[#This Row],[DistanceFromHome]]&lt;=5, "short", IF(Table2[[#This Row],[DistanceFromHome]]&lt;=15, "medium", "long"))</f>
        <v>long</v>
      </c>
      <c r="H1156">
        <v>4</v>
      </c>
      <c r="I1156" t="s">
        <v>34</v>
      </c>
      <c r="J1156">
        <v>1625</v>
      </c>
      <c r="K1156">
        <v>4</v>
      </c>
      <c r="L1156" t="s">
        <v>35</v>
      </c>
      <c r="M1156">
        <v>98</v>
      </c>
      <c r="N1156">
        <v>3</v>
      </c>
      <c r="O1156">
        <v>5</v>
      </c>
      <c r="P1156" t="s">
        <v>51</v>
      </c>
      <c r="Q1156">
        <v>3</v>
      </c>
      <c r="R1156" t="s">
        <v>43</v>
      </c>
      <c r="S1156">
        <v>19658</v>
      </c>
      <c r="T1156">
        <v>5220</v>
      </c>
      <c r="U1156">
        <v>3</v>
      </c>
      <c r="V1156" t="s">
        <v>38</v>
      </c>
      <c r="W1156">
        <v>11</v>
      </c>
      <c r="X1156">
        <v>3</v>
      </c>
      <c r="Y1156">
        <v>3</v>
      </c>
      <c r="Z1156">
        <v>1</v>
      </c>
      <c r="AA1156">
        <v>27</v>
      </c>
      <c r="AB1156" t="str">
        <f>IF(Table2[[#This Row],[TotalWorkingYears]]&lt;=5,"Early (0-5)",IF(Table2[[#This Row],[TotalWorkingYears]]&lt;=15,"Mid (6-15)","Senior (16+)"))</f>
        <v>Senior (16+)</v>
      </c>
      <c r="AC1156">
        <v>2</v>
      </c>
      <c r="AD1156">
        <v>3</v>
      </c>
      <c r="AE1156" t="s">
        <v>64</v>
      </c>
      <c r="AF1156">
        <v>2</v>
      </c>
      <c r="AG1156">
        <v>1</v>
      </c>
      <c r="AH1156">
        <v>0</v>
      </c>
    </row>
    <row r="1157" spans="1:34" x14ac:dyDescent="0.3">
      <c r="A1157" t="s">
        <v>57</v>
      </c>
      <c r="B1157">
        <v>0</v>
      </c>
      <c r="C1157" t="s">
        <v>32</v>
      </c>
      <c r="D1157">
        <v>170</v>
      </c>
      <c r="E1157" t="s">
        <v>40</v>
      </c>
      <c r="F1157">
        <v>3</v>
      </c>
      <c r="G1157" t="str">
        <f>IF(Table2[[#This Row],[DistanceFromHome]]&lt;=5, "short", IF(Table2[[#This Row],[DistanceFromHome]]&lt;=15, "medium", "long"))</f>
        <v>short</v>
      </c>
      <c r="H1157">
        <v>2</v>
      </c>
      <c r="I1157" t="s">
        <v>46</v>
      </c>
      <c r="J1157">
        <v>1627</v>
      </c>
      <c r="K1157">
        <v>3</v>
      </c>
      <c r="L1157" t="s">
        <v>41</v>
      </c>
      <c r="M1157">
        <v>76</v>
      </c>
      <c r="N1157">
        <v>2</v>
      </c>
      <c r="O1157">
        <v>2</v>
      </c>
      <c r="P1157" t="s">
        <v>45</v>
      </c>
      <c r="Q1157">
        <v>3</v>
      </c>
      <c r="R1157" t="s">
        <v>47</v>
      </c>
      <c r="S1157">
        <v>3069</v>
      </c>
      <c r="T1157">
        <v>10302</v>
      </c>
      <c r="U1157">
        <v>0</v>
      </c>
      <c r="V1157" t="s">
        <v>38</v>
      </c>
      <c r="W1157">
        <v>15</v>
      </c>
      <c r="X1157">
        <v>3</v>
      </c>
      <c r="Y1157">
        <v>4</v>
      </c>
      <c r="Z1157">
        <v>1</v>
      </c>
      <c r="AA1157">
        <v>11</v>
      </c>
      <c r="AB1157" t="str">
        <f>IF(Table2[[#This Row],[TotalWorkingYears]]&lt;=5,"Early (0-5)",IF(Table2[[#This Row],[TotalWorkingYears]]&lt;=15,"Mid (6-15)","Senior (16+)"))</f>
        <v>Mid (6-15)</v>
      </c>
      <c r="AC1157">
        <v>3</v>
      </c>
      <c r="AD1157">
        <v>3</v>
      </c>
      <c r="AE1157" t="s">
        <v>62</v>
      </c>
      <c r="AF1157">
        <v>8</v>
      </c>
      <c r="AG1157">
        <v>0</v>
      </c>
      <c r="AH1157">
        <v>7</v>
      </c>
    </row>
    <row r="1158" spans="1:34" x14ac:dyDescent="0.3">
      <c r="A1158" t="s">
        <v>57</v>
      </c>
      <c r="B1158">
        <v>0</v>
      </c>
      <c r="C1158" t="s">
        <v>32</v>
      </c>
      <c r="D1158">
        <v>884</v>
      </c>
      <c r="E1158" t="s">
        <v>40</v>
      </c>
      <c r="F1158">
        <v>15</v>
      </c>
      <c r="G1158" t="str">
        <f>IF(Table2[[#This Row],[DistanceFromHome]]&lt;=5, "short", IF(Table2[[#This Row],[DistanceFromHome]]&lt;=15, "medium", "long"))</f>
        <v>medium</v>
      </c>
      <c r="H1158">
        <v>3</v>
      </c>
      <c r="I1158" t="s">
        <v>34</v>
      </c>
      <c r="J1158">
        <v>1628</v>
      </c>
      <c r="K1158">
        <v>1</v>
      </c>
      <c r="L1158" t="s">
        <v>35</v>
      </c>
      <c r="M1158">
        <v>80</v>
      </c>
      <c r="N1158">
        <v>2</v>
      </c>
      <c r="O1158">
        <v>3</v>
      </c>
      <c r="P1158" t="s">
        <v>48</v>
      </c>
      <c r="Q1158">
        <v>3</v>
      </c>
      <c r="R1158" t="s">
        <v>43</v>
      </c>
      <c r="S1158">
        <v>10435</v>
      </c>
      <c r="T1158">
        <v>25800</v>
      </c>
      <c r="U1158">
        <v>1</v>
      </c>
      <c r="V1158" t="s">
        <v>38</v>
      </c>
      <c r="W1158">
        <v>13</v>
      </c>
      <c r="X1158">
        <v>3</v>
      </c>
      <c r="Y1158">
        <v>4</v>
      </c>
      <c r="Z1158">
        <v>2</v>
      </c>
      <c r="AA1158">
        <v>18</v>
      </c>
      <c r="AB1158" t="str">
        <f>IF(Table2[[#This Row],[TotalWorkingYears]]&lt;=5,"Early (0-5)",IF(Table2[[#This Row],[TotalWorkingYears]]&lt;=15,"Mid (6-15)","Senior (16+)"))</f>
        <v>Senior (16+)</v>
      </c>
      <c r="AC1158">
        <v>2</v>
      </c>
      <c r="AD1158">
        <v>3</v>
      </c>
      <c r="AE1158" t="s">
        <v>65</v>
      </c>
      <c r="AF1158">
        <v>15</v>
      </c>
      <c r="AG1158">
        <v>14</v>
      </c>
      <c r="AH1158">
        <v>12</v>
      </c>
    </row>
    <row r="1159" spans="1:34" x14ac:dyDescent="0.3">
      <c r="A1159" t="s">
        <v>59</v>
      </c>
      <c r="B1159">
        <v>0</v>
      </c>
      <c r="C1159" t="s">
        <v>50</v>
      </c>
      <c r="D1159">
        <v>208</v>
      </c>
      <c r="E1159" t="s">
        <v>40</v>
      </c>
      <c r="F1159">
        <v>8</v>
      </c>
      <c r="G1159" t="str">
        <f>IF(Table2[[#This Row],[DistanceFromHome]]&lt;=5, "short", IF(Table2[[#This Row],[DistanceFromHome]]&lt;=15, "medium", "long"))</f>
        <v>medium</v>
      </c>
      <c r="H1159">
        <v>4</v>
      </c>
      <c r="I1159" t="s">
        <v>34</v>
      </c>
      <c r="J1159">
        <v>1630</v>
      </c>
      <c r="K1159">
        <v>3</v>
      </c>
      <c r="L1159" t="s">
        <v>35</v>
      </c>
      <c r="M1159">
        <v>52</v>
      </c>
      <c r="N1159">
        <v>3</v>
      </c>
      <c r="O1159">
        <v>2</v>
      </c>
      <c r="P1159" t="s">
        <v>49</v>
      </c>
      <c r="Q1159">
        <v>3</v>
      </c>
      <c r="R1159" t="s">
        <v>43</v>
      </c>
      <c r="S1159">
        <v>4148</v>
      </c>
      <c r="T1159">
        <v>12250</v>
      </c>
      <c r="U1159">
        <v>1</v>
      </c>
      <c r="V1159" t="s">
        <v>38</v>
      </c>
      <c r="W1159">
        <v>12</v>
      </c>
      <c r="X1159">
        <v>3</v>
      </c>
      <c r="Y1159">
        <v>4</v>
      </c>
      <c r="Z1159">
        <v>1</v>
      </c>
      <c r="AA1159">
        <v>15</v>
      </c>
      <c r="AB1159" t="str">
        <f>IF(Table2[[#This Row],[TotalWorkingYears]]&lt;=5,"Early (0-5)",IF(Table2[[#This Row],[TotalWorkingYears]]&lt;=15,"Mid (6-15)","Senior (16+)"))</f>
        <v>Mid (6-15)</v>
      </c>
      <c r="AC1159">
        <v>5</v>
      </c>
      <c r="AD1159">
        <v>3</v>
      </c>
      <c r="AE1159" t="s">
        <v>65</v>
      </c>
      <c r="AF1159">
        <v>11</v>
      </c>
      <c r="AG1159">
        <v>2</v>
      </c>
      <c r="AH1159">
        <v>9</v>
      </c>
    </row>
    <row r="1160" spans="1:34" x14ac:dyDescent="0.3">
      <c r="A1160" t="s">
        <v>57</v>
      </c>
      <c r="B1160">
        <v>0</v>
      </c>
      <c r="C1160" t="s">
        <v>32</v>
      </c>
      <c r="D1160">
        <v>671</v>
      </c>
      <c r="E1160" t="s">
        <v>40</v>
      </c>
      <c r="F1160">
        <v>19</v>
      </c>
      <c r="G1160" t="str">
        <f>IF(Table2[[#This Row],[DistanceFromHome]]&lt;=5, "short", IF(Table2[[#This Row],[DistanceFromHome]]&lt;=15, "medium", "long"))</f>
        <v>long</v>
      </c>
      <c r="H1160">
        <v>3</v>
      </c>
      <c r="I1160" t="s">
        <v>34</v>
      </c>
      <c r="J1160">
        <v>1631</v>
      </c>
      <c r="K1160">
        <v>3</v>
      </c>
      <c r="L1160" t="s">
        <v>41</v>
      </c>
      <c r="M1160">
        <v>85</v>
      </c>
      <c r="N1160">
        <v>3</v>
      </c>
      <c r="O1160">
        <v>2</v>
      </c>
      <c r="P1160" t="s">
        <v>48</v>
      </c>
      <c r="Q1160">
        <v>3</v>
      </c>
      <c r="R1160" t="s">
        <v>43</v>
      </c>
      <c r="S1160">
        <v>5768</v>
      </c>
      <c r="T1160">
        <v>26493</v>
      </c>
      <c r="U1160">
        <v>3</v>
      </c>
      <c r="V1160" t="s">
        <v>38</v>
      </c>
      <c r="W1160">
        <v>17</v>
      </c>
      <c r="X1160">
        <v>3</v>
      </c>
      <c r="Y1160">
        <v>1</v>
      </c>
      <c r="Z1160">
        <v>3</v>
      </c>
      <c r="AA1160">
        <v>9</v>
      </c>
      <c r="AB1160" t="str">
        <f>IF(Table2[[#This Row],[TotalWorkingYears]]&lt;=5,"Early (0-5)",IF(Table2[[#This Row],[TotalWorkingYears]]&lt;=15,"Mid (6-15)","Senior (16+)"))</f>
        <v>Mid (6-15)</v>
      </c>
      <c r="AC1160">
        <v>2</v>
      </c>
      <c r="AD1160">
        <v>2</v>
      </c>
      <c r="AE1160" t="s">
        <v>64</v>
      </c>
      <c r="AF1160">
        <v>3</v>
      </c>
      <c r="AG1160">
        <v>0</v>
      </c>
      <c r="AH1160">
        <v>2</v>
      </c>
    </row>
    <row r="1161" spans="1:34" x14ac:dyDescent="0.3">
      <c r="A1161" t="s">
        <v>57</v>
      </c>
      <c r="B1161">
        <v>0</v>
      </c>
      <c r="C1161" t="s">
        <v>39</v>
      </c>
      <c r="D1161">
        <v>711</v>
      </c>
      <c r="E1161" t="s">
        <v>40</v>
      </c>
      <c r="F1161">
        <v>4</v>
      </c>
      <c r="G1161" t="str">
        <f>IF(Table2[[#This Row],[DistanceFromHome]]&lt;=5, "short", IF(Table2[[#This Row],[DistanceFromHome]]&lt;=15, "medium", "long"))</f>
        <v>short</v>
      </c>
      <c r="H1161">
        <v>3</v>
      </c>
      <c r="I1161" t="s">
        <v>46</v>
      </c>
      <c r="J1161">
        <v>1633</v>
      </c>
      <c r="K1161">
        <v>1</v>
      </c>
      <c r="L1161" t="s">
        <v>35</v>
      </c>
      <c r="M1161">
        <v>81</v>
      </c>
      <c r="N1161">
        <v>3</v>
      </c>
      <c r="O1161">
        <v>2</v>
      </c>
      <c r="P1161" t="s">
        <v>48</v>
      </c>
      <c r="Q1161">
        <v>3</v>
      </c>
      <c r="R1161" t="s">
        <v>37</v>
      </c>
      <c r="S1161">
        <v>5042</v>
      </c>
      <c r="T1161">
        <v>3140</v>
      </c>
      <c r="U1161">
        <v>0</v>
      </c>
      <c r="V1161" t="s">
        <v>38</v>
      </c>
      <c r="W1161">
        <v>13</v>
      </c>
      <c r="X1161">
        <v>3</v>
      </c>
      <c r="Y1161">
        <v>4</v>
      </c>
      <c r="Z1161">
        <v>0</v>
      </c>
      <c r="AA1161">
        <v>10</v>
      </c>
      <c r="AB1161" t="str">
        <f>IF(Table2[[#This Row],[TotalWorkingYears]]&lt;=5,"Early (0-5)",IF(Table2[[#This Row],[TotalWorkingYears]]&lt;=15,"Mid (6-15)","Senior (16+)"))</f>
        <v>Mid (6-15)</v>
      </c>
      <c r="AC1161">
        <v>2</v>
      </c>
      <c r="AD1161">
        <v>1</v>
      </c>
      <c r="AE1161" t="s">
        <v>62</v>
      </c>
      <c r="AF1161">
        <v>2</v>
      </c>
      <c r="AG1161">
        <v>3</v>
      </c>
      <c r="AH1161">
        <v>8</v>
      </c>
    </row>
    <row r="1162" spans="1:34" x14ac:dyDescent="0.3">
      <c r="A1162" t="s">
        <v>57</v>
      </c>
      <c r="B1162">
        <v>0</v>
      </c>
      <c r="C1162" t="s">
        <v>32</v>
      </c>
      <c r="D1162">
        <v>1329</v>
      </c>
      <c r="E1162" t="s">
        <v>40</v>
      </c>
      <c r="F1162">
        <v>2</v>
      </c>
      <c r="G1162" t="str">
        <f>IF(Table2[[#This Row],[DistanceFromHome]]&lt;=5, "short", IF(Table2[[#This Row],[DistanceFromHome]]&lt;=15, "medium", "long"))</f>
        <v>short</v>
      </c>
      <c r="H1162">
        <v>2</v>
      </c>
      <c r="I1162" t="s">
        <v>44</v>
      </c>
      <c r="J1162">
        <v>1635</v>
      </c>
      <c r="K1162">
        <v>4</v>
      </c>
      <c r="L1162" t="s">
        <v>35</v>
      </c>
      <c r="M1162">
        <v>59</v>
      </c>
      <c r="N1162">
        <v>2</v>
      </c>
      <c r="O1162">
        <v>2</v>
      </c>
      <c r="P1162" t="s">
        <v>48</v>
      </c>
      <c r="Q1162">
        <v>4</v>
      </c>
      <c r="R1162" t="s">
        <v>47</v>
      </c>
      <c r="S1162">
        <v>5770</v>
      </c>
      <c r="T1162">
        <v>5388</v>
      </c>
      <c r="U1162">
        <v>1</v>
      </c>
      <c r="V1162" t="s">
        <v>38</v>
      </c>
      <c r="W1162">
        <v>19</v>
      </c>
      <c r="X1162">
        <v>3</v>
      </c>
      <c r="Y1162">
        <v>1</v>
      </c>
      <c r="Z1162">
        <v>2</v>
      </c>
      <c r="AA1162">
        <v>10</v>
      </c>
      <c r="AB1162" t="str">
        <f>IF(Table2[[#This Row],[TotalWorkingYears]]&lt;=5,"Early (0-5)",IF(Table2[[#This Row],[TotalWorkingYears]]&lt;=15,"Mid (6-15)","Senior (16+)"))</f>
        <v>Mid (6-15)</v>
      </c>
      <c r="AC1162">
        <v>3</v>
      </c>
      <c r="AD1162">
        <v>3</v>
      </c>
      <c r="AE1162" t="s">
        <v>62</v>
      </c>
      <c r="AF1162">
        <v>7</v>
      </c>
      <c r="AG1162">
        <v>3</v>
      </c>
      <c r="AH1162">
        <v>9</v>
      </c>
    </row>
    <row r="1163" spans="1:34" x14ac:dyDescent="0.3">
      <c r="A1163" t="s">
        <v>57</v>
      </c>
      <c r="B1163">
        <v>0</v>
      </c>
      <c r="C1163" t="s">
        <v>32</v>
      </c>
      <c r="D1163">
        <v>397</v>
      </c>
      <c r="E1163" t="s">
        <v>40</v>
      </c>
      <c r="F1163">
        <v>2</v>
      </c>
      <c r="G1163" t="str">
        <f>IF(Table2[[#This Row],[DistanceFromHome]]&lt;=5, "short", IF(Table2[[#This Row],[DistanceFromHome]]&lt;=15, "medium", "long"))</f>
        <v>short</v>
      </c>
      <c r="H1163">
        <v>2</v>
      </c>
      <c r="I1163" t="s">
        <v>46</v>
      </c>
      <c r="J1163">
        <v>1638</v>
      </c>
      <c r="K1163">
        <v>4</v>
      </c>
      <c r="L1163" t="s">
        <v>35</v>
      </c>
      <c r="M1163">
        <v>54</v>
      </c>
      <c r="N1163">
        <v>2</v>
      </c>
      <c r="O1163">
        <v>3</v>
      </c>
      <c r="P1163" t="s">
        <v>48</v>
      </c>
      <c r="Q1163">
        <v>3</v>
      </c>
      <c r="R1163" t="s">
        <v>43</v>
      </c>
      <c r="S1163">
        <v>7756</v>
      </c>
      <c r="T1163">
        <v>14199</v>
      </c>
      <c r="U1163">
        <v>3</v>
      </c>
      <c r="V1163" t="s">
        <v>31</v>
      </c>
      <c r="W1163">
        <v>19</v>
      </c>
      <c r="X1163">
        <v>3</v>
      </c>
      <c r="Y1163">
        <v>4</v>
      </c>
      <c r="Z1163">
        <v>1</v>
      </c>
      <c r="AA1163">
        <v>10</v>
      </c>
      <c r="AB1163" t="str">
        <f>IF(Table2[[#This Row],[TotalWorkingYears]]&lt;=5,"Early (0-5)",IF(Table2[[#This Row],[TotalWorkingYears]]&lt;=15,"Mid (6-15)","Senior (16+)"))</f>
        <v>Mid (6-15)</v>
      </c>
      <c r="AC1163">
        <v>6</v>
      </c>
      <c r="AD1163">
        <v>4</v>
      </c>
      <c r="AE1163" t="s">
        <v>64</v>
      </c>
      <c r="AF1163">
        <v>4</v>
      </c>
      <c r="AG1163">
        <v>0</v>
      </c>
      <c r="AH1163">
        <v>2</v>
      </c>
    </row>
    <row r="1164" spans="1:34" x14ac:dyDescent="0.3">
      <c r="A1164" t="s">
        <v>59</v>
      </c>
      <c r="B1164">
        <v>1</v>
      </c>
      <c r="C1164" t="s">
        <v>32</v>
      </c>
      <c r="D1164">
        <v>737</v>
      </c>
      <c r="E1164" t="s">
        <v>33</v>
      </c>
      <c r="F1164">
        <v>10</v>
      </c>
      <c r="G1164" t="str">
        <f>IF(Table2[[#This Row],[DistanceFromHome]]&lt;=5, "short", IF(Table2[[#This Row],[DistanceFromHome]]&lt;=15, "medium", "long"))</f>
        <v>medium</v>
      </c>
      <c r="H1164">
        <v>3</v>
      </c>
      <c r="I1164" t="s">
        <v>46</v>
      </c>
      <c r="J1164">
        <v>1639</v>
      </c>
      <c r="K1164">
        <v>4</v>
      </c>
      <c r="L1164" t="s">
        <v>41</v>
      </c>
      <c r="M1164">
        <v>55</v>
      </c>
      <c r="N1164">
        <v>2</v>
      </c>
      <c r="O1164">
        <v>3</v>
      </c>
      <c r="P1164" t="s">
        <v>36</v>
      </c>
      <c r="Q1164">
        <v>1</v>
      </c>
      <c r="R1164" t="s">
        <v>43</v>
      </c>
      <c r="S1164">
        <v>10306</v>
      </c>
      <c r="T1164">
        <v>21530</v>
      </c>
      <c r="U1164">
        <v>9</v>
      </c>
      <c r="V1164" t="s">
        <v>38</v>
      </c>
      <c r="W1164">
        <v>17</v>
      </c>
      <c r="X1164">
        <v>3</v>
      </c>
      <c r="Y1164">
        <v>3</v>
      </c>
      <c r="Z1164">
        <v>0</v>
      </c>
      <c r="AA1164">
        <v>15</v>
      </c>
      <c r="AB1164" t="str">
        <f>IF(Table2[[#This Row],[TotalWorkingYears]]&lt;=5,"Early (0-5)",IF(Table2[[#This Row],[TotalWorkingYears]]&lt;=15,"Mid (6-15)","Senior (16+)"))</f>
        <v>Mid (6-15)</v>
      </c>
      <c r="AC1164">
        <v>3</v>
      </c>
      <c r="AD1164">
        <v>3</v>
      </c>
      <c r="AE1164" t="s">
        <v>65</v>
      </c>
      <c r="AF1164">
        <v>12</v>
      </c>
      <c r="AG1164">
        <v>6</v>
      </c>
      <c r="AH1164">
        <v>0</v>
      </c>
    </row>
    <row r="1165" spans="1:34" x14ac:dyDescent="0.3">
      <c r="A1165" t="s">
        <v>57</v>
      </c>
      <c r="B1165">
        <v>0</v>
      </c>
      <c r="C1165" t="s">
        <v>32</v>
      </c>
      <c r="D1165">
        <v>1470</v>
      </c>
      <c r="E1165" t="s">
        <v>40</v>
      </c>
      <c r="F1165">
        <v>10</v>
      </c>
      <c r="G1165" t="str">
        <f>IF(Table2[[#This Row],[DistanceFromHome]]&lt;=5, "short", IF(Table2[[#This Row],[DistanceFromHome]]&lt;=15, "medium", "long"))</f>
        <v>medium</v>
      </c>
      <c r="H1165">
        <v>3</v>
      </c>
      <c r="I1165" t="s">
        <v>46</v>
      </c>
      <c r="J1165">
        <v>1640</v>
      </c>
      <c r="K1165">
        <v>2</v>
      </c>
      <c r="L1165" t="s">
        <v>35</v>
      </c>
      <c r="M1165">
        <v>71</v>
      </c>
      <c r="N1165">
        <v>3</v>
      </c>
      <c r="O1165">
        <v>1</v>
      </c>
      <c r="P1165" t="s">
        <v>42</v>
      </c>
      <c r="Q1165">
        <v>2</v>
      </c>
      <c r="R1165" t="s">
        <v>43</v>
      </c>
      <c r="S1165">
        <v>3936</v>
      </c>
      <c r="T1165">
        <v>9953</v>
      </c>
      <c r="U1165">
        <v>1</v>
      </c>
      <c r="V1165" t="s">
        <v>38</v>
      </c>
      <c r="W1165">
        <v>11</v>
      </c>
      <c r="X1165">
        <v>3</v>
      </c>
      <c r="Y1165">
        <v>1</v>
      </c>
      <c r="Z1165">
        <v>1</v>
      </c>
      <c r="AA1165">
        <v>8</v>
      </c>
      <c r="AB1165" t="str">
        <f>IF(Table2[[#This Row],[TotalWorkingYears]]&lt;=5,"Early (0-5)",IF(Table2[[#This Row],[TotalWorkingYears]]&lt;=15,"Mid (6-15)","Senior (16+)"))</f>
        <v>Mid (6-15)</v>
      </c>
      <c r="AC1165">
        <v>2</v>
      </c>
      <c r="AD1165">
        <v>1</v>
      </c>
      <c r="AE1165" t="s">
        <v>62</v>
      </c>
      <c r="AF1165">
        <v>4</v>
      </c>
      <c r="AG1165">
        <v>7</v>
      </c>
      <c r="AH1165">
        <v>7</v>
      </c>
    </row>
    <row r="1166" spans="1:34" x14ac:dyDescent="0.3">
      <c r="A1166" t="s">
        <v>57</v>
      </c>
      <c r="B1166">
        <v>0</v>
      </c>
      <c r="C1166" t="s">
        <v>32</v>
      </c>
      <c r="D1166">
        <v>448</v>
      </c>
      <c r="E1166" t="s">
        <v>40</v>
      </c>
      <c r="F1166">
        <v>16</v>
      </c>
      <c r="G1166" t="str">
        <f>IF(Table2[[#This Row],[DistanceFromHome]]&lt;=5, "short", IF(Table2[[#This Row],[DistanceFromHome]]&lt;=15, "medium", "long"))</f>
        <v>long</v>
      </c>
      <c r="H1166">
        <v>3</v>
      </c>
      <c r="I1166" t="s">
        <v>34</v>
      </c>
      <c r="J1166">
        <v>1641</v>
      </c>
      <c r="K1166">
        <v>3</v>
      </c>
      <c r="L1166" t="s">
        <v>35</v>
      </c>
      <c r="M1166">
        <v>84</v>
      </c>
      <c r="N1166">
        <v>3</v>
      </c>
      <c r="O1166">
        <v>3</v>
      </c>
      <c r="P1166" t="s">
        <v>48</v>
      </c>
      <c r="Q1166">
        <v>4</v>
      </c>
      <c r="R1166" t="s">
        <v>37</v>
      </c>
      <c r="S1166">
        <v>7945</v>
      </c>
      <c r="T1166">
        <v>19948</v>
      </c>
      <c r="U1166">
        <v>6</v>
      </c>
      <c r="V1166" t="s">
        <v>31</v>
      </c>
      <c r="W1166">
        <v>15</v>
      </c>
      <c r="X1166">
        <v>3</v>
      </c>
      <c r="Y1166">
        <v>4</v>
      </c>
      <c r="Z1166">
        <v>0</v>
      </c>
      <c r="AA1166">
        <v>18</v>
      </c>
      <c r="AB1166" t="str">
        <f>IF(Table2[[#This Row],[TotalWorkingYears]]&lt;=5,"Early (0-5)",IF(Table2[[#This Row],[TotalWorkingYears]]&lt;=15,"Mid (6-15)","Senior (16+)"))</f>
        <v>Senior (16+)</v>
      </c>
      <c r="AC1166">
        <v>2</v>
      </c>
      <c r="AD1166">
        <v>2</v>
      </c>
      <c r="AE1166" t="s">
        <v>64</v>
      </c>
      <c r="AF1166">
        <v>2</v>
      </c>
      <c r="AG1166">
        <v>3</v>
      </c>
      <c r="AH1166">
        <v>3</v>
      </c>
    </row>
    <row r="1167" spans="1:34" x14ac:dyDescent="0.3">
      <c r="A1167" t="s">
        <v>57</v>
      </c>
      <c r="B1167">
        <v>0</v>
      </c>
      <c r="C1167" t="s">
        <v>39</v>
      </c>
      <c r="D1167">
        <v>602</v>
      </c>
      <c r="E1167" t="s">
        <v>56</v>
      </c>
      <c r="F1167">
        <v>1</v>
      </c>
      <c r="G1167" t="str">
        <f>IF(Table2[[#This Row],[DistanceFromHome]]&lt;=5, "short", IF(Table2[[#This Row],[DistanceFromHome]]&lt;=15, "medium", "long"))</f>
        <v>short</v>
      </c>
      <c r="H1167">
        <v>5</v>
      </c>
      <c r="I1167" t="s">
        <v>56</v>
      </c>
      <c r="J1167">
        <v>1642</v>
      </c>
      <c r="K1167">
        <v>1</v>
      </c>
      <c r="L1167" t="s">
        <v>41</v>
      </c>
      <c r="M1167">
        <v>37</v>
      </c>
      <c r="N1167">
        <v>3</v>
      </c>
      <c r="O1167">
        <v>2</v>
      </c>
      <c r="P1167" t="s">
        <v>56</v>
      </c>
      <c r="Q1167">
        <v>4</v>
      </c>
      <c r="R1167" t="s">
        <v>43</v>
      </c>
      <c r="S1167">
        <v>5743</v>
      </c>
      <c r="T1167">
        <v>10503</v>
      </c>
      <c r="U1167">
        <v>4</v>
      </c>
      <c r="V1167" t="s">
        <v>31</v>
      </c>
      <c r="W1167">
        <v>11</v>
      </c>
      <c r="X1167">
        <v>3</v>
      </c>
      <c r="Y1167">
        <v>3</v>
      </c>
      <c r="Z1167">
        <v>0</v>
      </c>
      <c r="AA1167">
        <v>14</v>
      </c>
      <c r="AB1167" t="str">
        <f>IF(Table2[[#This Row],[TotalWorkingYears]]&lt;=5,"Early (0-5)",IF(Table2[[#This Row],[TotalWorkingYears]]&lt;=15,"Mid (6-15)","Senior (16+)"))</f>
        <v>Mid (6-15)</v>
      </c>
      <c r="AC1167">
        <v>3</v>
      </c>
      <c r="AD1167">
        <v>3</v>
      </c>
      <c r="AE1167" t="s">
        <v>62</v>
      </c>
      <c r="AF1167">
        <v>7</v>
      </c>
      <c r="AG1167">
        <v>0</v>
      </c>
      <c r="AH1167">
        <v>2</v>
      </c>
    </row>
    <row r="1168" spans="1:34" x14ac:dyDescent="0.3">
      <c r="A1168" t="s">
        <v>58</v>
      </c>
      <c r="B1168">
        <v>0</v>
      </c>
      <c r="C1168" t="s">
        <v>39</v>
      </c>
      <c r="D1168">
        <v>365</v>
      </c>
      <c r="E1168" t="s">
        <v>40</v>
      </c>
      <c r="F1168">
        <v>4</v>
      </c>
      <c r="G1168" t="str">
        <f>IF(Table2[[#This Row],[DistanceFromHome]]&lt;=5, "short", IF(Table2[[#This Row],[DistanceFromHome]]&lt;=15, "medium", "long"))</f>
        <v>short</v>
      </c>
      <c r="H1168">
        <v>5</v>
      </c>
      <c r="I1168" t="s">
        <v>46</v>
      </c>
      <c r="J1168">
        <v>1644</v>
      </c>
      <c r="K1168">
        <v>3</v>
      </c>
      <c r="L1168" t="s">
        <v>41</v>
      </c>
      <c r="M1168">
        <v>89</v>
      </c>
      <c r="N1168">
        <v>2</v>
      </c>
      <c r="O1168">
        <v>4</v>
      </c>
      <c r="P1168" t="s">
        <v>51</v>
      </c>
      <c r="Q1168">
        <v>4</v>
      </c>
      <c r="R1168" t="s">
        <v>43</v>
      </c>
      <c r="S1168">
        <v>15202</v>
      </c>
      <c r="T1168">
        <v>5602</v>
      </c>
      <c r="U1168">
        <v>2</v>
      </c>
      <c r="V1168" t="s">
        <v>38</v>
      </c>
      <c r="W1168">
        <v>25</v>
      </c>
      <c r="X1168">
        <v>4</v>
      </c>
      <c r="Y1168">
        <v>2</v>
      </c>
      <c r="Z1168">
        <v>1</v>
      </c>
      <c r="AA1168">
        <v>23</v>
      </c>
      <c r="AB1168" t="str">
        <f>IF(Table2[[#This Row],[TotalWorkingYears]]&lt;=5,"Early (0-5)",IF(Table2[[#This Row],[TotalWorkingYears]]&lt;=15,"Mid (6-15)","Senior (16+)"))</f>
        <v>Senior (16+)</v>
      </c>
      <c r="AC1168">
        <v>3</v>
      </c>
      <c r="AD1168">
        <v>3</v>
      </c>
      <c r="AE1168" t="s">
        <v>63</v>
      </c>
      <c r="AF1168">
        <v>2</v>
      </c>
      <c r="AG1168">
        <v>2</v>
      </c>
      <c r="AH1168">
        <v>2</v>
      </c>
    </row>
    <row r="1169" spans="1:34" x14ac:dyDescent="0.3">
      <c r="A1169" t="s">
        <v>59</v>
      </c>
      <c r="B1169">
        <v>1</v>
      </c>
      <c r="C1169" t="s">
        <v>32</v>
      </c>
      <c r="D1169">
        <v>763</v>
      </c>
      <c r="E1169" t="s">
        <v>33</v>
      </c>
      <c r="F1169">
        <v>15</v>
      </c>
      <c r="G1169" t="str">
        <f>IF(Table2[[#This Row],[DistanceFromHome]]&lt;=5, "short", IF(Table2[[#This Row],[DistanceFromHome]]&lt;=15, "medium", "long"))</f>
        <v>medium</v>
      </c>
      <c r="H1169">
        <v>2</v>
      </c>
      <c r="I1169" t="s">
        <v>46</v>
      </c>
      <c r="J1169">
        <v>1645</v>
      </c>
      <c r="K1169">
        <v>1</v>
      </c>
      <c r="L1169" t="s">
        <v>41</v>
      </c>
      <c r="M1169">
        <v>59</v>
      </c>
      <c r="N1169">
        <v>1</v>
      </c>
      <c r="O1169">
        <v>2</v>
      </c>
      <c r="P1169" t="s">
        <v>36</v>
      </c>
      <c r="Q1169">
        <v>4</v>
      </c>
      <c r="R1169" t="s">
        <v>47</v>
      </c>
      <c r="S1169">
        <v>5440</v>
      </c>
      <c r="T1169">
        <v>22098</v>
      </c>
      <c r="U1169">
        <v>6</v>
      </c>
      <c r="V1169" t="s">
        <v>31</v>
      </c>
      <c r="W1169">
        <v>14</v>
      </c>
      <c r="X1169">
        <v>3</v>
      </c>
      <c r="Y1169">
        <v>4</v>
      </c>
      <c r="Z1169">
        <v>2</v>
      </c>
      <c r="AA1169">
        <v>7</v>
      </c>
      <c r="AB1169" t="str">
        <f>IF(Table2[[#This Row],[TotalWorkingYears]]&lt;=5,"Early (0-5)",IF(Table2[[#This Row],[TotalWorkingYears]]&lt;=15,"Mid (6-15)","Senior (16+)"))</f>
        <v>Mid (6-15)</v>
      </c>
      <c r="AC1169">
        <v>2</v>
      </c>
      <c r="AD1169">
        <v>2</v>
      </c>
      <c r="AE1169" t="s">
        <v>63</v>
      </c>
      <c r="AF1169">
        <v>2</v>
      </c>
      <c r="AG1169">
        <v>2</v>
      </c>
      <c r="AH1169">
        <v>2</v>
      </c>
    </row>
    <row r="1170" spans="1:34" x14ac:dyDescent="0.3">
      <c r="A1170" t="s">
        <v>60</v>
      </c>
      <c r="B1170">
        <v>0</v>
      </c>
      <c r="C1170" t="s">
        <v>39</v>
      </c>
      <c r="D1170">
        <v>567</v>
      </c>
      <c r="E1170" t="s">
        <v>40</v>
      </c>
      <c r="F1170">
        <v>2</v>
      </c>
      <c r="G1170" t="str">
        <f>IF(Table2[[#This Row],[DistanceFromHome]]&lt;=5, "short", IF(Table2[[#This Row],[DistanceFromHome]]&lt;=15, "medium", "long"))</f>
        <v>short</v>
      </c>
      <c r="H1170">
        <v>1</v>
      </c>
      <c r="I1170" t="s">
        <v>55</v>
      </c>
      <c r="J1170">
        <v>1646</v>
      </c>
      <c r="K1170">
        <v>1</v>
      </c>
      <c r="L1170" t="s">
        <v>35</v>
      </c>
      <c r="M1170">
        <v>32</v>
      </c>
      <c r="N1170">
        <v>3</v>
      </c>
      <c r="O1170">
        <v>1</v>
      </c>
      <c r="P1170" t="s">
        <v>42</v>
      </c>
      <c r="Q1170">
        <v>4</v>
      </c>
      <c r="R1170" t="s">
        <v>37</v>
      </c>
      <c r="S1170">
        <v>3760</v>
      </c>
      <c r="T1170">
        <v>17218</v>
      </c>
      <c r="U1170">
        <v>1</v>
      </c>
      <c r="V1170" t="s">
        <v>31</v>
      </c>
      <c r="W1170">
        <v>13</v>
      </c>
      <c r="X1170">
        <v>3</v>
      </c>
      <c r="Y1170">
        <v>3</v>
      </c>
      <c r="Z1170">
        <v>0</v>
      </c>
      <c r="AA1170">
        <v>6</v>
      </c>
      <c r="AB1170" t="str">
        <f>IF(Table2[[#This Row],[TotalWorkingYears]]&lt;=5,"Early (0-5)",IF(Table2[[#This Row],[TotalWorkingYears]]&lt;=15,"Mid (6-15)","Senior (16+)"))</f>
        <v>Mid (6-15)</v>
      </c>
      <c r="AC1170">
        <v>2</v>
      </c>
      <c r="AD1170">
        <v>3</v>
      </c>
      <c r="AE1170" t="s">
        <v>62</v>
      </c>
      <c r="AF1170">
        <v>3</v>
      </c>
      <c r="AG1170">
        <v>1</v>
      </c>
      <c r="AH1170">
        <v>3</v>
      </c>
    </row>
    <row r="1171" spans="1:34" x14ac:dyDescent="0.3">
      <c r="A1171" t="s">
        <v>59</v>
      </c>
      <c r="B1171">
        <v>0</v>
      </c>
      <c r="C1171" t="s">
        <v>32</v>
      </c>
      <c r="D1171">
        <v>486</v>
      </c>
      <c r="E1171" t="s">
        <v>40</v>
      </c>
      <c r="F1171">
        <v>8</v>
      </c>
      <c r="G1171" t="str">
        <f>IF(Table2[[#This Row],[DistanceFromHome]]&lt;=5, "short", IF(Table2[[#This Row],[DistanceFromHome]]&lt;=15, "medium", "long"))</f>
        <v>medium</v>
      </c>
      <c r="H1171">
        <v>3</v>
      </c>
      <c r="I1171" t="s">
        <v>46</v>
      </c>
      <c r="J1171">
        <v>1647</v>
      </c>
      <c r="K1171">
        <v>2</v>
      </c>
      <c r="L1171" t="s">
        <v>35</v>
      </c>
      <c r="M1171">
        <v>86</v>
      </c>
      <c r="N1171">
        <v>4</v>
      </c>
      <c r="O1171">
        <v>1</v>
      </c>
      <c r="P1171" t="s">
        <v>42</v>
      </c>
      <c r="Q1171">
        <v>3</v>
      </c>
      <c r="R1171" t="s">
        <v>43</v>
      </c>
      <c r="S1171">
        <v>3517</v>
      </c>
      <c r="T1171">
        <v>22490</v>
      </c>
      <c r="U1171">
        <v>7</v>
      </c>
      <c r="V1171" t="s">
        <v>38</v>
      </c>
      <c r="W1171">
        <v>17</v>
      </c>
      <c r="X1171">
        <v>3</v>
      </c>
      <c r="Y1171">
        <v>1</v>
      </c>
      <c r="Z1171">
        <v>0</v>
      </c>
      <c r="AA1171">
        <v>5</v>
      </c>
      <c r="AB1171" t="str">
        <f>IF(Table2[[#This Row],[TotalWorkingYears]]&lt;=5,"Early (0-5)",IF(Table2[[#This Row],[TotalWorkingYears]]&lt;=15,"Mid (6-15)","Senior (16+)"))</f>
        <v>Early (0-5)</v>
      </c>
      <c r="AC1171">
        <v>0</v>
      </c>
      <c r="AD1171">
        <v>3</v>
      </c>
      <c r="AE1171" t="s">
        <v>64</v>
      </c>
      <c r="AF1171">
        <v>2</v>
      </c>
      <c r="AG1171">
        <v>0</v>
      </c>
      <c r="AH1171">
        <v>2</v>
      </c>
    </row>
    <row r="1172" spans="1:34" x14ac:dyDescent="0.3">
      <c r="A1172" t="s">
        <v>59</v>
      </c>
      <c r="B1172">
        <v>0</v>
      </c>
      <c r="C1172" t="s">
        <v>39</v>
      </c>
      <c r="D1172">
        <v>591</v>
      </c>
      <c r="E1172" t="s">
        <v>40</v>
      </c>
      <c r="F1172">
        <v>2</v>
      </c>
      <c r="G1172" t="str">
        <f>IF(Table2[[#This Row],[DistanceFromHome]]&lt;=5, "short", IF(Table2[[#This Row],[DistanceFromHome]]&lt;=15, "medium", "long"))</f>
        <v>short</v>
      </c>
      <c r="H1172">
        <v>3</v>
      </c>
      <c r="I1172" t="s">
        <v>46</v>
      </c>
      <c r="J1172">
        <v>1648</v>
      </c>
      <c r="K1172">
        <v>4</v>
      </c>
      <c r="L1172" t="s">
        <v>41</v>
      </c>
      <c r="M1172">
        <v>87</v>
      </c>
      <c r="N1172">
        <v>3</v>
      </c>
      <c r="O1172">
        <v>1</v>
      </c>
      <c r="P1172" t="s">
        <v>42</v>
      </c>
      <c r="Q1172">
        <v>4</v>
      </c>
      <c r="R1172" t="s">
        <v>37</v>
      </c>
      <c r="S1172">
        <v>2580</v>
      </c>
      <c r="T1172">
        <v>6297</v>
      </c>
      <c r="U1172">
        <v>2</v>
      </c>
      <c r="V1172" t="s">
        <v>38</v>
      </c>
      <c r="W1172">
        <v>13</v>
      </c>
      <c r="X1172">
        <v>3</v>
      </c>
      <c r="Y1172">
        <v>3</v>
      </c>
      <c r="Z1172">
        <v>0</v>
      </c>
      <c r="AA1172">
        <v>6</v>
      </c>
      <c r="AB1172" t="str">
        <f>IF(Table2[[#This Row],[TotalWorkingYears]]&lt;=5,"Early (0-5)",IF(Table2[[#This Row],[TotalWorkingYears]]&lt;=15,"Mid (6-15)","Senior (16+)"))</f>
        <v>Mid (6-15)</v>
      </c>
      <c r="AC1172">
        <v>0</v>
      </c>
      <c r="AD1172">
        <v>2</v>
      </c>
      <c r="AE1172" t="s">
        <v>64</v>
      </c>
      <c r="AF1172">
        <v>2</v>
      </c>
      <c r="AG1172">
        <v>1</v>
      </c>
      <c r="AH1172">
        <v>2</v>
      </c>
    </row>
    <row r="1173" spans="1:34" x14ac:dyDescent="0.3">
      <c r="A1173" t="s">
        <v>57</v>
      </c>
      <c r="B1173">
        <v>1</v>
      </c>
      <c r="C1173" t="s">
        <v>32</v>
      </c>
      <c r="D1173">
        <v>1329</v>
      </c>
      <c r="E1173" t="s">
        <v>40</v>
      </c>
      <c r="F1173">
        <v>7</v>
      </c>
      <c r="G1173" t="str">
        <f>IF(Table2[[#This Row],[DistanceFromHome]]&lt;=5, "short", IF(Table2[[#This Row],[DistanceFromHome]]&lt;=15, "medium", "long"))</f>
        <v>medium</v>
      </c>
      <c r="H1173">
        <v>3</v>
      </c>
      <c r="I1173" t="s">
        <v>34</v>
      </c>
      <c r="J1173">
        <v>1649</v>
      </c>
      <c r="K1173">
        <v>1</v>
      </c>
      <c r="L1173" t="s">
        <v>41</v>
      </c>
      <c r="M1173">
        <v>73</v>
      </c>
      <c r="N1173">
        <v>3</v>
      </c>
      <c r="O1173">
        <v>1</v>
      </c>
      <c r="P1173" t="s">
        <v>45</v>
      </c>
      <c r="Q1173">
        <v>1</v>
      </c>
      <c r="R1173" t="s">
        <v>37</v>
      </c>
      <c r="S1173">
        <v>2166</v>
      </c>
      <c r="T1173">
        <v>3339</v>
      </c>
      <c r="U1173">
        <v>3</v>
      </c>
      <c r="V1173" t="s">
        <v>31</v>
      </c>
      <c r="W1173">
        <v>14</v>
      </c>
      <c r="X1173">
        <v>3</v>
      </c>
      <c r="Y1173">
        <v>2</v>
      </c>
      <c r="Z1173">
        <v>0</v>
      </c>
      <c r="AA1173">
        <v>10</v>
      </c>
      <c r="AB1173" t="str">
        <f>IF(Table2[[#This Row],[TotalWorkingYears]]&lt;=5,"Early (0-5)",IF(Table2[[#This Row],[TotalWorkingYears]]&lt;=15,"Mid (6-15)","Senior (16+)"))</f>
        <v>Mid (6-15)</v>
      </c>
      <c r="AC1173">
        <v>3</v>
      </c>
      <c r="AD1173">
        <v>1</v>
      </c>
      <c r="AE1173" t="s">
        <v>64</v>
      </c>
      <c r="AF1173">
        <v>2</v>
      </c>
      <c r="AG1173">
        <v>0</v>
      </c>
      <c r="AH1173">
        <v>3</v>
      </c>
    </row>
    <row r="1174" spans="1:34" x14ac:dyDescent="0.3">
      <c r="A1174" t="s">
        <v>59</v>
      </c>
      <c r="B1174">
        <v>0</v>
      </c>
      <c r="C1174" t="s">
        <v>32</v>
      </c>
      <c r="D1174">
        <v>469</v>
      </c>
      <c r="E1174" t="s">
        <v>33</v>
      </c>
      <c r="F1174">
        <v>10</v>
      </c>
      <c r="G1174" t="str">
        <f>IF(Table2[[#This Row],[DistanceFromHome]]&lt;=5, "short", IF(Table2[[#This Row],[DistanceFromHome]]&lt;=15, "medium", "long"))</f>
        <v>medium</v>
      </c>
      <c r="H1174">
        <v>3</v>
      </c>
      <c r="I1174" t="s">
        <v>46</v>
      </c>
      <c r="J1174">
        <v>1650</v>
      </c>
      <c r="K1174">
        <v>3</v>
      </c>
      <c r="L1174" t="s">
        <v>41</v>
      </c>
      <c r="M1174">
        <v>42</v>
      </c>
      <c r="N1174">
        <v>2</v>
      </c>
      <c r="O1174">
        <v>2</v>
      </c>
      <c r="P1174" t="s">
        <v>36</v>
      </c>
      <c r="Q1174">
        <v>3</v>
      </c>
      <c r="R1174" t="s">
        <v>37</v>
      </c>
      <c r="S1174">
        <v>5869</v>
      </c>
      <c r="T1174">
        <v>23413</v>
      </c>
      <c r="U1174">
        <v>9</v>
      </c>
      <c r="V1174" t="s">
        <v>38</v>
      </c>
      <c r="W1174">
        <v>11</v>
      </c>
      <c r="X1174">
        <v>3</v>
      </c>
      <c r="Y1174">
        <v>3</v>
      </c>
      <c r="Z1174">
        <v>0</v>
      </c>
      <c r="AA1174">
        <v>8</v>
      </c>
      <c r="AB1174" t="str">
        <f>IF(Table2[[#This Row],[TotalWorkingYears]]&lt;=5,"Early (0-5)",IF(Table2[[#This Row],[TotalWorkingYears]]&lt;=15,"Mid (6-15)","Senior (16+)"))</f>
        <v>Mid (6-15)</v>
      </c>
      <c r="AC1174">
        <v>2</v>
      </c>
      <c r="AD1174">
        <v>3</v>
      </c>
      <c r="AE1174" t="s">
        <v>64</v>
      </c>
      <c r="AF1174">
        <v>2</v>
      </c>
      <c r="AG1174">
        <v>1</v>
      </c>
      <c r="AH1174">
        <v>4</v>
      </c>
    </row>
    <row r="1175" spans="1:34" x14ac:dyDescent="0.3">
      <c r="A1175" t="s">
        <v>57</v>
      </c>
      <c r="B1175">
        <v>0</v>
      </c>
      <c r="C1175" t="s">
        <v>32</v>
      </c>
      <c r="D1175">
        <v>711</v>
      </c>
      <c r="E1175" t="s">
        <v>40</v>
      </c>
      <c r="F1175">
        <v>5</v>
      </c>
      <c r="G1175" t="str">
        <f>IF(Table2[[#This Row],[DistanceFromHome]]&lt;=5, "short", IF(Table2[[#This Row],[DistanceFromHome]]&lt;=15, "medium", "long"))</f>
        <v>short</v>
      </c>
      <c r="H1175">
        <v>4</v>
      </c>
      <c r="I1175" t="s">
        <v>34</v>
      </c>
      <c r="J1175">
        <v>1651</v>
      </c>
      <c r="K1175">
        <v>2</v>
      </c>
      <c r="L1175" t="s">
        <v>35</v>
      </c>
      <c r="M1175">
        <v>42</v>
      </c>
      <c r="N1175">
        <v>3</v>
      </c>
      <c r="O1175">
        <v>3</v>
      </c>
      <c r="P1175" t="s">
        <v>49</v>
      </c>
      <c r="Q1175">
        <v>1</v>
      </c>
      <c r="R1175" t="s">
        <v>43</v>
      </c>
      <c r="S1175">
        <v>8008</v>
      </c>
      <c r="T1175">
        <v>22792</v>
      </c>
      <c r="U1175">
        <v>4</v>
      </c>
      <c r="V1175" t="s">
        <v>38</v>
      </c>
      <c r="W1175">
        <v>12</v>
      </c>
      <c r="X1175">
        <v>3</v>
      </c>
      <c r="Y1175">
        <v>3</v>
      </c>
      <c r="Z1175">
        <v>2</v>
      </c>
      <c r="AA1175">
        <v>9</v>
      </c>
      <c r="AB1175" t="str">
        <f>IF(Table2[[#This Row],[TotalWorkingYears]]&lt;=5,"Early (0-5)",IF(Table2[[#This Row],[TotalWorkingYears]]&lt;=15,"Mid (6-15)","Senior (16+)"))</f>
        <v>Mid (6-15)</v>
      </c>
      <c r="AC1175">
        <v>6</v>
      </c>
      <c r="AD1175">
        <v>3</v>
      </c>
      <c r="AE1175" t="s">
        <v>64</v>
      </c>
      <c r="AF1175">
        <v>2</v>
      </c>
      <c r="AG1175">
        <v>0</v>
      </c>
      <c r="AH1175">
        <v>2</v>
      </c>
    </row>
    <row r="1176" spans="1:34" x14ac:dyDescent="0.3">
      <c r="A1176" t="s">
        <v>60</v>
      </c>
      <c r="B1176">
        <v>0</v>
      </c>
      <c r="C1176" t="s">
        <v>39</v>
      </c>
      <c r="D1176">
        <v>772</v>
      </c>
      <c r="E1176" t="s">
        <v>40</v>
      </c>
      <c r="F1176">
        <v>2</v>
      </c>
      <c r="G1176" t="str">
        <f>IF(Table2[[#This Row],[DistanceFromHome]]&lt;=5, "short", IF(Table2[[#This Row],[DistanceFromHome]]&lt;=15, "medium", "long"))</f>
        <v>short</v>
      </c>
      <c r="H1176">
        <v>1</v>
      </c>
      <c r="I1176" t="s">
        <v>34</v>
      </c>
      <c r="J1176">
        <v>1653</v>
      </c>
      <c r="K1176">
        <v>4</v>
      </c>
      <c r="L1176" t="s">
        <v>41</v>
      </c>
      <c r="M1176">
        <v>77</v>
      </c>
      <c r="N1176">
        <v>4</v>
      </c>
      <c r="O1176">
        <v>2</v>
      </c>
      <c r="P1176" t="s">
        <v>48</v>
      </c>
      <c r="Q1176">
        <v>3</v>
      </c>
      <c r="R1176" t="s">
        <v>47</v>
      </c>
      <c r="S1176">
        <v>5206</v>
      </c>
      <c r="T1176">
        <v>4973</v>
      </c>
      <c r="U1176">
        <v>1</v>
      </c>
      <c r="V1176" t="s">
        <v>38</v>
      </c>
      <c r="W1176">
        <v>17</v>
      </c>
      <c r="X1176">
        <v>3</v>
      </c>
      <c r="Y1176">
        <v>3</v>
      </c>
      <c r="Z1176">
        <v>2</v>
      </c>
      <c r="AA1176">
        <v>7</v>
      </c>
      <c r="AB1176" t="str">
        <f>IF(Table2[[#This Row],[TotalWorkingYears]]&lt;=5,"Early (0-5)",IF(Table2[[#This Row],[TotalWorkingYears]]&lt;=15,"Mid (6-15)","Senior (16+)"))</f>
        <v>Mid (6-15)</v>
      </c>
      <c r="AC1176">
        <v>6</v>
      </c>
      <c r="AD1176">
        <v>3</v>
      </c>
      <c r="AE1176" t="s">
        <v>62</v>
      </c>
      <c r="AF1176">
        <v>7</v>
      </c>
      <c r="AG1176">
        <v>0</v>
      </c>
      <c r="AH1176">
        <v>7</v>
      </c>
    </row>
    <row r="1177" spans="1:34" x14ac:dyDescent="0.3">
      <c r="A1177" t="s">
        <v>57</v>
      </c>
      <c r="B1177">
        <v>0</v>
      </c>
      <c r="C1177" t="s">
        <v>32</v>
      </c>
      <c r="D1177">
        <v>492</v>
      </c>
      <c r="E1177" t="s">
        <v>40</v>
      </c>
      <c r="F1177">
        <v>12</v>
      </c>
      <c r="G1177" t="str">
        <f>IF(Table2[[#This Row],[DistanceFromHome]]&lt;=5, "short", IF(Table2[[#This Row],[DistanceFromHome]]&lt;=15, "medium", "long"))</f>
        <v>medium</v>
      </c>
      <c r="H1177">
        <v>3</v>
      </c>
      <c r="I1177" t="s">
        <v>46</v>
      </c>
      <c r="J1177">
        <v>1654</v>
      </c>
      <c r="K1177">
        <v>4</v>
      </c>
      <c r="L1177" t="s">
        <v>41</v>
      </c>
      <c r="M1177">
        <v>66</v>
      </c>
      <c r="N1177">
        <v>3</v>
      </c>
      <c r="O1177">
        <v>2</v>
      </c>
      <c r="P1177" t="s">
        <v>48</v>
      </c>
      <c r="Q1177">
        <v>2</v>
      </c>
      <c r="R1177" t="s">
        <v>43</v>
      </c>
      <c r="S1177">
        <v>5295</v>
      </c>
      <c r="T1177">
        <v>7693</v>
      </c>
      <c r="U1177">
        <v>4</v>
      </c>
      <c r="V1177" t="s">
        <v>38</v>
      </c>
      <c r="W1177">
        <v>21</v>
      </c>
      <c r="X1177">
        <v>4</v>
      </c>
      <c r="Y1177">
        <v>3</v>
      </c>
      <c r="Z1177">
        <v>0</v>
      </c>
      <c r="AA1177">
        <v>7</v>
      </c>
      <c r="AB1177" t="str">
        <f>IF(Table2[[#This Row],[TotalWorkingYears]]&lt;=5,"Early (0-5)",IF(Table2[[#This Row],[TotalWorkingYears]]&lt;=15,"Mid (6-15)","Senior (16+)"))</f>
        <v>Mid (6-15)</v>
      </c>
      <c r="AC1177">
        <v>3</v>
      </c>
      <c r="AD1177">
        <v>3</v>
      </c>
      <c r="AE1177" t="s">
        <v>64</v>
      </c>
      <c r="AF1177">
        <v>4</v>
      </c>
      <c r="AG1177">
        <v>1</v>
      </c>
      <c r="AH1177">
        <v>0</v>
      </c>
    </row>
    <row r="1178" spans="1:34" x14ac:dyDescent="0.3">
      <c r="A1178" t="s">
        <v>58</v>
      </c>
      <c r="B1178">
        <v>0</v>
      </c>
      <c r="C1178" t="s">
        <v>32</v>
      </c>
      <c r="D1178">
        <v>301</v>
      </c>
      <c r="E1178" t="s">
        <v>40</v>
      </c>
      <c r="F1178">
        <v>22</v>
      </c>
      <c r="G1178" t="str">
        <f>IF(Table2[[#This Row],[DistanceFromHome]]&lt;=5, "short", IF(Table2[[#This Row],[DistanceFromHome]]&lt;=15, "medium", "long"))</f>
        <v>long</v>
      </c>
      <c r="H1178">
        <v>4</v>
      </c>
      <c r="I1178" t="s">
        <v>44</v>
      </c>
      <c r="J1178">
        <v>1655</v>
      </c>
      <c r="K1178">
        <v>1</v>
      </c>
      <c r="L1178" t="s">
        <v>35</v>
      </c>
      <c r="M1178">
        <v>72</v>
      </c>
      <c r="N1178">
        <v>3</v>
      </c>
      <c r="O1178">
        <v>4</v>
      </c>
      <c r="P1178" t="s">
        <v>53</v>
      </c>
      <c r="Q1178">
        <v>2</v>
      </c>
      <c r="R1178" t="s">
        <v>43</v>
      </c>
      <c r="S1178">
        <v>16413</v>
      </c>
      <c r="T1178">
        <v>3498</v>
      </c>
      <c r="U1178">
        <v>3</v>
      </c>
      <c r="V1178" t="s">
        <v>38</v>
      </c>
      <c r="W1178">
        <v>16</v>
      </c>
      <c r="X1178">
        <v>3</v>
      </c>
      <c r="Y1178">
        <v>2</v>
      </c>
      <c r="Z1178">
        <v>2</v>
      </c>
      <c r="AA1178">
        <v>27</v>
      </c>
      <c r="AB1178" t="str">
        <f>IF(Table2[[#This Row],[TotalWorkingYears]]&lt;=5,"Early (0-5)",IF(Table2[[#This Row],[TotalWorkingYears]]&lt;=15,"Mid (6-15)","Senior (16+)"))</f>
        <v>Senior (16+)</v>
      </c>
      <c r="AC1178">
        <v>2</v>
      </c>
      <c r="AD1178">
        <v>3</v>
      </c>
      <c r="AE1178" t="s">
        <v>64</v>
      </c>
      <c r="AF1178">
        <v>2</v>
      </c>
      <c r="AG1178">
        <v>1</v>
      </c>
      <c r="AH1178">
        <v>2</v>
      </c>
    </row>
    <row r="1179" spans="1:34" x14ac:dyDescent="0.3">
      <c r="A1179" t="s">
        <v>58</v>
      </c>
      <c r="B1179">
        <v>0</v>
      </c>
      <c r="C1179" t="s">
        <v>32</v>
      </c>
      <c r="D1179">
        <v>813</v>
      </c>
      <c r="E1179" t="s">
        <v>40</v>
      </c>
      <c r="F1179">
        <v>17</v>
      </c>
      <c r="G1179" t="str">
        <f>IF(Table2[[#This Row],[DistanceFromHome]]&lt;=5, "short", IF(Table2[[#This Row],[DistanceFromHome]]&lt;=15, "medium", "long"))</f>
        <v>long</v>
      </c>
      <c r="H1179">
        <v>5</v>
      </c>
      <c r="I1179" t="s">
        <v>34</v>
      </c>
      <c r="J1179">
        <v>1656</v>
      </c>
      <c r="K1179">
        <v>4</v>
      </c>
      <c r="L1179" t="s">
        <v>35</v>
      </c>
      <c r="M1179">
        <v>50</v>
      </c>
      <c r="N1179">
        <v>2</v>
      </c>
      <c r="O1179">
        <v>3</v>
      </c>
      <c r="P1179" t="s">
        <v>53</v>
      </c>
      <c r="Q1179">
        <v>1</v>
      </c>
      <c r="R1179" t="s">
        <v>47</v>
      </c>
      <c r="S1179">
        <v>13269</v>
      </c>
      <c r="T1179">
        <v>21981</v>
      </c>
      <c r="U1179">
        <v>5</v>
      </c>
      <c r="V1179" t="s">
        <v>38</v>
      </c>
      <c r="W1179">
        <v>15</v>
      </c>
      <c r="X1179">
        <v>3</v>
      </c>
      <c r="Y1179">
        <v>3</v>
      </c>
      <c r="Z1179">
        <v>3</v>
      </c>
      <c r="AA1179">
        <v>19</v>
      </c>
      <c r="AB1179" t="str">
        <f>IF(Table2[[#This Row],[TotalWorkingYears]]&lt;=5,"Early (0-5)",IF(Table2[[#This Row],[TotalWorkingYears]]&lt;=15,"Mid (6-15)","Senior (16+)"))</f>
        <v>Senior (16+)</v>
      </c>
      <c r="AC1179">
        <v>3</v>
      </c>
      <c r="AD1179">
        <v>3</v>
      </c>
      <c r="AE1179" t="s">
        <v>65</v>
      </c>
      <c r="AF1179">
        <v>11</v>
      </c>
      <c r="AG1179">
        <v>1</v>
      </c>
      <c r="AH1179">
        <v>11</v>
      </c>
    </row>
    <row r="1180" spans="1:34" x14ac:dyDescent="0.3">
      <c r="A1180" t="s">
        <v>60</v>
      </c>
      <c r="B1180">
        <v>0</v>
      </c>
      <c r="C1180" t="s">
        <v>32</v>
      </c>
      <c r="D1180">
        <v>1141</v>
      </c>
      <c r="E1180" t="s">
        <v>33</v>
      </c>
      <c r="F1180">
        <v>2</v>
      </c>
      <c r="G1180" t="str">
        <f>IF(Table2[[#This Row],[DistanceFromHome]]&lt;=5, "short", IF(Table2[[#This Row],[DistanceFromHome]]&lt;=15, "medium", "long"))</f>
        <v>short</v>
      </c>
      <c r="H1180">
        <v>3</v>
      </c>
      <c r="I1180" t="s">
        <v>46</v>
      </c>
      <c r="J1180">
        <v>1657</v>
      </c>
      <c r="K1180">
        <v>3</v>
      </c>
      <c r="L1180" t="s">
        <v>35</v>
      </c>
      <c r="M1180">
        <v>31</v>
      </c>
      <c r="N1180">
        <v>3</v>
      </c>
      <c r="O1180">
        <v>1</v>
      </c>
      <c r="P1180" t="s">
        <v>52</v>
      </c>
      <c r="Q1180">
        <v>3</v>
      </c>
      <c r="R1180" t="s">
        <v>37</v>
      </c>
      <c r="S1180">
        <v>2783</v>
      </c>
      <c r="T1180">
        <v>13251</v>
      </c>
      <c r="U1180">
        <v>1</v>
      </c>
      <c r="V1180" t="s">
        <v>38</v>
      </c>
      <c r="W1180">
        <v>19</v>
      </c>
      <c r="X1180">
        <v>3</v>
      </c>
      <c r="Y1180">
        <v>1</v>
      </c>
      <c r="Z1180">
        <v>0</v>
      </c>
      <c r="AA1180">
        <v>2</v>
      </c>
      <c r="AB1180" t="str">
        <f>IF(Table2[[#This Row],[TotalWorkingYears]]&lt;=5,"Early (0-5)",IF(Table2[[#This Row],[TotalWorkingYears]]&lt;=15,"Mid (6-15)","Senior (16+)"))</f>
        <v>Early (0-5)</v>
      </c>
      <c r="AC1180">
        <v>3</v>
      </c>
      <c r="AD1180">
        <v>3</v>
      </c>
      <c r="AE1180" t="s">
        <v>63</v>
      </c>
      <c r="AF1180">
        <v>2</v>
      </c>
      <c r="AG1180">
        <v>2</v>
      </c>
      <c r="AH1180">
        <v>2</v>
      </c>
    </row>
    <row r="1181" spans="1:34" x14ac:dyDescent="0.3">
      <c r="A1181" t="s">
        <v>59</v>
      </c>
      <c r="B1181">
        <v>0</v>
      </c>
      <c r="C1181" t="s">
        <v>32</v>
      </c>
      <c r="D1181">
        <v>1130</v>
      </c>
      <c r="E1181" t="s">
        <v>40</v>
      </c>
      <c r="F1181">
        <v>3</v>
      </c>
      <c r="G1181" t="str">
        <f>IF(Table2[[#This Row],[DistanceFromHome]]&lt;=5, "short", IF(Table2[[#This Row],[DistanceFromHome]]&lt;=15, "medium", "long"))</f>
        <v>short</v>
      </c>
      <c r="H1181">
        <v>3</v>
      </c>
      <c r="I1181" t="s">
        <v>34</v>
      </c>
      <c r="J1181">
        <v>1658</v>
      </c>
      <c r="K1181">
        <v>4</v>
      </c>
      <c r="L1181" t="s">
        <v>35</v>
      </c>
      <c r="M1181">
        <v>66</v>
      </c>
      <c r="N1181">
        <v>3</v>
      </c>
      <c r="O1181">
        <v>2</v>
      </c>
      <c r="P1181" t="s">
        <v>42</v>
      </c>
      <c r="Q1181">
        <v>2</v>
      </c>
      <c r="R1181" t="s">
        <v>47</v>
      </c>
      <c r="S1181">
        <v>5433</v>
      </c>
      <c r="T1181">
        <v>19332</v>
      </c>
      <c r="U1181">
        <v>1</v>
      </c>
      <c r="V1181" t="s">
        <v>38</v>
      </c>
      <c r="W1181">
        <v>12</v>
      </c>
      <c r="X1181">
        <v>3</v>
      </c>
      <c r="Y1181">
        <v>3</v>
      </c>
      <c r="Z1181">
        <v>1</v>
      </c>
      <c r="AA1181">
        <v>11</v>
      </c>
      <c r="AB1181" t="str">
        <f>IF(Table2[[#This Row],[TotalWorkingYears]]&lt;=5,"Early (0-5)",IF(Table2[[#This Row],[TotalWorkingYears]]&lt;=15,"Mid (6-15)","Senior (16+)"))</f>
        <v>Mid (6-15)</v>
      </c>
      <c r="AC1181">
        <v>2</v>
      </c>
      <c r="AD1181">
        <v>3</v>
      </c>
      <c r="AE1181" t="s">
        <v>65</v>
      </c>
      <c r="AF1181">
        <v>8</v>
      </c>
      <c r="AG1181">
        <v>7</v>
      </c>
      <c r="AH1181">
        <v>9</v>
      </c>
    </row>
    <row r="1182" spans="1:34" x14ac:dyDescent="0.3">
      <c r="A1182" t="s">
        <v>57</v>
      </c>
      <c r="B1182">
        <v>0</v>
      </c>
      <c r="C1182" t="s">
        <v>32</v>
      </c>
      <c r="D1182">
        <v>311</v>
      </c>
      <c r="E1182" t="s">
        <v>40</v>
      </c>
      <c r="F1182">
        <v>7</v>
      </c>
      <c r="G1182" t="str">
        <f>IF(Table2[[#This Row],[DistanceFromHome]]&lt;=5, "short", IF(Table2[[#This Row],[DistanceFromHome]]&lt;=15, "medium", "long"))</f>
        <v>medium</v>
      </c>
      <c r="H1182">
        <v>3</v>
      </c>
      <c r="I1182" t="s">
        <v>34</v>
      </c>
      <c r="J1182">
        <v>1659</v>
      </c>
      <c r="K1182">
        <v>1</v>
      </c>
      <c r="L1182" t="s">
        <v>41</v>
      </c>
      <c r="M1182">
        <v>77</v>
      </c>
      <c r="N1182">
        <v>3</v>
      </c>
      <c r="O1182">
        <v>1</v>
      </c>
      <c r="P1182" t="s">
        <v>45</v>
      </c>
      <c r="Q1182">
        <v>2</v>
      </c>
      <c r="R1182" t="s">
        <v>37</v>
      </c>
      <c r="S1182">
        <v>2013</v>
      </c>
      <c r="T1182">
        <v>10950</v>
      </c>
      <c r="U1182">
        <v>2</v>
      </c>
      <c r="V1182" t="s">
        <v>38</v>
      </c>
      <c r="W1182">
        <v>11</v>
      </c>
      <c r="X1182">
        <v>3</v>
      </c>
      <c r="Y1182">
        <v>3</v>
      </c>
      <c r="Z1182">
        <v>0</v>
      </c>
      <c r="AA1182">
        <v>15</v>
      </c>
      <c r="AB1182" t="str">
        <f>IF(Table2[[#This Row],[TotalWorkingYears]]&lt;=5,"Early (0-5)",IF(Table2[[#This Row],[TotalWorkingYears]]&lt;=15,"Mid (6-15)","Senior (16+)"))</f>
        <v>Mid (6-15)</v>
      </c>
      <c r="AC1182">
        <v>4</v>
      </c>
      <c r="AD1182">
        <v>3</v>
      </c>
      <c r="AE1182" t="s">
        <v>64</v>
      </c>
      <c r="AF1182">
        <v>3</v>
      </c>
      <c r="AG1182">
        <v>1</v>
      </c>
      <c r="AH1182">
        <v>3</v>
      </c>
    </row>
    <row r="1183" spans="1:34" x14ac:dyDescent="0.3">
      <c r="A1183" t="s">
        <v>58</v>
      </c>
      <c r="B1183">
        <v>0</v>
      </c>
      <c r="C1183" t="s">
        <v>32</v>
      </c>
      <c r="D1183">
        <v>465</v>
      </c>
      <c r="E1183" t="s">
        <v>40</v>
      </c>
      <c r="F1183">
        <v>6</v>
      </c>
      <c r="G1183" t="str">
        <f>IF(Table2[[#This Row],[DistanceFromHome]]&lt;=5, "short", IF(Table2[[#This Row],[DistanceFromHome]]&lt;=15, "medium", "long"))</f>
        <v>medium</v>
      </c>
      <c r="H1183">
        <v>1</v>
      </c>
      <c r="I1183" t="s">
        <v>34</v>
      </c>
      <c r="J1183">
        <v>1661</v>
      </c>
      <c r="K1183">
        <v>3</v>
      </c>
      <c r="L1183" t="s">
        <v>35</v>
      </c>
      <c r="M1183">
        <v>41</v>
      </c>
      <c r="N1183">
        <v>2</v>
      </c>
      <c r="O1183">
        <v>4</v>
      </c>
      <c r="P1183" t="s">
        <v>49</v>
      </c>
      <c r="Q1183">
        <v>3</v>
      </c>
      <c r="R1183" t="s">
        <v>43</v>
      </c>
      <c r="S1183">
        <v>13966</v>
      </c>
      <c r="T1183">
        <v>11652</v>
      </c>
      <c r="U1183">
        <v>2</v>
      </c>
      <c r="V1183" t="s">
        <v>31</v>
      </c>
      <c r="W1183">
        <v>19</v>
      </c>
      <c r="X1183">
        <v>3</v>
      </c>
      <c r="Y1183">
        <v>2</v>
      </c>
      <c r="Z1183">
        <v>1</v>
      </c>
      <c r="AA1183">
        <v>30</v>
      </c>
      <c r="AB1183" t="str">
        <f>IF(Table2[[#This Row],[TotalWorkingYears]]&lt;=5,"Early (0-5)",IF(Table2[[#This Row],[TotalWorkingYears]]&lt;=15,"Mid (6-15)","Senior (16+)"))</f>
        <v>Senior (16+)</v>
      </c>
      <c r="AC1183">
        <v>3</v>
      </c>
      <c r="AD1183">
        <v>3</v>
      </c>
      <c r="AE1183" t="s">
        <v>65</v>
      </c>
      <c r="AF1183">
        <v>11</v>
      </c>
      <c r="AG1183">
        <v>2</v>
      </c>
      <c r="AH1183">
        <v>12</v>
      </c>
    </row>
    <row r="1184" spans="1:34" x14ac:dyDescent="0.3">
      <c r="A1184" t="s">
        <v>57</v>
      </c>
      <c r="B1184">
        <v>0</v>
      </c>
      <c r="C1184" t="s">
        <v>50</v>
      </c>
      <c r="D1184">
        <v>894</v>
      </c>
      <c r="E1184" t="s">
        <v>40</v>
      </c>
      <c r="F1184">
        <v>1</v>
      </c>
      <c r="G1184" t="str">
        <f>IF(Table2[[#This Row],[DistanceFromHome]]&lt;=5, "short", IF(Table2[[#This Row],[DistanceFromHome]]&lt;=15, "medium", "long"))</f>
        <v>short</v>
      </c>
      <c r="H1184">
        <v>4</v>
      </c>
      <c r="I1184" t="s">
        <v>46</v>
      </c>
      <c r="J1184">
        <v>1662</v>
      </c>
      <c r="K1184">
        <v>4</v>
      </c>
      <c r="L1184" t="s">
        <v>35</v>
      </c>
      <c r="M1184">
        <v>33</v>
      </c>
      <c r="N1184">
        <v>2</v>
      </c>
      <c r="O1184">
        <v>2</v>
      </c>
      <c r="P1184" t="s">
        <v>48</v>
      </c>
      <c r="Q1184">
        <v>3</v>
      </c>
      <c r="R1184" t="s">
        <v>43</v>
      </c>
      <c r="S1184">
        <v>4374</v>
      </c>
      <c r="T1184">
        <v>15411</v>
      </c>
      <c r="U1184">
        <v>0</v>
      </c>
      <c r="V1184" t="s">
        <v>38</v>
      </c>
      <c r="W1184">
        <v>15</v>
      </c>
      <c r="X1184">
        <v>3</v>
      </c>
      <c r="Y1184">
        <v>3</v>
      </c>
      <c r="Z1184">
        <v>0</v>
      </c>
      <c r="AA1184">
        <v>4</v>
      </c>
      <c r="AB1184" t="str">
        <f>IF(Table2[[#This Row],[TotalWorkingYears]]&lt;=5,"Early (0-5)",IF(Table2[[#This Row],[TotalWorkingYears]]&lt;=15,"Mid (6-15)","Senior (16+)"))</f>
        <v>Early (0-5)</v>
      </c>
      <c r="AC1184">
        <v>6</v>
      </c>
      <c r="AD1184">
        <v>3</v>
      </c>
      <c r="AE1184" t="s">
        <v>64</v>
      </c>
      <c r="AF1184">
        <v>2</v>
      </c>
      <c r="AG1184">
        <v>1</v>
      </c>
      <c r="AH1184">
        <v>2</v>
      </c>
    </row>
    <row r="1185" spans="1:34" x14ac:dyDescent="0.3">
      <c r="A1185" t="s">
        <v>57</v>
      </c>
      <c r="B1185">
        <v>0</v>
      </c>
      <c r="C1185" t="s">
        <v>32</v>
      </c>
      <c r="D1185">
        <v>1040</v>
      </c>
      <c r="E1185" t="s">
        <v>40</v>
      </c>
      <c r="F1185">
        <v>3</v>
      </c>
      <c r="G1185" t="str">
        <f>IF(Table2[[#This Row],[DistanceFromHome]]&lt;=5, "short", IF(Table2[[#This Row],[DistanceFromHome]]&lt;=15, "medium", "long"))</f>
        <v>short</v>
      </c>
      <c r="H1185">
        <v>2</v>
      </c>
      <c r="I1185" t="s">
        <v>34</v>
      </c>
      <c r="J1185">
        <v>1664</v>
      </c>
      <c r="K1185">
        <v>4</v>
      </c>
      <c r="L1185" t="s">
        <v>41</v>
      </c>
      <c r="M1185">
        <v>79</v>
      </c>
      <c r="N1185">
        <v>4</v>
      </c>
      <c r="O1185">
        <v>2</v>
      </c>
      <c r="P1185" t="s">
        <v>49</v>
      </c>
      <c r="Q1185">
        <v>1</v>
      </c>
      <c r="R1185" t="s">
        <v>47</v>
      </c>
      <c r="S1185">
        <v>6842</v>
      </c>
      <c r="T1185">
        <v>26308</v>
      </c>
      <c r="U1185">
        <v>6</v>
      </c>
      <c r="V1185" t="s">
        <v>38</v>
      </c>
      <c r="W1185">
        <v>20</v>
      </c>
      <c r="X1185">
        <v>4</v>
      </c>
      <c r="Y1185">
        <v>1</v>
      </c>
      <c r="Z1185">
        <v>1</v>
      </c>
      <c r="AA1185">
        <v>13</v>
      </c>
      <c r="AB1185" t="str">
        <f>IF(Table2[[#This Row],[TotalWorkingYears]]&lt;=5,"Early (0-5)",IF(Table2[[#This Row],[TotalWorkingYears]]&lt;=15,"Mid (6-15)","Senior (16+)"))</f>
        <v>Mid (6-15)</v>
      </c>
      <c r="AC1185">
        <v>3</v>
      </c>
      <c r="AD1185">
        <v>3</v>
      </c>
      <c r="AE1185" t="s">
        <v>64</v>
      </c>
      <c r="AF1185">
        <v>4</v>
      </c>
      <c r="AG1185">
        <v>0</v>
      </c>
      <c r="AH1185">
        <v>4</v>
      </c>
    </row>
    <row r="1186" spans="1:34" x14ac:dyDescent="0.3">
      <c r="A1186" t="s">
        <v>58</v>
      </c>
      <c r="B1186">
        <v>0</v>
      </c>
      <c r="C1186" t="s">
        <v>32</v>
      </c>
      <c r="D1186">
        <v>584</v>
      </c>
      <c r="E1186" t="s">
        <v>40</v>
      </c>
      <c r="F1186">
        <v>22</v>
      </c>
      <c r="G1186" t="str">
        <f>IF(Table2[[#This Row],[DistanceFromHome]]&lt;=5, "short", IF(Table2[[#This Row],[DistanceFromHome]]&lt;=15, "medium", "long"))</f>
        <v>long</v>
      </c>
      <c r="H1186">
        <v>5</v>
      </c>
      <c r="I1186" t="s">
        <v>46</v>
      </c>
      <c r="J1186">
        <v>1665</v>
      </c>
      <c r="K1186">
        <v>2</v>
      </c>
      <c r="L1186" t="s">
        <v>35</v>
      </c>
      <c r="M1186">
        <v>91</v>
      </c>
      <c r="N1186">
        <v>3</v>
      </c>
      <c r="O1186">
        <v>4</v>
      </c>
      <c r="P1186" t="s">
        <v>51</v>
      </c>
      <c r="Q1186">
        <v>3</v>
      </c>
      <c r="R1186" t="s">
        <v>43</v>
      </c>
      <c r="S1186">
        <v>17426</v>
      </c>
      <c r="T1186">
        <v>18685</v>
      </c>
      <c r="U1186">
        <v>3</v>
      </c>
      <c r="V1186" t="s">
        <v>38</v>
      </c>
      <c r="W1186">
        <v>25</v>
      </c>
      <c r="X1186">
        <v>4</v>
      </c>
      <c r="Y1186">
        <v>3</v>
      </c>
      <c r="Z1186">
        <v>1</v>
      </c>
      <c r="AA1186">
        <v>36</v>
      </c>
      <c r="AB1186" t="str">
        <f>IF(Table2[[#This Row],[TotalWorkingYears]]&lt;=5,"Early (0-5)",IF(Table2[[#This Row],[TotalWorkingYears]]&lt;=15,"Mid (6-15)","Senior (16+)"))</f>
        <v>Senior (16+)</v>
      </c>
      <c r="AC1186">
        <v>6</v>
      </c>
      <c r="AD1186">
        <v>3</v>
      </c>
      <c r="AE1186" t="s">
        <v>62</v>
      </c>
      <c r="AF1186">
        <v>8</v>
      </c>
      <c r="AG1186">
        <v>4</v>
      </c>
      <c r="AH1186">
        <v>7</v>
      </c>
    </row>
    <row r="1187" spans="1:34" x14ac:dyDescent="0.3">
      <c r="A1187" t="s">
        <v>57</v>
      </c>
      <c r="B1187">
        <v>0</v>
      </c>
      <c r="C1187" t="s">
        <v>32</v>
      </c>
      <c r="D1187">
        <v>1291</v>
      </c>
      <c r="E1187" t="s">
        <v>40</v>
      </c>
      <c r="F1187">
        <v>15</v>
      </c>
      <c r="G1187" t="str">
        <f>IF(Table2[[#This Row],[DistanceFromHome]]&lt;=5, "short", IF(Table2[[#This Row],[DistanceFromHome]]&lt;=15, "medium", "long"))</f>
        <v>medium</v>
      </c>
      <c r="H1187">
        <v>2</v>
      </c>
      <c r="I1187" t="s">
        <v>34</v>
      </c>
      <c r="J1187">
        <v>1666</v>
      </c>
      <c r="K1187">
        <v>3</v>
      </c>
      <c r="L1187" t="s">
        <v>41</v>
      </c>
      <c r="M1187">
        <v>65</v>
      </c>
      <c r="N1187">
        <v>2</v>
      </c>
      <c r="O1187">
        <v>4</v>
      </c>
      <c r="P1187" t="s">
        <v>53</v>
      </c>
      <c r="Q1187">
        <v>3</v>
      </c>
      <c r="R1187" t="s">
        <v>43</v>
      </c>
      <c r="S1187">
        <v>17603</v>
      </c>
      <c r="T1187">
        <v>3525</v>
      </c>
      <c r="U1187">
        <v>1</v>
      </c>
      <c r="V1187" t="s">
        <v>38</v>
      </c>
      <c r="W1187">
        <v>24</v>
      </c>
      <c r="X1187">
        <v>4</v>
      </c>
      <c r="Y1187">
        <v>1</v>
      </c>
      <c r="Z1187">
        <v>1</v>
      </c>
      <c r="AA1187">
        <v>14</v>
      </c>
      <c r="AB1187" t="str">
        <f>IF(Table2[[#This Row],[TotalWorkingYears]]&lt;=5,"Early (0-5)",IF(Table2[[#This Row],[TotalWorkingYears]]&lt;=15,"Mid (6-15)","Senior (16+)"))</f>
        <v>Mid (6-15)</v>
      </c>
      <c r="AC1187">
        <v>3</v>
      </c>
      <c r="AD1187">
        <v>3</v>
      </c>
      <c r="AE1187" t="s">
        <v>65</v>
      </c>
      <c r="AF1187">
        <v>10</v>
      </c>
      <c r="AG1187">
        <v>6</v>
      </c>
      <c r="AH1187">
        <v>11</v>
      </c>
    </row>
    <row r="1188" spans="1:34" x14ac:dyDescent="0.3">
      <c r="A1188" t="s">
        <v>59</v>
      </c>
      <c r="B1188">
        <v>1</v>
      </c>
      <c r="C1188" t="s">
        <v>39</v>
      </c>
      <c r="D1188">
        <v>880</v>
      </c>
      <c r="E1188" t="s">
        <v>33</v>
      </c>
      <c r="F1188">
        <v>12</v>
      </c>
      <c r="G1188" t="str">
        <f>IF(Table2[[#This Row],[DistanceFromHome]]&lt;=5, "short", IF(Table2[[#This Row],[DistanceFromHome]]&lt;=15, "medium", "long"))</f>
        <v>medium</v>
      </c>
      <c r="H1188">
        <v>4</v>
      </c>
      <c r="I1188" t="s">
        <v>44</v>
      </c>
      <c r="J1188">
        <v>1667</v>
      </c>
      <c r="K1188">
        <v>4</v>
      </c>
      <c r="L1188" t="s">
        <v>41</v>
      </c>
      <c r="M1188">
        <v>36</v>
      </c>
      <c r="N1188">
        <v>3</v>
      </c>
      <c r="O1188">
        <v>2</v>
      </c>
      <c r="P1188" t="s">
        <v>36</v>
      </c>
      <c r="Q1188">
        <v>4</v>
      </c>
      <c r="R1188" t="s">
        <v>37</v>
      </c>
      <c r="S1188">
        <v>4581</v>
      </c>
      <c r="T1188">
        <v>10414</v>
      </c>
      <c r="U1188">
        <v>3</v>
      </c>
      <c r="V1188" t="s">
        <v>31</v>
      </c>
      <c r="W1188">
        <v>24</v>
      </c>
      <c r="X1188">
        <v>4</v>
      </c>
      <c r="Y1188">
        <v>1</v>
      </c>
      <c r="Z1188">
        <v>0</v>
      </c>
      <c r="AA1188">
        <v>13</v>
      </c>
      <c r="AB1188" t="str">
        <f>IF(Table2[[#This Row],[TotalWorkingYears]]&lt;=5,"Early (0-5)",IF(Table2[[#This Row],[TotalWorkingYears]]&lt;=15,"Mid (6-15)","Senior (16+)"))</f>
        <v>Mid (6-15)</v>
      </c>
      <c r="AC1188">
        <v>2</v>
      </c>
      <c r="AD1188">
        <v>4</v>
      </c>
      <c r="AE1188" t="s">
        <v>65</v>
      </c>
      <c r="AF1188">
        <v>9</v>
      </c>
      <c r="AG1188">
        <v>6</v>
      </c>
      <c r="AH1188">
        <v>7</v>
      </c>
    </row>
    <row r="1189" spans="1:34" x14ac:dyDescent="0.3">
      <c r="A1189" t="s">
        <v>57</v>
      </c>
      <c r="B1189">
        <v>0</v>
      </c>
      <c r="C1189" t="s">
        <v>39</v>
      </c>
      <c r="D1189">
        <v>1189</v>
      </c>
      <c r="E1189" t="s">
        <v>40</v>
      </c>
      <c r="F1189">
        <v>1</v>
      </c>
      <c r="G1189" t="str">
        <f>IF(Table2[[#This Row],[DistanceFromHome]]&lt;=5, "short", IF(Table2[[#This Row],[DistanceFromHome]]&lt;=15, "medium", "long"))</f>
        <v>short</v>
      </c>
      <c r="H1189">
        <v>3</v>
      </c>
      <c r="I1189" t="s">
        <v>34</v>
      </c>
      <c r="J1189">
        <v>1668</v>
      </c>
      <c r="K1189">
        <v>4</v>
      </c>
      <c r="L1189" t="s">
        <v>41</v>
      </c>
      <c r="M1189">
        <v>90</v>
      </c>
      <c r="N1189">
        <v>3</v>
      </c>
      <c r="O1189">
        <v>2</v>
      </c>
      <c r="P1189" t="s">
        <v>42</v>
      </c>
      <c r="Q1189">
        <v>4</v>
      </c>
      <c r="R1189" t="s">
        <v>43</v>
      </c>
      <c r="S1189">
        <v>4735</v>
      </c>
      <c r="T1189">
        <v>9867</v>
      </c>
      <c r="U1189">
        <v>7</v>
      </c>
      <c r="V1189" t="s">
        <v>38</v>
      </c>
      <c r="W1189">
        <v>15</v>
      </c>
      <c r="X1189">
        <v>3</v>
      </c>
      <c r="Y1189">
        <v>4</v>
      </c>
      <c r="Z1189">
        <v>2</v>
      </c>
      <c r="AA1189">
        <v>19</v>
      </c>
      <c r="AB1189" t="str">
        <f>IF(Table2[[#This Row],[TotalWorkingYears]]&lt;=5,"Early (0-5)",IF(Table2[[#This Row],[TotalWorkingYears]]&lt;=15,"Mid (6-15)","Senior (16+)"))</f>
        <v>Senior (16+)</v>
      </c>
      <c r="AC1189">
        <v>4</v>
      </c>
      <c r="AD1189">
        <v>4</v>
      </c>
      <c r="AE1189" t="s">
        <v>65</v>
      </c>
      <c r="AF1189">
        <v>11</v>
      </c>
      <c r="AG1189">
        <v>2</v>
      </c>
      <c r="AH1189">
        <v>9</v>
      </c>
    </row>
    <row r="1190" spans="1:34" x14ac:dyDescent="0.3">
      <c r="A1190" t="s">
        <v>59</v>
      </c>
      <c r="B1190">
        <v>0</v>
      </c>
      <c r="C1190" t="s">
        <v>32</v>
      </c>
      <c r="D1190">
        <v>991</v>
      </c>
      <c r="E1190" t="s">
        <v>33</v>
      </c>
      <c r="F1190">
        <v>5</v>
      </c>
      <c r="G1190" t="str">
        <f>IF(Table2[[#This Row],[DistanceFromHome]]&lt;=5, "short", IF(Table2[[#This Row],[DistanceFromHome]]&lt;=15, "medium", "long"))</f>
        <v>short</v>
      </c>
      <c r="H1190">
        <v>3</v>
      </c>
      <c r="I1190" t="s">
        <v>46</v>
      </c>
      <c r="J1190">
        <v>1669</v>
      </c>
      <c r="K1190">
        <v>1</v>
      </c>
      <c r="L1190" t="s">
        <v>41</v>
      </c>
      <c r="M1190">
        <v>43</v>
      </c>
      <c r="N1190">
        <v>2</v>
      </c>
      <c r="O1190">
        <v>2</v>
      </c>
      <c r="P1190" t="s">
        <v>36</v>
      </c>
      <c r="Q1190">
        <v>2</v>
      </c>
      <c r="R1190" t="s">
        <v>47</v>
      </c>
      <c r="S1190">
        <v>4187</v>
      </c>
      <c r="T1190">
        <v>3356</v>
      </c>
      <c r="U1190">
        <v>1</v>
      </c>
      <c r="V1190" t="s">
        <v>31</v>
      </c>
      <c r="W1190">
        <v>13</v>
      </c>
      <c r="X1190">
        <v>3</v>
      </c>
      <c r="Y1190">
        <v>2</v>
      </c>
      <c r="Z1190">
        <v>1</v>
      </c>
      <c r="AA1190">
        <v>10</v>
      </c>
      <c r="AB1190" t="str">
        <f>IF(Table2[[#This Row],[TotalWorkingYears]]&lt;=5,"Early (0-5)",IF(Table2[[#This Row],[TotalWorkingYears]]&lt;=15,"Mid (6-15)","Senior (16+)"))</f>
        <v>Mid (6-15)</v>
      </c>
      <c r="AC1190">
        <v>3</v>
      </c>
      <c r="AD1190">
        <v>2</v>
      </c>
      <c r="AE1190" t="s">
        <v>62</v>
      </c>
      <c r="AF1190">
        <v>0</v>
      </c>
      <c r="AG1190">
        <v>0</v>
      </c>
      <c r="AH1190">
        <v>9</v>
      </c>
    </row>
    <row r="1191" spans="1:34" x14ac:dyDescent="0.3">
      <c r="A1191" t="s">
        <v>59</v>
      </c>
      <c r="B1191">
        <v>0</v>
      </c>
      <c r="C1191" t="s">
        <v>32</v>
      </c>
      <c r="D1191">
        <v>392</v>
      </c>
      <c r="E1191" t="s">
        <v>33</v>
      </c>
      <c r="F1191">
        <v>2</v>
      </c>
      <c r="G1191" t="str">
        <f>IF(Table2[[#This Row],[DistanceFromHome]]&lt;=5, "short", IF(Table2[[#This Row],[DistanceFromHome]]&lt;=15, "medium", "long"))</f>
        <v>short</v>
      </c>
      <c r="H1191">
        <v>4</v>
      </c>
      <c r="I1191" t="s">
        <v>46</v>
      </c>
      <c r="J1191">
        <v>1670</v>
      </c>
      <c r="K1191">
        <v>4</v>
      </c>
      <c r="L1191" t="s">
        <v>41</v>
      </c>
      <c r="M1191">
        <v>93</v>
      </c>
      <c r="N1191">
        <v>3</v>
      </c>
      <c r="O1191">
        <v>2</v>
      </c>
      <c r="P1191" t="s">
        <v>36</v>
      </c>
      <c r="Q1191">
        <v>4</v>
      </c>
      <c r="R1191" t="s">
        <v>47</v>
      </c>
      <c r="S1191">
        <v>5505</v>
      </c>
      <c r="T1191">
        <v>3921</v>
      </c>
      <c r="U1191">
        <v>1</v>
      </c>
      <c r="V1191" t="s">
        <v>38</v>
      </c>
      <c r="W1191">
        <v>14</v>
      </c>
      <c r="X1191">
        <v>3</v>
      </c>
      <c r="Y1191">
        <v>3</v>
      </c>
      <c r="Z1191">
        <v>2</v>
      </c>
      <c r="AA1191">
        <v>6</v>
      </c>
      <c r="AB1191" t="str">
        <f>IF(Table2[[#This Row],[TotalWorkingYears]]&lt;=5,"Early (0-5)",IF(Table2[[#This Row],[TotalWorkingYears]]&lt;=15,"Mid (6-15)","Senior (16+)"))</f>
        <v>Mid (6-15)</v>
      </c>
      <c r="AC1191">
        <v>5</v>
      </c>
      <c r="AD1191">
        <v>3</v>
      </c>
      <c r="AE1191" t="s">
        <v>62</v>
      </c>
      <c r="AF1191">
        <v>2</v>
      </c>
      <c r="AG1191">
        <v>0</v>
      </c>
      <c r="AH1191">
        <v>4</v>
      </c>
    </row>
    <row r="1192" spans="1:34" x14ac:dyDescent="0.3">
      <c r="A1192" t="s">
        <v>59</v>
      </c>
      <c r="B1192">
        <v>0</v>
      </c>
      <c r="C1192" t="s">
        <v>32</v>
      </c>
      <c r="D1192">
        <v>977</v>
      </c>
      <c r="E1192" t="s">
        <v>40</v>
      </c>
      <c r="F1192">
        <v>2</v>
      </c>
      <c r="G1192" t="str">
        <f>IF(Table2[[#This Row],[DistanceFromHome]]&lt;=5, "short", IF(Table2[[#This Row],[DistanceFromHome]]&lt;=15, "medium", "long"))</f>
        <v>short</v>
      </c>
      <c r="H1192">
        <v>3</v>
      </c>
      <c r="I1192" t="s">
        <v>46</v>
      </c>
      <c r="J1192">
        <v>1671</v>
      </c>
      <c r="K1192">
        <v>4</v>
      </c>
      <c r="L1192" t="s">
        <v>41</v>
      </c>
      <c r="M1192">
        <v>45</v>
      </c>
      <c r="N1192">
        <v>3</v>
      </c>
      <c r="O1192">
        <v>2</v>
      </c>
      <c r="P1192" t="s">
        <v>42</v>
      </c>
      <c r="Q1192">
        <v>2</v>
      </c>
      <c r="R1192" t="s">
        <v>47</v>
      </c>
      <c r="S1192">
        <v>5470</v>
      </c>
      <c r="T1192">
        <v>25518</v>
      </c>
      <c r="U1192">
        <v>0</v>
      </c>
      <c r="V1192" t="s">
        <v>38</v>
      </c>
      <c r="W1192">
        <v>13</v>
      </c>
      <c r="X1192">
        <v>3</v>
      </c>
      <c r="Y1192">
        <v>3</v>
      </c>
      <c r="Z1192">
        <v>2</v>
      </c>
      <c r="AA1192">
        <v>10</v>
      </c>
      <c r="AB1192" t="str">
        <f>IF(Table2[[#This Row],[TotalWorkingYears]]&lt;=5,"Early (0-5)",IF(Table2[[#This Row],[TotalWorkingYears]]&lt;=15,"Mid (6-15)","Senior (16+)"))</f>
        <v>Mid (6-15)</v>
      </c>
      <c r="AC1192">
        <v>4</v>
      </c>
      <c r="AD1192">
        <v>2</v>
      </c>
      <c r="AE1192" t="s">
        <v>62</v>
      </c>
      <c r="AF1192">
        <v>5</v>
      </c>
      <c r="AG1192">
        <v>1</v>
      </c>
      <c r="AH1192">
        <v>6</v>
      </c>
    </row>
    <row r="1193" spans="1:34" x14ac:dyDescent="0.3">
      <c r="A1193" t="s">
        <v>59</v>
      </c>
      <c r="B1193">
        <v>0</v>
      </c>
      <c r="C1193" t="s">
        <v>32</v>
      </c>
      <c r="D1193">
        <v>1112</v>
      </c>
      <c r="E1193" t="s">
        <v>33</v>
      </c>
      <c r="F1193">
        <v>5</v>
      </c>
      <c r="G1193" t="str">
        <f>IF(Table2[[#This Row],[DistanceFromHome]]&lt;=5, "short", IF(Table2[[#This Row],[DistanceFromHome]]&lt;=15, "medium", "long"))</f>
        <v>short</v>
      </c>
      <c r="H1193">
        <v>4</v>
      </c>
      <c r="I1193" t="s">
        <v>34</v>
      </c>
      <c r="J1193">
        <v>1673</v>
      </c>
      <c r="K1193">
        <v>1</v>
      </c>
      <c r="L1193" t="s">
        <v>35</v>
      </c>
      <c r="M1193">
        <v>67</v>
      </c>
      <c r="N1193">
        <v>3</v>
      </c>
      <c r="O1193">
        <v>2</v>
      </c>
      <c r="P1193" t="s">
        <v>36</v>
      </c>
      <c r="Q1193">
        <v>4</v>
      </c>
      <c r="R1193" t="s">
        <v>43</v>
      </c>
      <c r="S1193">
        <v>5476</v>
      </c>
      <c r="T1193">
        <v>22589</v>
      </c>
      <c r="U1193">
        <v>1</v>
      </c>
      <c r="V1193" t="s">
        <v>38</v>
      </c>
      <c r="W1193">
        <v>11</v>
      </c>
      <c r="X1193">
        <v>3</v>
      </c>
      <c r="Y1193">
        <v>1</v>
      </c>
      <c r="Z1193">
        <v>2</v>
      </c>
      <c r="AA1193">
        <v>10</v>
      </c>
      <c r="AB1193" t="str">
        <f>IF(Table2[[#This Row],[TotalWorkingYears]]&lt;=5,"Early (0-5)",IF(Table2[[#This Row],[TotalWorkingYears]]&lt;=15,"Mid (6-15)","Senior (16+)"))</f>
        <v>Mid (6-15)</v>
      </c>
      <c r="AC1193">
        <v>2</v>
      </c>
      <c r="AD1193">
        <v>3</v>
      </c>
      <c r="AE1193" t="s">
        <v>62</v>
      </c>
      <c r="AF1193">
        <v>0</v>
      </c>
      <c r="AG1193">
        <v>0</v>
      </c>
      <c r="AH1193">
        <v>2</v>
      </c>
    </row>
    <row r="1194" spans="1:34" x14ac:dyDescent="0.3">
      <c r="A1194" t="s">
        <v>58</v>
      </c>
      <c r="B1194">
        <v>0</v>
      </c>
      <c r="C1194" t="s">
        <v>32</v>
      </c>
      <c r="D1194">
        <v>464</v>
      </c>
      <c r="E1194" t="s">
        <v>40</v>
      </c>
      <c r="F1194">
        <v>16</v>
      </c>
      <c r="G1194" t="str">
        <f>IF(Table2[[#This Row],[DistanceFromHome]]&lt;=5, "short", IF(Table2[[#This Row],[DistanceFromHome]]&lt;=15, "medium", "long"))</f>
        <v>long</v>
      </c>
      <c r="H1194">
        <v>3</v>
      </c>
      <c r="I1194" t="s">
        <v>46</v>
      </c>
      <c r="J1194">
        <v>1674</v>
      </c>
      <c r="K1194">
        <v>4</v>
      </c>
      <c r="L1194" t="s">
        <v>35</v>
      </c>
      <c r="M1194">
        <v>74</v>
      </c>
      <c r="N1194">
        <v>3</v>
      </c>
      <c r="O1194">
        <v>1</v>
      </c>
      <c r="P1194" t="s">
        <v>45</v>
      </c>
      <c r="Q1194">
        <v>1</v>
      </c>
      <c r="R1194" t="s">
        <v>47</v>
      </c>
      <c r="S1194">
        <v>2587</v>
      </c>
      <c r="T1194">
        <v>24941</v>
      </c>
      <c r="U1194">
        <v>4</v>
      </c>
      <c r="V1194" t="s">
        <v>31</v>
      </c>
      <c r="W1194">
        <v>16</v>
      </c>
      <c r="X1194">
        <v>3</v>
      </c>
      <c r="Y1194">
        <v>2</v>
      </c>
      <c r="Z1194">
        <v>1</v>
      </c>
      <c r="AA1194">
        <v>17</v>
      </c>
      <c r="AB1194" t="str">
        <f>IF(Table2[[#This Row],[TotalWorkingYears]]&lt;=5,"Early (0-5)",IF(Table2[[#This Row],[TotalWorkingYears]]&lt;=15,"Mid (6-15)","Senior (16+)"))</f>
        <v>Senior (16+)</v>
      </c>
      <c r="AC1194">
        <v>2</v>
      </c>
      <c r="AD1194">
        <v>2</v>
      </c>
      <c r="AE1194" t="s">
        <v>63</v>
      </c>
      <c r="AF1194">
        <v>2</v>
      </c>
      <c r="AG1194">
        <v>2</v>
      </c>
      <c r="AH1194">
        <v>2</v>
      </c>
    </row>
    <row r="1195" spans="1:34" x14ac:dyDescent="0.3">
      <c r="A1195" t="s">
        <v>57</v>
      </c>
      <c r="B1195">
        <v>0</v>
      </c>
      <c r="C1195" t="s">
        <v>39</v>
      </c>
      <c r="D1195">
        <v>148</v>
      </c>
      <c r="E1195" t="s">
        <v>40</v>
      </c>
      <c r="F1195">
        <v>2</v>
      </c>
      <c r="G1195" t="str">
        <f>IF(Table2[[#This Row],[DistanceFromHome]]&lt;=5, "short", IF(Table2[[#This Row],[DistanceFromHome]]&lt;=15, "medium", "long"))</f>
        <v>short</v>
      </c>
      <c r="H1195">
        <v>3</v>
      </c>
      <c r="I1195" t="s">
        <v>46</v>
      </c>
      <c r="J1195">
        <v>1675</v>
      </c>
      <c r="K1195">
        <v>4</v>
      </c>
      <c r="L1195" t="s">
        <v>35</v>
      </c>
      <c r="M1195">
        <v>42</v>
      </c>
      <c r="N1195">
        <v>2</v>
      </c>
      <c r="O1195">
        <v>1</v>
      </c>
      <c r="P1195" t="s">
        <v>45</v>
      </c>
      <c r="Q1195">
        <v>2</v>
      </c>
      <c r="R1195" t="s">
        <v>37</v>
      </c>
      <c r="S1195">
        <v>2440</v>
      </c>
      <c r="T1195">
        <v>23826</v>
      </c>
      <c r="U1195">
        <v>1</v>
      </c>
      <c r="V1195" t="s">
        <v>38</v>
      </c>
      <c r="W1195">
        <v>22</v>
      </c>
      <c r="X1195">
        <v>4</v>
      </c>
      <c r="Y1195">
        <v>2</v>
      </c>
      <c r="Z1195">
        <v>0</v>
      </c>
      <c r="AA1195">
        <v>4</v>
      </c>
      <c r="AB1195" t="str">
        <f>IF(Table2[[#This Row],[TotalWorkingYears]]&lt;=5,"Early (0-5)",IF(Table2[[#This Row],[TotalWorkingYears]]&lt;=15,"Mid (6-15)","Senior (16+)"))</f>
        <v>Early (0-5)</v>
      </c>
      <c r="AC1195">
        <v>3</v>
      </c>
      <c r="AD1195">
        <v>3</v>
      </c>
      <c r="AE1195" t="s">
        <v>64</v>
      </c>
      <c r="AF1195">
        <v>3</v>
      </c>
      <c r="AG1195">
        <v>3</v>
      </c>
      <c r="AH1195">
        <v>3</v>
      </c>
    </row>
    <row r="1196" spans="1:34" x14ac:dyDescent="0.3">
      <c r="A1196" t="s">
        <v>58</v>
      </c>
      <c r="B1196">
        <v>0</v>
      </c>
      <c r="C1196" t="s">
        <v>32</v>
      </c>
      <c r="D1196">
        <v>1225</v>
      </c>
      <c r="E1196" t="s">
        <v>33</v>
      </c>
      <c r="F1196">
        <v>2</v>
      </c>
      <c r="G1196" t="str">
        <f>IF(Table2[[#This Row],[DistanceFromHome]]&lt;=5, "short", IF(Table2[[#This Row],[DistanceFromHome]]&lt;=15, "medium", "long"))</f>
        <v>short</v>
      </c>
      <c r="H1196">
        <v>4</v>
      </c>
      <c r="I1196" t="s">
        <v>34</v>
      </c>
      <c r="J1196">
        <v>1676</v>
      </c>
      <c r="K1196">
        <v>2</v>
      </c>
      <c r="L1196" t="s">
        <v>35</v>
      </c>
      <c r="M1196">
        <v>47</v>
      </c>
      <c r="N1196">
        <v>4</v>
      </c>
      <c r="O1196">
        <v>4</v>
      </c>
      <c r="P1196" t="s">
        <v>51</v>
      </c>
      <c r="Q1196">
        <v>2</v>
      </c>
      <c r="R1196" t="s">
        <v>47</v>
      </c>
      <c r="S1196">
        <v>15972</v>
      </c>
      <c r="T1196">
        <v>21086</v>
      </c>
      <c r="U1196">
        <v>6</v>
      </c>
      <c r="V1196" t="s">
        <v>38</v>
      </c>
      <c r="W1196">
        <v>14</v>
      </c>
      <c r="X1196">
        <v>3</v>
      </c>
      <c r="Y1196">
        <v>3</v>
      </c>
      <c r="Z1196">
        <v>3</v>
      </c>
      <c r="AA1196">
        <v>29</v>
      </c>
      <c r="AB1196" t="str">
        <f>IF(Table2[[#This Row],[TotalWorkingYears]]&lt;=5,"Early (0-5)",IF(Table2[[#This Row],[TotalWorkingYears]]&lt;=15,"Mid (6-15)","Senior (16+)"))</f>
        <v>Senior (16+)</v>
      </c>
      <c r="AC1196">
        <v>2</v>
      </c>
      <c r="AD1196">
        <v>3</v>
      </c>
      <c r="AE1196" t="s">
        <v>64</v>
      </c>
      <c r="AF1196">
        <v>2</v>
      </c>
      <c r="AG1196">
        <v>1</v>
      </c>
      <c r="AH1196">
        <v>2</v>
      </c>
    </row>
    <row r="1197" spans="1:34" x14ac:dyDescent="0.3">
      <c r="A1197" t="s">
        <v>58</v>
      </c>
      <c r="B1197">
        <v>0</v>
      </c>
      <c r="C1197" t="s">
        <v>32</v>
      </c>
      <c r="D1197">
        <v>809</v>
      </c>
      <c r="E1197" t="s">
        <v>40</v>
      </c>
      <c r="F1197">
        <v>1</v>
      </c>
      <c r="G1197" t="str">
        <f>IF(Table2[[#This Row],[DistanceFromHome]]&lt;=5, "short", IF(Table2[[#This Row],[DistanceFromHome]]&lt;=15, "medium", "long"))</f>
        <v>short</v>
      </c>
      <c r="H1197">
        <v>3</v>
      </c>
      <c r="I1197" t="s">
        <v>34</v>
      </c>
      <c r="J1197">
        <v>1677</v>
      </c>
      <c r="K1197">
        <v>3</v>
      </c>
      <c r="L1197" t="s">
        <v>41</v>
      </c>
      <c r="M1197">
        <v>36</v>
      </c>
      <c r="N1197">
        <v>3</v>
      </c>
      <c r="O1197">
        <v>4</v>
      </c>
      <c r="P1197" t="s">
        <v>51</v>
      </c>
      <c r="Q1197">
        <v>3</v>
      </c>
      <c r="R1197" t="s">
        <v>37</v>
      </c>
      <c r="S1197">
        <v>15379</v>
      </c>
      <c r="T1197">
        <v>22384</v>
      </c>
      <c r="U1197">
        <v>4</v>
      </c>
      <c r="V1197" t="s">
        <v>38</v>
      </c>
      <c r="W1197">
        <v>14</v>
      </c>
      <c r="X1197">
        <v>3</v>
      </c>
      <c r="Y1197">
        <v>1</v>
      </c>
      <c r="Z1197">
        <v>0</v>
      </c>
      <c r="AA1197">
        <v>23</v>
      </c>
      <c r="AB1197" t="str">
        <f>IF(Table2[[#This Row],[TotalWorkingYears]]&lt;=5,"Early (0-5)",IF(Table2[[#This Row],[TotalWorkingYears]]&lt;=15,"Mid (6-15)","Senior (16+)"))</f>
        <v>Senior (16+)</v>
      </c>
      <c r="AC1197">
        <v>2</v>
      </c>
      <c r="AD1197">
        <v>3</v>
      </c>
      <c r="AE1197" t="s">
        <v>62</v>
      </c>
      <c r="AF1197">
        <v>7</v>
      </c>
      <c r="AG1197">
        <v>0</v>
      </c>
      <c r="AH1197">
        <v>0</v>
      </c>
    </row>
    <row r="1198" spans="1:34" x14ac:dyDescent="0.3">
      <c r="A1198" t="s">
        <v>57</v>
      </c>
      <c r="B1198">
        <v>0</v>
      </c>
      <c r="C1198" t="s">
        <v>32</v>
      </c>
      <c r="D1198">
        <v>1206</v>
      </c>
      <c r="E1198" t="s">
        <v>33</v>
      </c>
      <c r="F1198">
        <v>23</v>
      </c>
      <c r="G1198" t="str">
        <f>IF(Table2[[#This Row],[DistanceFromHome]]&lt;=5, "short", IF(Table2[[#This Row],[DistanceFromHome]]&lt;=15, "medium", "long"))</f>
        <v>long</v>
      </c>
      <c r="H1198">
        <v>2</v>
      </c>
      <c r="I1198" t="s">
        <v>34</v>
      </c>
      <c r="J1198">
        <v>1678</v>
      </c>
      <c r="K1198">
        <v>4</v>
      </c>
      <c r="L1198" t="s">
        <v>41</v>
      </c>
      <c r="M1198">
        <v>80</v>
      </c>
      <c r="N1198">
        <v>3</v>
      </c>
      <c r="O1198">
        <v>3</v>
      </c>
      <c r="P1198" t="s">
        <v>36</v>
      </c>
      <c r="Q1198">
        <v>3</v>
      </c>
      <c r="R1198" t="s">
        <v>37</v>
      </c>
      <c r="S1198">
        <v>7082</v>
      </c>
      <c r="T1198">
        <v>11591</v>
      </c>
      <c r="U1198">
        <v>3</v>
      </c>
      <c r="V1198" t="s">
        <v>31</v>
      </c>
      <c r="W1198">
        <v>16</v>
      </c>
      <c r="X1198">
        <v>3</v>
      </c>
      <c r="Y1198">
        <v>4</v>
      </c>
      <c r="Z1198">
        <v>0</v>
      </c>
      <c r="AA1198">
        <v>21</v>
      </c>
      <c r="AB1198" t="str">
        <f>IF(Table2[[#This Row],[TotalWorkingYears]]&lt;=5,"Early (0-5)",IF(Table2[[#This Row],[TotalWorkingYears]]&lt;=15,"Mid (6-15)","Senior (16+)"))</f>
        <v>Senior (16+)</v>
      </c>
      <c r="AC1198">
        <v>2</v>
      </c>
      <c r="AD1198">
        <v>3</v>
      </c>
      <c r="AE1198" t="s">
        <v>63</v>
      </c>
      <c r="AF1198">
        <v>0</v>
      </c>
      <c r="AG1198">
        <v>0</v>
      </c>
      <c r="AH1198">
        <v>2</v>
      </c>
    </row>
    <row r="1199" spans="1:34" x14ac:dyDescent="0.3">
      <c r="A1199" t="s">
        <v>60</v>
      </c>
      <c r="B1199">
        <v>0</v>
      </c>
      <c r="C1199" t="s">
        <v>32</v>
      </c>
      <c r="D1199">
        <v>727</v>
      </c>
      <c r="E1199" t="s">
        <v>33</v>
      </c>
      <c r="F1199">
        <v>9</v>
      </c>
      <c r="G1199" t="str">
        <f>IF(Table2[[#This Row],[DistanceFromHome]]&lt;=5, "short", IF(Table2[[#This Row],[DistanceFromHome]]&lt;=15, "medium", "long"))</f>
        <v>medium</v>
      </c>
      <c r="H1199">
        <v>1</v>
      </c>
      <c r="I1199" t="s">
        <v>34</v>
      </c>
      <c r="J1199">
        <v>1680</v>
      </c>
      <c r="K1199">
        <v>4</v>
      </c>
      <c r="L1199" t="s">
        <v>41</v>
      </c>
      <c r="M1199">
        <v>54</v>
      </c>
      <c r="N1199">
        <v>3</v>
      </c>
      <c r="O1199">
        <v>1</v>
      </c>
      <c r="P1199" t="s">
        <v>52</v>
      </c>
      <c r="Q1199">
        <v>1</v>
      </c>
      <c r="R1199" t="s">
        <v>37</v>
      </c>
      <c r="S1199">
        <v>2728</v>
      </c>
      <c r="T1199">
        <v>21082</v>
      </c>
      <c r="U1199">
        <v>1</v>
      </c>
      <c r="V1199" t="s">
        <v>38</v>
      </c>
      <c r="W1199">
        <v>11</v>
      </c>
      <c r="X1199">
        <v>3</v>
      </c>
      <c r="Y1199">
        <v>1</v>
      </c>
      <c r="Z1199">
        <v>0</v>
      </c>
      <c r="AA1199">
        <v>2</v>
      </c>
      <c r="AB1199" t="str">
        <f>IF(Table2[[#This Row],[TotalWorkingYears]]&lt;=5,"Early (0-5)",IF(Table2[[#This Row],[TotalWorkingYears]]&lt;=15,"Mid (6-15)","Senior (16+)"))</f>
        <v>Early (0-5)</v>
      </c>
      <c r="AC1199">
        <v>3</v>
      </c>
      <c r="AD1199">
        <v>3</v>
      </c>
      <c r="AE1199" t="s">
        <v>63</v>
      </c>
      <c r="AF1199">
        <v>2</v>
      </c>
      <c r="AG1199">
        <v>0</v>
      </c>
      <c r="AH1199">
        <v>2</v>
      </c>
    </row>
    <row r="1200" spans="1:34" x14ac:dyDescent="0.3">
      <c r="A1200" t="s">
        <v>59</v>
      </c>
      <c r="B1200">
        <v>0</v>
      </c>
      <c r="C1200" t="s">
        <v>50</v>
      </c>
      <c r="D1200">
        <v>530</v>
      </c>
      <c r="E1200" t="s">
        <v>33</v>
      </c>
      <c r="F1200">
        <v>16</v>
      </c>
      <c r="G1200" t="str">
        <f>IF(Table2[[#This Row],[DistanceFromHome]]&lt;=5, "short", IF(Table2[[#This Row],[DistanceFromHome]]&lt;=15, "medium", "long"))</f>
        <v>long</v>
      </c>
      <c r="H1200">
        <v>3</v>
      </c>
      <c r="I1200" t="s">
        <v>34</v>
      </c>
      <c r="J1200">
        <v>1681</v>
      </c>
      <c r="K1200">
        <v>3</v>
      </c>
      <c r="L1200" t="s">
        <v>35</v>
      </c>
      <c r="M1200">
        <v>36</v>
      </c>
      <c r="N1200">
        <v>3</v>
      </c>
      <c r="O1200">
        <v>2</v>
      </c>
      <c r="P1200" t="s">
        <v>36</v>
      </c>
      <c r="Q1200">
        <v>4</v>
      </c>
      <c r="R1200" t="s">
        <v>47</v>
      </c>
      <c r="S1200">
        <v>5368</v>
      </c>
      <c r="T1200">
        <v>16130</v>
      </c>
      <c r="U1200">
        <v>1</v>
      </c>
      <c r="V1200" t="s">
        <v>31</v>
      </c>
      <c r="W1200">
        <v>25</v>
      </c>
      <c r="X1200">
        <v>4</v>
      </c>
      <c r="Y1200">
        <v>3</v>
      </c>
      <c r="Z1200">
        <v>1</v>
      </c>
      <c r="AA1200">
        <v>7</v>
      </c>
      <c r="AB1200" t="str">
        <f>IF(Table2[[#This Row],[TotalWorkingYears]]&lt;=5,"Early (0-5)",IF(Table2[[#This Row],[TotalWorkingYears]]&lt;=15,"Mid (6-15)","Senior (16+)"))</f>
        <v>Mid (6-15)</v>
      </c>
      <c r="AC1200">
        <v>2</v>
      </c>
      <c r="AD1200">
        <v>3</v>
      </c>
      <c r="AE1200" t="s">
        <v>62</v>
      </c>
      <c r="AF1200">
        <v>5</v>
      </c>
      <c r="AG1200">
        <v>1</v>
      </c>
      <c r="AH1200">
        <v>2</v>
      </c>
    </row>
    <row r="1201" spans="1:34" x14ac:dyDescent="0.3">
      <c r="A1201" t="s">
        <v>57</v>
      </c>
      <c r="B1201">
        <v>0</v>
      </c>
      <c r="C1201" t="s">
        <v>32</v>
      </c>
      <c r="D1201">
        <v>1351</v>
      </c>
      <c r="E1201" t="s">
        <v>40</v>
      </c>
      <c r="F1201">
        <v>26</v>
      </c>
      <c r="G1201" t="str">
        <f>IF(Table2[[#This Row],[DistanceFromHome]]&lt;=5, "short", IF(Table2[[#This Row],[DistanceFromHome]]&lt;=15, "medium", "long"))</f>
        <v>long</v>
      </c>
      <c r="H1201">
        <v>4</v>
      </c>
      <c r="I1201" t="s">
        <v>34</v>
      </c>
      <c r="J1201">
        <v>1682</v>
      </c>
      <c r="K1201">
        <v>1</v>
      </c>
      <c r="L1201" t="s">
        <v>41</v>
      </c>
      <c r="M1201">
        <v>80</v>
      </c>
      <c r="N1201">
        <v>3</v>
      </c>
      <c r="O1201">
        <v>2</v>
      </c>
      <c r="P1201" t="s">
        <v>49</v>
      </c>
      <c r="Q1201">
        <v>3</v>
      </c>
      <c r="R1201" t="s">
        <v>43</v>
      </c>
      <c r="S1201">
        <v>5347</v>
      </c>
      <c r="T1201">
        <v>7419</v>
      </c>
      <c r="U1201">
        <v>6</v>
      </c>
      <c r="V1201" t="s">
        <v>38</v>
      </c>
      <c r="W1201">
        <v>14</v>
      </c>
      <c r="X1201">
        <v>3</v>
      </c>
      <c r="Y1201">
        <v>2</v>
      </c>
      <c r="Z1201">
        <v>2</v>
      </c>
      <c r="AA1201">
        <v>10</v>
      </c>
      <c r="AB1201" t="str">
        <f>IF(Table2[[#This Row],[TotalWorkingYears]]&lt;=5,"Early (0-5)",IF(Table2[[#This Row],[TotalWorkingYears]]&lt;=15,"Mid (6-15)","Senior (16+)"))</f>
        <v>Mid (6-15)</v>
      </c>
      <c r="AC1201">
        <v>2</v>
      </c>
      <c r="AD1201">
        <v>2</v>
      </c>
      <c r="AE1201" t="s">
        <v>64</v>
      </c>
      <c r="AF1201">
        <v>2</v>
      </c>
      <c r="AG1201">
        <v>0</v>
      </c>
      <c r="AH1201">
        <v>2</v>
      </c>
    </row>
    <row r="1202" spans="1:34" x14ac:dyDescent="0.3">
      <c r="A1202" t="s">
        <v>57</v>
      </c>
      <c r="B1202">
        <v>0</v>
      </c>
      <c r="C1202" t="s">
        <v>32</v>
      </c>
      <c r="D1202">
        <v>528</v>
      </c>
      <c r="E1202" t="s">
        <v>56</v>
      </c>
      <c r="F1202">
        <v>1</v>
      </c>
      <c r="G1202" t="str">
        <f>IF(Table2[[#This Row],[DistanceFromHome]]&lt;=5, "short", IF(Table2[[#This Row],[DistanceFromHome]]&lt;=15, "medium", "long"))</f>
        <v>short</v>
      </c>
      <c r="H1202">
        <v>3</v>
      </c>
      <c r="I1202" t="s">
        <v>34</v>
      </c>
      <c r="J1202">
        <v>1683</v>
      </c>
      <c r="K1202">
        <v>3</v>
      </c>
      <c r="L1202" t="s">
        <v>35</v>
      </c>
      <c r="M1202">
        <v>44</v>
      </c>
      <c r="N1202">
        <v>3</v>
      </c>
      <c r="O1202">
        <v>1</v>
      </c>
      <c r="P1202" t="s">
        <v>56</v>
      </c>
      <c r="Q1202">
        <v>4</v>
      </c>
      <c r="R1202" t="s">
        <v>47</v>
      </c>
      <c r="S1202">
        <v>3195</v>
      </c>
      <c r="T1202">
        <v>4167</v>
      </c>
      <c r="U1202">
        <v>4</v>
      </c>
      <c r="V1202" t="s">
        <v>31</v>
      </c>
      <c r="W1202">
        <v>18</v>
      </c>
      <c r="X1202">
        <v>3</v>
      </c>
      <c r="Y1202">
        <v>1</v>
      </c>
      <c r="Z1202">
        <v>3</v>
      </c>
      <c r="AA1202">
        <v>8</v>
      </c>
      <c r="AB1202" t="str">
        <f>IF(Table2[[#This Row],[TotalWorkingYears]]&lt;=5,"Early (0-5)",IF(Table2[[#This Row],[TotalWorkingYears]]&lt;=15,"Mid (6-15)","Senior (16+)"))</f>
        <v>Mid (6-15)</v>
      </c>
      <c r="AC1202">
        <v>2</v>
      </c>
      <c r="AD1202">
        <v>3</v>
      </c>
      <c r="AE1202" t="s">
        <v>63</v>
      </c>
      <c r="AF1202">
        <v>2</v>
      </c>
      <c r="AG1202">
        <v>2</v>
      </c>
      <c r="AH1202">
        <v>2</v>
      </c>
    </row>
    <row r="1203" spans="1:34" x14ac:dyDescent="0.3">
      <c r="A1203" t="s">
        <v>60</v>
      </c>
      <c r="B1203">
        <v>1</v>
      </c>
      <c r="C1203" t="s">
        <v>32</v>
      </c>
      <c r="D1203">
        <v>1320</v>
      </c>
      <c r="E1203" t="s">
        <v>40</v>
      </c>
      <c r="F1203">
        <v>8</v>
      </c>
      <c r="G1203" t="str">
        <f>IF(Table2[[#This Row],[DistanceFromHome]]&lt;=5, "short", IF(Table2[[#This Row],[DistanceFromHome]]&lt;=15, "medium", "long"))</f>
        <v>medium</v>
      </c>
      <c r="H1203">
        <v>1</v>
      </c>
      <c r="I1203" t="s">
        <v>46</v>
      </c>
      <c r="J1203">
        <v>1684</v>
      </c>
      <c r="K1203">
        <v>4</v>
      </c>
      <c r="L1203" t="s">
        <v>41</v>
      </c>
      <c r="M1203">
        <v>93</v>
      </c>
      <c r="N1203">
        <v>2</v>
      </c>
      <c r="O1203">
        <v>1</v>
      </c>
      <c r="P1203" t="s">
        <v>45</v>
      </c>
      <c r="Q1203">
        <v>3</v>
      </c>
      <c r="R1203" t="s">
        <v>37</v>
      </c>
      <c r="S1203">
        <v>3989</v>
      </c>
      <c r="T1203">
        <v>20586</v>
      </c>
      <c r="U1203">
        <v>1</v>
      </c>
      <c r="V1203" t="s">
        <v>31</v>
      </c>
      <c r="W1203">
        <v>11</v>
      </c>
      <c r="X1203">
        <v>3</v>
      </c>
      <c r="Y1203">
        <v>1</v>
      </c>
      <c r="Z1203">
        <v>0</v>
      </c>
      <c r="AA1203">
        <v>5</v>
      </c>
      <c r="AB1203" t="str">
        <f>IF(Table2[[#This Row],[TotalWorkingYears]]&lt;=5,"Early (0-5)",IF(Table2[[#This Row],[TotalWorkingYears]]&lt;=15,"Mid (6-15)","Senior (16+)"))</f>
        <v>Early (0-5)</v>
      </c>
      <c r="AC1203">
        <v>2</v>
      </c>
      <c r="AD1203">
        <v>3</v>
      </c>
      <c r="AE1203" t="s">
        <v>64</v>
      </c>
      <c r="AF1203">
        <v>4</v>
      </c>
      <c r="AG1203">
        <v>1</v>
      </c>
      <c r="AH1203">
        <v>2</v>
      </c>
    </row>
    <row r="1204" spans="1:34" x14ac:dyDescent="0.3">
      <c r="A1204" t="s">
        <v>57</v>
      </c>
      <c r="B1204">
        <v>0</v>
      </c>
      <c r="C1204" t="s">
        <v>32</v>
      </c>
      <c r="D1204">
        <v>1495</v>
      </c>
      <c r="E1204" t="s">
        <v>40</v>
      </c>
      <c r="F1204">
        <v>4</v>
      </c>
      <c r="G1204" t="str">
        <f>IF(Table2[[#This Row],[DistanceFromHome]]&lt;=5, "short", IF(Table2[[#This Row],[DistanceFromHome]]&lt;=15, "medium", "long"))</f>
        <v>short</v>
      </c>
      <c r="H1204">
        <v>2</v>
      </c>
      <c r="I1204" t="s">
        <v>46</v>
      </c>
      <c r="J1204">
        <v>1687</v>
      </c>
      <c r="K1204">
        <v>4</v>
      </c>
      <c r="L1204" t="s">
        <v>35</v>
      </c>
      <c r="M1204">
        <v>87</v>
      </c>
      <c r="N1204">
        <v>3</v>
      </c>
      <c r="O1204">
        <v>1</v>
      </c>
      <c r="P1204" t="s">
        <v>45</v>
      </c>
      <c r="Q1204">
        <v>3</v>
      </c>
      <c r="R1204" t="s">
        <v>43</v>
      </c>
      <c r="S1204">
        <v>3306</v>
      </c>
      <c r="T1204">
        <v>26176</v>
      </c>
      <c r="U1204">
        <v>7</v>
      </c>
      <c r="V1204" t="s">
        <v>38</v>
      </c>
      <c r="W1204">
        <v>19</v>
      </c>
      <c r="X1204">
        <v>3</v>
      </c>
      <c r="Y1204">
        <v>4</v>
      </c>
      <c r="Z1204">
        <v>1</v>
      </c>
      <c r="AA1204">
        <v>7</v>
      </c>
      <c r="AB1204" t="str">
        <f>IF(Table2[[#This Row],[TotalWorkingYears]]&lt;=5,"Early (0-5)",IF(Table2[[#This Row],[TotalWorkingYears]]&lt;=15,"Mid (6-15)","Senior (16+)"))</f>
        <v>Mid (6-15)</v>
      </c>
      <c r="AC1204">
        <v>5</v>
      </c>
      <c r="AD1204">
        <v>2</v>
      </c>
      <c r="AE1204" t="s">
        <v>63</v>
      </c>
      <c r="AF1204">
        <v>0</v>
      </c>
      <c r="AG1204">
        <v>0</v>
      </c>
      <c r="AH1204">
        <v>0</v>
      </c>
    </row>
    <row r="1205" spans="1:34" x14ac:dyDescent="0.3">
      <c r="A1205" t="s">
        <v>58</v>
      </c>
      <c r="B1205">
        <v>0</v>
      </c>
      <c r="C1205" t="s">
        <v>32</v>
      </c>
      <c r="D1205">
        <v>1395</v>
      </c>
      <c r="E1205" t="s">
        <v>40</v>
      </c>
      <c r="F1205">
        <v>24</v>
      </c>
      <c r="G1205" t="str">
        <f>IF(Table2[[#This Row],[DistanceFromHome]]&lt;=5, "short", IF(Table2[[#This Row],[DistanceFromHome]]&lt;=15, "medium", "long"))</f>
        <v>long</v>
      </c>
      <c r="H1205">
        <v>4</v>
      </c>
      <c r="I1205" t="s">
        <v>46</v>
      </c>
      <c r="J1205">
        <v>1689</v>
      </c>
      <c r="K1205">
        <v>2</v>
      </c>
      <c r="L1205" t="s">
        <v>41</v>
      </c>
      <c r="M1205">
        <v>48</v>
      </c>
      <c r="N1205">
        <v>4</v>
      </c>
      <c r="O1205">
        <v>3</v>
      </c>
      <c r="P1205" t="s">
        <v>49</v>
      </c>
      <c r="Q1205">
        <v>4</v>
      </c>
      <c r="R1205" t="s">
        <v>43</v>
      </c>
      <c r="S1205">
        <v>7005</v>
      </c>
      <c r="T1205">
        <v>3458</v>
      </c>
      <c r="U1205">
        <v>3</v>
      </c>
      <c r="V1205" t="s">
        <v>38</v>
      </c>
      <c r="W1205">
        <v>15</v>
      </c>
      <c r="X1205">
        <v>3</v>
      </c>
      <c r="Y1205">
        <v>3</v>
      </c>
      <c r="Z1205">
        <v>0</v>
      </c>
      <c r="AA1205">
        <v>11</v>
      </c>
      <c r="AB1205" t="str">
        <f>IF(Table2[[#This Row],[TotalWorkingYears]]&lt;=5,"Early (0-5)",IF(Table2[[#This Row],[TotalWorkingYears]]&lt;=15,"Mid (6-15)","Senior (16+)"))</f>
        <v>Mid (6-15)</v>
      </c>
      <c r="AC1205">
        <v>2</v>
      </c>
      <c r="AD1205">
        <v>3</v>
      </c>
      <c r="AE1205" t="s">
        <v>64</v>
      </c>
      <c r="AF1205">
        <v>3</v>
      </c>
      <c r="AG1205">
        <v>1</v>
      </c>
      <c r="AH1205">
        <v>2</v>
      </c>
    </row>
    <row r="1206" spans="1:34" x14ac:dyDescent="0.3">
      <c r="A1206" t="s">
        <v>58</v>
      </c>
      <c r="B1206">
        <v>1</v>
      </c>
      <c r="C1206" t="s">
        <v>39</v>
      </c>
      <c r="D1206">
        <v>708</v>
      </c>
      <c r="E1206" t="s">
        <v>33</v>
      </c>
      <c r="F1206">
        <v>7</v>
      </c>
      <c r="G1206" t="str">
        <f>IF(Table2[[#This Row],[DistanceFromHome]]&lt;=5, "short", IF(Table2[[#This Row],[DistanceFromHome]]&lt;=15, "medium", "long"))</f>
        <v>medium</v>
      </c>
      <c r="H1206">
        <v>2</v>
      </c>
      <c r="I1206" t="s">
        <v>46</v>
      </c>
      <c r="J1206">
        <v>1691</v>
      </c>
      <c r="K1206">
        <v>4</v>
      </c>
      <c r="L1206" t="s">
        <v>35</v>
      </c>
      <c r="M1206">
        <v>95</v>
      </c>
      <c r="N1206">
        <v>3</v>
      </c>
      <c r="O1206">
        <v>1</v>
      </c>
      <c r="P1206" t="s">
        <v>52</v>
      </c>
      <c r="Q1206">
        <v>3</v>
      </c>
      <c r="R1206" t="s">
        <v>43</v>
      </c>
      <c r="S1206">
        <v>2655</v>
      </c>
      <c r="T1206">
        <v>11740</v>
      </c>
      <c r="U1206">
        <v>2</v>
      </c>
      <c r="V1206" t="s">
        <v>31</v>
      </c>
      <c r="W1206">
        <v>11</v>
      </c>
      <c r="X1206">
        <v>3</v>
      </c>
      <c r="Y1206">
        <v>3</v>
      </c>
      <c r="Z1206">
        <v>2</v>
      </c>
      <c r="AA1206">
        <v>19</v>
      </c>
      <c r="AB1206" t="str">
        <f>IF(Table2[[#This Row],[TotalWorkingYears]]&lt;=5,"Early (0-5)",IF(Table2[[#This Row],[TotalWorkingYears]]&lt;=15,"Mid (6-15)","Senior (16+)"))</f>
        <v>Senior (16+)</v>
      </c>
      <c r="AC1206">
        <v>3</v>
      </c>
      <c r="AD1206">
        <v>3</v>
      </c>
      <c r="AE1206" t="s">
        <v>62</v>
      </c>
      <c r="AF1206">
        <v>7</v>
      </c>
      <c r="AG1206">
        <v>7</v>
      </c>
      <c r="AH1206">
        <v>7</v>
      </c>
    </row>
    <row r="1207" spans="1:34" x14ac:dyDescent="0.3">
      <c r="A1207" t="s">
        <v>59</v>
      </c>
      <c r="B1207">
        <v>1</v>
      </c>
      <c r="C1207" t="s">
        <v>32</v>
      </c>
      <c r="D1207">
        <v>1259</v>
      </c>
      <c r="E1207" t="s">
        <v>40</v>
      </c>
      <c r="F1207">
        <v>2</v>
      </c>
      <c r="G1207" t="str">
        <f>IF(Table2[[#This Row],[DistanceFromHome]]&lt;=5, "short", IF(Table2[[#This Row],[DistanceFromHome]]&lt;=15, "medium", "long"))</f>
        <v>short</v>
      </c>
      <c r="H1207">
        <v>4</v>
      </c>
      <c r="I1207" t="s">
        <v>34</v>
      </c>
      <c r="J1207">
        <v>1692</v>
      </c>
      <c r="K1207">
        <v>4</v>
      </c>
      <c r="L1207" t="s">
        <v>41</v>
      </c>
      <c r="M1207">
        <v>95</v>
      </c>
      <c r="N1207">
        <v>3</v>
      </c>
      <c r="O1207">
        <v>1</v>
      </c>
      <c r="P1207" t="s">
        <v>45</v>
      </c>
      <c r="Q1207">
        <v>2</v>
      </c>
      <c r="R1207" t="s">
        <v>37</v>
      </c>
      <c r="S1207">
        <v>1393</v>
      </c>
      <c r="T1207">
        <v>24852</v>
      </c>
      <c r="U1207">
        <v>1</v>
      </c>
      <c r="V1207" t="s">
        <v>38</v>
      </c>
      <c r="W1207">
        <v>12</v>
      </c>
      <c r="X1207">
        <v>3</v>
      </c>
      <c r="Y1207">
        <v>1</v>
      </c>
      <c r="Z1207">
        <v>0</v>
      </c>
      <c r="AA1207">
        <v>1</v>
      </c>
      <c r="AB1207" t="str">
        <f>IF(Table2[[#This Row],[TotalWorkingYears]]&lt;=5,"Early (0-5)",IF(Table2[[#This Row],[TotalWorkingYears]]&lt;=15,"Mid (6-15)","Senior (16+)"))</f>
        <v>Early (0-5)</v>
      </c>
      <c r="AC1207">
        <v>2</v>
      </c>
      <c r="AD1207">
        <v>3</v>
      </c>
      <c r="AE1207" t="s">
        <v>63</v>
      </c>
      <c r="AF1207">
        <v>0</v>
      </c>
      <c r="AG1207">
        <v>0</v>
      </c>
      <c r="AH1207">
        <v>0</v>
      </c>
    </row>
    <row r="1208" spans="1:34" x14ac:dyDescent="0.3">
      <c r="A1208" t="s">
        <v>59</v>
      </c>
      <c r="B1208">
        <v>0</v>
      </c>
      <c r="C1208" t="s">
        <v>50</v>
      </c>
      <c r="D1208">
        <v>786</v>
      </c>
      <c r="E1208" t="s">
        <v>40</v>
      </c>
      <c r="F1208">
        <v>7</v>
      </c>
      <c r="G1208" t="str">
        <f>IF(Table2[[#This Row],[DistanceFromHome]]&lt;=5, "short", IF(Table2[[#This Row],[DistanceFromHome]]&lt;=15, "medium", "long"))</f>
        <v>medium</v>
      </c>
      <c r="H1208">
        <v>3</v>
      </c>
      <c r="I1208" t="s">
        <v>46</v>
      </c>
      <c r="J1208">
        <v>1693</v>
      </c>
      <c r="K1208">
        <v>4</v>
      </c>
      <c r="L1208" t="s">
        <v>41</v>
      </c>
      <c r="M1208">
        <v>76</v>
      </c>
      <c r="N1208">
        <v>3</v>
      </c>
      <c r="O1208">
        <v>1</v>
      </c>
      <c r="P1208" t="s">
        <v>45</v>
      </c>
      <c r="Q1208">
        <v>4</v>
      </c>
      <c r="R1208" t="s">
        <v>37</v>
      </c>
      <c r="S1208">
        <v>2570</v>
      </c>
      <c r="T1208">
        <v>11925</v>
      </c>
      <c r="U1208">
        <v>1</v>
      </c>
      <c r="V1208" t="s">
        <v>38</v>
      </c>
      <c r="W1208">
        <v>20</v>
      </c>
      <c r="X1208">
        <v>4</v>
      </c>
      <c r="Y1208">
        <v>3</v>
      </c>
      <c r="Z1208">
        <v>0</v>
      </c>
      <c r="AA1208">
        <v>7</v>
      </c>
      <c r="AB1208" t="str">
        <f>IF(Table2[[#This Row],[TotalWorkingYears]]&lt;=5,"Early (0-5)",IF(Table2[[#This Row],[TotalWorkingYears]]&lt;=15,"Mid (6-15)","Senior (16+)"))</f>
        <v>Mid (6-15)</v>
      </c>
      <c r="AC1208">
        <v>5</v>
      </c>
      <c r="AD1208">
        <v>3</v>
      </c>
      <c r="AE1208" t="s">
        <v>62</v>
      </c>
      <c r="AF1208">
        <v>7</v>
      </c>
      <c r="AG1208">
        <v>5</v>
      </c>
      <c r="AH1208">
        <v>7</v>
      </c>
    </row>
    <row r="1209" spans="1:34" x14ac:dyDescent="0.3">
      <c r="A1209" t="s">
        <v>58</v>
      </c>
      <c r="B1209">
        <v>0</v>
      </c>
      <c r="C1209" t="s">
        <v>32</v>
      </c>
      <c r="D1209">
        <v>1441</v>
      </c>
      <c r="E1209" t="s">
        <v>40</v>
      </c>
      <c r="F1209">
        <v>22</v>
      </c>
      <c r="G1209" t="str">
        <f>IF(Table2[[#This Row],[DistanceFromHome]]&lt;=5, "short", IF(Table2[[#This Row],[DistanceFromHome]]&lt;=15, "medium", "long"))</f>
        <v>long</v>
      </c>
      <c r="H1209">
        <v>3</v>
      </c>
      <c r="I1209" t="s">
        <v>55</v>
      </c>
      <c r="J1209">
        <v>1694</v>
      </c>
      <c r="K1209">
        <v>1</v>
      </c>
      <c r="L1209" t="s">
        <v>41</v>
      </c>
      <c r="M1209">
        <v>94</v>
      </c>
      <c r="N1209">
        <v>2</v>
      </c>
      <c r="O1209">
        <v>1</v>
      </c>
      <c r="P1209" t="s">
        <v>42</v>
      </c>
      <c r="Q1209">
        <v>2</v>
      </c>
      <c r="R1209" t="s">
        <v>47</v>
      </c>
      <c r="S1209">
        <v>3537</v>
      </c>
      <c r="T1209">
        <v>23737</v>
      </c>
      <c r="U1209">
        <v>5</v>
      </c>
      <c r="V1209" t="s">
        <v>38</v>
      </c>
      <c r="W1209">
        <v>12</v>
      </c>
      <c r="X1209">
        <v>3</v>
      </c>
      <c r="Y1209">
        <v>4</v>
      </c>
      <c r="Z1209">
        <v>1</v>
      </c>
      <c r="AA1209">
        <v>8</v>
      </c>
      <c r="AB1209" t="str">
        <f>IF(Table2[[#This Row],[TotalWorkingYears]]&lt;=5,"Early (0-5)",IF(Table2[[#This Row],[TotalWorkingYears]]&lt;=15,"Mid (6-15)","Senior (16+)"))</f>
        <v>Mid (6-15)</v>
      </c>
      <c r="AC1209">
        <v>1</v>
      </c>
      <c r="AD1209">
        <v>3</v>
      </c>
      <c r="AE1209" t="s">
        <v>64</v>
      </c>
      <c r="AF1209">
        <v>2</v>
      </c>
      <c r="AG1209">
        <v>1</v>
      </c>
      <c r="AH1209">
        <v>2</v>
      </c>
    </row>
    <row r="1210" spans="1:34" x14ac:dyDescent="0.3">
      <c r="A1210" t="s">
        <v>59</v>
      </c>
      <c r="B1210">
        <v>0</v>
      </c>
      <c r="C1210" t="s">
        <v>32</v>
      </c>
      <c r="D1210">
        <v>1157</v>
      </c>
      <c r="E1210" t="s">
        <v>40</v>
      </c>
      <c r="F1210">
        <v>5</v>
      </c>
      <c r="G1210" t="str">
        <f>IF(Table2[[#This Row],[DistanceFromHome]]&lt;=5, "short", IF(Table2[[#This Row],[DistanceFromHome]]&lt;=15, "medium", "long"))</f>
        <v>short</v>
      </c>
      <c r="H1210">
        <v>2</v>
      </c>
      <c r="I1210" t="s">
        <v>46</v>
      </c>
      <c r="J1210">
        <v>1696</v>
      </c>
      <c r="K1210">
        <v>2</v>
      </c>
      <c r="L1210" t="s">
        <v>41</v>
      </c>
      <c r="M1210">
        <v>57</v>
      </c>
      <c r="N1210">
        <v>2</v>
      </c>
      <c r="O1210">
        <v>2</v>
      </c>
      <c r="P1210" t="s">
        <v>45</v>
      </c>
      <c r="Q1210">
        <v>4</v>
      </c>
      <c r="R1210" t="s">
        <v>43</v>
      </c>
      <c r="S1210">
        <v>3986</v>
      </c>
      <c r="T1210">
        <v>11912</v>
      </c>
      <c r="U1210">
        <v>1</v>
      </c>
      <c r="V1210" t="s">
        <v>38</v>
      </c>
      <c r="W1210">
        <v>14</v>
      </c>
      <c r="X1210">
        <v>3</v>
      </c>
      <c r="Y1210">
        <v>3</v>
      </c>
      <c r="Z1210">
        <v>1</v>
      </c>
      <c r="AA1210">
        <v>15</v>
      </c>
      <c r="AB1210" t="str">
        <f>IF(Table2[[#This Row],[TotalWorkingYears]]&lt;=5,"Early (0-5)",IF(Table2[[#This Row],[TotalWorkingYears]]&lt;=15,"Mid (6-15)","Senior (16+)"))</f>
        <v>Mid (6-15)</v>
      </c>
      <c r="AC1210">
        <v>3</v>
      </c>
      <c r="AD1210">
        <v>4</v>
      </c>
      <c r="AE1210" t="s">
        <v>65</v>
      </c>
      <c r="AF1210">
        <v>10</v>
      </c>
      <c r="AG1210">
        <v>4</v>
      </c>
      <c r="AH1210">
        <v>13</v>
      </c>
    </row>
    <row r="1211" spans="1:34" x14ac:dyDescent="0.3">
      <c r="A1211" t="s">
        <v>58</v>
      </c>
      <c r="B1211">
        <v>0</v>
      </c>
      <c r="C1211" t="s">
        <v>32</v>
      </c>
      <c r="D1211">
        <v>370</v>
      </c>
      <c r="E1211" t="s">
        <v>40</v>
      </c>
      <c r="F1211">
        <v>1</v>
      </c>
      <c r="G1211" t="str">
        <f>IF(Table2[[#This Row],[DistanceFromHome]]&lt;=5, "short", IF(Table2[[#This Row],[DistanceFromHome]]&lt;=15, "medium", "long"))</f>
        <v>short</v>
      </c>
      <c r="H1211">
        <v>4</v>
      </c>
      <c r="I1211" t="s">
        <v>46</v>
      </c>
      <c r="J1211">
        <v>1697</v>
      </c>
      <c r="K1211">
        <v>3</v>
      </c>
      <c r="L1211" t="s">
        <v>41</v>
      </c>
      <c r="M1211">
        <v>92</v>
      </c>
      <c r="N1211">
        <v>1</v>
      </c>
      <c r="O1211">
        <v>3</v>
      </c>
      <c r="P1211" t="s">
        <v>49</v>
      </c>
      <c r="Q1211">
        <v>4</v>
      </c>
      <c r="R1211" t="s">
        <v>47</v>
      </c>
      <c r="S1211">
        <v>10883</v>
      </c>
      <c r="T1211">
        <v>20467</v>
      </c>
      <c r="U1211">
        <v>3</v>
      </c>
      <c r="V1211" t="s">
        <v>38</v>
      </c>
      <c r="W1211">
        <v>20</v>
      </c>
      <c r="X1211">
        <v>4</v>
      </c>
      <c r="Y1211">
        <v>3</v>
      </c>
      <c r="Z1211">
        <v>1</v>
      </c>
      <c r="AA1211">
        <v>19</v>
      </c>
      <c r="AB1211" t="str">
        <f>IF(Table2[[#This Row],[TotalWorkingYears]]&lt;=5,"Early (0-5)",IF(Table2[[#This Row],[TotalWorkingYears]]&lt;=15,"Mid (6-15)","Senior (16+)"))</f>
        <v>Senior (16+)</v>
      </c>
      <c r="AC1211">
        <v>2</v>
      </c>
      <c r="AD1211">
        <v>4</v>
      </c>
      <c r="AE1211" t="s">
        <v>63</v>
      </c>
      <c r="AF1211">
        <v>0</v>
      </c>
      <c r="AG1211">
        <v>0</v>
      </c>
      <c r="AH1211">
        <v>0</v>
      </c>
    </row>
    <row r="1212" spans="1:34" x14ac:dyDescent="0.3">
      <c r="A1212" t="s">
        <v>59</v>
      </c>
      <c r="B1212">
        <v>0</v>
      </c>
      <c r="C1212" t="s">
        <v>32</v>
      </c>
      <c r="D1212">
        <v>267</v>
      </c>
      <c r="E1212" t="s">
        <v>40</v>
      </c>
      <c r="F1212">
        <v>21</v>
      </c>
      <c r="G1212" t="str">
        <f>IF(Table2[[#This Row],[DistanceFromHome]]&lt;=5, "short", IF(Table2[[#This Row],[DistanceFromHome]]&lt;=15, "medium", "long"))</f>
        <v>long</v>
      </c>
      <c r="H1212">
        <v>3</v>
      </c>
      <c r="I1212" t="s">
        <v>46</v>
      </c>
      <c r="J1212">
        <v>1698</v>
      </c>
      <c r="K1212">
        <v>2</v>
      </c>
      <c r="L1212" t="s">
        <v>41</v>
      </c>
      <c r="M1212">
        <v>79</v>
      </c>
      <c r="N1212">
        <v>4</v>
      </c>
      <c r="O1212">
        <v>1</v>
      </c>
      <c r="P1212" t="s">
        <v>45</v>
      </c>
      <c r="Q1212">
        <v>2</v>
      </c>
      <c r="R1212" t="s">
        <v>43</v>
      </c>
      <c r="S1212">
        <v>2028</v>
      </c>
      <c r="T1212">
        <v>13637</v>
      </c>
      <c r="U1212">
        <v>1</v>
      </c>
      <c r="V1212" t="s">
        <v>38</v>
      </c>
      <c r="W1212">
        <v>18</v>
      </c>
      <c r="X1212">
        <v>3</v>
      </c>
      <c r="Y1212">
        <v>4</v>
      </c>
      <c r="Z1212">
        <v>3</v>
      </c>
      <c r="AA1212">
        <v>14</v>
      </c>
      <c r="AB1212" t="str">
        <f>IF(Table2[[#This Row],[TotalWorkingYears]]&lt;=5,"Early (0-5)",IF(Table2[[#This Row],[TotalWorkingYears]]&lt;=15,"Mid (6-15)","Senior (16+)"))</f>
        <v>Mid (6-15)</v>
      </c>
      <c r="AC1212">
        <v>6</v>
      </c>
      <c r="AD1212">
        <v>3</v>
      </c>
      <c r="AE1212" t="s">
        <v>65</v>
      </c>
      <c r="AF1212">
        <v>11</v>
      </c>
      <c r="AG1212">
        <v>2</v>
      </c>
      <c r="AH1212">
        <v>13</v>
      </c>
    </row>
    <row r="1213" spans="1:34" x14ac:dyDescent="0.3">
      <c r="A1213" t="s">
        <v>57</v>
      </c>
      <c r="B1213">
        <v>0</v>
      </c>
      <c r="C1213" t="s">
        <v>39</v>
      </c>
      <c r="D1213">
        <v>1278</v>
      </c>
      <c r="E1213" t="s">
        <v>33</v>
      </c>
      <c r="F1213">
        <v>1</v>
      </c>
      <c r="G1213" t="str">
        <f>IF(Table2[[#This Row],[DistanceFromHome]]&lt;=5, "short", IF(Table2[[#This Row],[DistanceFromHome]]&lt;=15, "medium", "long"))</f>
        <v>short</v>
      </c>
      <c r="H1213">
        <v>4</v>
      </c>
      <c r="I1213" t="s">
        <v>46</v>
      </c>
      <c r="J1213">
        <v>1700</v>
      </c>
      <c r="K1213">
        <v>3</v>
      </c>
      <c r="L1213" t="s">
        <v>41</v>
      </c>
      <c r="M1213">
        <v>31</v>
      </c>
      <c r="N1213">
        <v>1</v>
      </c>
      <c r="O1213">
        <v>2</v>
      </c>
      <c r="P1213" t="s">
        <v>36</v>
      </c>
      <c r="Q1213">
        <v>4</v>
      </c>
      <c r="R1213" t="s">
        <v>47</v>
      </c>
      <c r="S1213">
        <v>9525</v>
      </c>
      <c r="T1213">
        <v>7677</v>
      </c>
      <c r="U1213">
        <v>1</v>
      </c>
      <c r="V1213" t="s">
        <v>38</v>
      </c>
      <c r="W1213">
        <v>14</v>
      </c>
      <c r="X1213">
        <v>3</v>
      </c>
      <c r="Y1213">
        <v>3</v>
      </c>
      <c r="Z1213">
        <v>2</v>
      </c>
      <c r="AA1213">
        <v>6</v>
      </c>
      <c r="AB1213" t="str">
        <f>IF(Table2[[#This Row],[TotalWorkingYears]]&lt;=5,"Early (0-5)",IF(Table2[[#This Row],[TotalWorkingYears]]&lt;=15,"Mid (6-15)","Senior (16+)"))</f>
        <v>Mid (6-15)</v>
      </c>
      <c r="AC1213">
        <v>2</v>
      </c>
      <c r="AD1213">
        <v>2</v>
      </c>
      <c r="AE1213" t="s">
        <v>62</v>
      </c>
      <c r="AF1213">
        <v>3</v>
      </c>
      <c r="AG1213">
        <v>1</v>
      </c>
      <c r="AH1213">
        <v>3</v>
      </c>
    </row>
    <row r="1214" spans="1:34" x14ac:dyDescent="0.3">
      <c r="A1214" t="s">
        <v>59</v>
      </c>
      <c r="B1214">
        <v>0</v>
      </c>
      <c r="C1214" t="s">
        <v>32</v>
      </c>
      <c r="D1214">
        <v>678</v>
      </c>
      <c r="E1214" t="s">
        <v>40</v>
      </c>
      <c r="F1214">
        <v>19</v>
      </c>
      <c r="G1214" t="str">
        <f>IF(Table2[[#This Row],[DistanceFromHome]]&lt;=5, "short", IF(Table2[[#This Row],[DistanceFromHome]]&lt;=15, "medium", "long"))</f>
        <v>long</v>
      </c>
      <c r="H1214">
        <v>3</v>
      </c>
      <c r="I1214" t="s">
        <v>34</v>
      </c>
      <c r="J1214">
        <v>1701</v>
      </c>
      <c r="K1214">
        <v>2</v>
      </c>
      <c r="L1214" t="s">
        <v>35</v>
      </c>
      <c r="M1214">
        <v>35</v>
      </c>
      <c r="N1214">
        <v>2</v>
      </c>
      <c r="O1214">
        <v>1</v>
      </c>
      <c r="P1214" t="s">
        <v>42</v>
      </c>
      <c r="Q1214">
        <v>4</v>
      </c>
      <c r="R1214" t="s">
        <v>43</v>
      </c>
      <c r="S1214">
        <v>2929</v>
      </c>
      <c r="T1214">
        <v>20338</v>
      </c>
      <c r="U1214">
        <v>1</v>
      </c>
      <c r="V1214" t="s">
        <v>38</v>
      </c>
      <c r="W1214">
        <v>12</v>
      </c>
      <c r="X1214">
        <v>3</v>
      </c>
      <c r="Y1214">
        <v>2</v>
      </c>
      <c r="Z1214">
        <v>0</v>
      </c>
      <c r="AA1214">
        <v>10</v>
      </c>
      <c r="AB1214" t="str">
        <f>IF(Table2[[#This Row],[TotalWorkingYears]]&lt;=5,"Early (0-5)",IF(Table2[[#This Row],[TotalWorkingYears]]&lt;=15,"Mid (6-15)","Senior (16+)"))</f>
        <v>Mid (6-15)</v>
      </c>
      <c r="AC1214">
        <v>3</v>
      </c>
      <c r="AD1214">
        <v>3</v>
      </c>
      <c r="AE1214" t="s">
        <v>62</v>
      </c>
      <c r="AF1214">
        <v>9</v>
      </c>
      <c r="AG1214">
        <v>8</v>
      </c>
      <c r="AH1214">
        <v>7</v>
      </c>
    </row>
    <row r="1215" spans="1:34" x14ac:dyDescent="0.3">
      <c r="A1215" t="s">
        <v>60</v>
      </c>
      <c r="B1215">
        <v>1</v>
      </c>
      <c r="C1215" t="s">
        <v>32</v>
      </c>
      <c r="D1215">
        <v>427</v>
      </c>
      <c r="E1215" t="s">
        <v>33</v>
      </c>
      <c r="F1215">
        <v>7</v>
      </c>
      <c r="G1215" t="str">
        <f>IF(Table2[[#This Row],[DistanceFromHome]]&lt;=5, "short", IF(Table2[[#This Row],[DistanceFromHome]]&lt;=15, "medium", "long"))</f>
        <v>medium</v>
      </c>
      <c r="H1215">
        <v>3</v>
      </c>
      <c r="I1215" t="s">
        <v>34</v>
      </c>
      <c r="J1215">
        <v>1702</v>
      </c>
      <c r="K1215">
        <v>3</v>
      </c>
      <c r="L1215" t="s">
        <v>41</v>
      </c>
      <c r="M1215">
        <v>99</v>
      </c>
      <c r="N1215">
        <v>3</v>
      </c>
      <c r="O1215">
        <v>1</v>
      </c>
      <c r="P1215" t="s">
        <v>52</v>
      </c>
      <c r="Q1215">
        <v>4</v>
      </c>
      <c r="R1215" t="s">
        <v>47</v>
      </c>
      <c r="S1215">
        <v>2275</v>
      </c>
      <c r="T1215">
        <v>25103</v>
      </c>
      <c r="U1215">
        <v>1</v>
      </c>
      <c r="V1215" t="s">
        <v>31</v>
      </c>
      <c r="W1215">
        <v>21</v>
      </c>
      <c r="X1215">
        <v>4</v>
      </c>
      <c r="Y1215">
        <v>2</v>
      </c>
      <c r="Z1215">
        <v>1</v>
      </c>
      <c r="AA1215">
        <v>3</v>
      </c>
      <c r="AB1215" t="str">
        <f>IF(Table2[[#This Row],[TotalWorkingYears]]&lt;=5,"Early (0-5)",IF(Table2[[#This Row],[TotalWorkingYears]]&lt;=15,"Mid (6-15)","Senior (16+)"))</f>
        <v>Early (0-5)</v>
      </c>
      <c r="AC1215">
        <v>2</v>
      </c>
      <c r="AD1215">
        <v>3</v>
      </c>
      <c r="AE1215" t="s">
        <v>64</v>
      </c>
      <c r="AF1215">
        <v>2</v>
      </c>
      <c r="AG1215">
        <v>0</v>
      </c>
      <c r="AH1215">
        <v>2</v>
      </c>
    </row>
    <row r="1216" spans="1:34" x14ac:dyDescent="0.3">
      <c r="A1216" t="s">
        <v>57</v>
      </c>
      <c r="B1216">
        <v>0</v>
      </c>
      <c r="C1216" t="s">
        <v>32</v>
      </c>
      <c r="D1216">
        <v>921</v>
      </c>
      <c r="E1216" t="s">
        <v>40</v>
      </c>
      <c r="F1216">
        <v>2</v>
      </c>
      <c r="G1216" t="str">
        <f>IF(Table2[[#This Row],[DistanceFromHome]]&lt;=5, "short", IF(Table2[[#This Row],[DistanceFromHome]]&lt;=15, "medium", "long"))</f>
        <v>short</v>
      </c>
      <c r="H1216">
        <v>3</v>
      </c>
      <c r="I1216" t="s">
        <v>34</v>
      </c>
      <c r="J1216">
        <v>1703</v>
      </c>
      <c r="K1216">
        <v>3</v>
      </c>
      <c r="L1216" t="s">
        <v>35</v>
      </c>
      <c r="M1216">
        <v>96</v>
      </c>
      <c r="N1216">
        <v>4</v>
      </c>
      <c r="O1216">
        <v>3</v>
      </c>
      <c r="P1216" t="s">
        <v>49</v>
      </c>
      <c r="Q1216">
        <v>4</v>
      </c>
      <c r="R1216" t="s">
        <v>43</v>
      </c>
      <c r="S1216">
        <v>7879</v>
      </c>
      <c r="T1216">
        <v>14810</v>
      </c>
      <c r="U1216">
        <v>1</v>
      </c>
      <c r="V1216" t="s">
        <v>31</v>
      </c>
      <c r="W1216">
        <v>19</v>
      </c>
      <c r="X1216">
        <v>3</v>
      </c>
      <c r="Y1216">
        <v>2</v>
      </c>
      <c r="Z1216">
        <v>1</v>
      </c>
      <c r="AA1216">
        <v>9</v>
      </c>
      <c r="AB1216" t="str">
        <f>IF(Table2[[#This Row],[TotalWorkingYears]]&lt;=5,"Early (0-5)",IF(Table2[[#This Row],[TotalWorkingYears]]&lt;=15,"Mid (6-15)","Senior (16+)"))</f>
        <v>Mid (6-15)</v>
      </c>
      <c r="AC1216">
        <v>2</v>
      </c>
      <c r="AD1216">
        <v>3</v>
      </c>
      <c r="AE1216" t="s">
        <v>62</v>
      </c>
      <c r="AF1216">
        <v>7</v>
      </c>
      <c r="AG1216">
        <v>6</v>
      </c>
      <c r="AH1216">
        <v>7</v>
      </c>
    </row>
    <row r="1217" spans="1:34" x14ac:dyDescent="0.3">
      <c r="A1217" t="s">
        <v>59</v>
      </c>
      <c r="B1217">
        <v>0</v>
      </c>
      <c r="C1217" t="s">
        <v>39</v>
      </c>
      <c r="D1217">
        <v>146</v>
      </c>
      <c r="E1217" t="s">
        <v>40</v>
      </c>
      <c r="F1217">
        <v>2</v>
      </c>
      <c r="G1217" t="str">
        <f>IF(Table2[[#This Row],[DistanceFromHome]]&lt;=5, "short", IF(Table2[[#This Row],[DistanceFromHome]]&lt;=15, "medium", "long"))</f>
        <v>short</v>
      </c>
      <c r="H1217">
        <v>4</v>
      </c>
      <c r="I1217" t="s">
        <v>46</v>
      </c>
      <c r="J1217">
        <v>1704</v>
      </c>
      <c r="K1217">
        <v>1</v>
      </c>
      <c r="L1217" t="s">
        <v>41</v>
      </c>
      <c r="M1217">
        <v>79</v>
      </c>
      <c r="N1217">
        <v>2</v>
      </c>
      <c r="O1217">
        <v>1</v>
      </c>
      <c r="P1217" t="s">
        <v>42</v>
      </c>
      <c r="Q1217">
        <v>4</v>
      </c>
      <c r="R1217" t="s">
        <v>37</v>
      </c>
      <c r="S1217">
        <v>4930</v>
      </c>
      <c r="T1217">
        <v>13970</v>
      </c>
      <c r="U1217">
        <v>0</v>
      </c>
      <c r="V1217" t="s">
        <v>31</v>
      </c>
      <c r="W1217">
        <v>14</v>
      </c>
      <c r="X1217">
        <v>3</v>
      </c>
      <c r="Y1217">
        <v>3</v>
      </c>
      <c r="Z1217">
        <v>0</v>
      </c>
      <c r="AA1217">
        <v>6</v>
      </c>
      <c r="AB1217" t="str">
        <f>IF(Table2[[#This Row],[TotalWorkingYears]]&lt;=5,"Early (0-5)",IF(Table2[[#This Row],[TotalWorkingYears]]&lt;=15,"Mid (6-15)","Senior (16+)"))</f>
        <v>Mid (6-15)</v>
      </c>
      <c r="AC1217">
        <v>2</v>
      </c>
      <c r="AD1217">
        <v>4</v>
      </c>
      <c r="AE1217" t="s">
        <v>64</v>
      </c>
      <c r="AF1217">
        <v>4</v>
      </c>
      <c r="AG1217">
        <v>1</v>
      </c>
      <c r="AH1217">
        <v>4</v>
      </c>
    </row>
    <row r="1218" spans="1:34" x14ac:dyDescent="0.3">
      <c r="A1218" t="s">
        <v>57</v>
      </c>
      <c r="B1218">
        <v>0</v>
      </c>
      <c r="C1218" t="s">
        <v>32</v>
      </c>
      <c r="D1218">
        <v>1179</v>
      </c>
      <c r="E1218" t="s">
        <v>33</v>
      </c>
      <c r="F1218">
        <v>2</v>
      </c>
      <c r="G1218" t="str">
        <f>IF(Table2[[#This Row],[DistanceFromHome]]&lt;=5, "short", IF(Table2[[#This Row],[DistanceFromHome]]&lt;=15, "medium", "long"))</f>
        <v>short</v>
      </c>
      <c r="H1218">
        <v>3</v>
      </c>
      <c r="I1218" t="s">
        <v>46</v>
      </c>
      <c r="J1218">
        <v>1706</v>
      </c>
      <c r="K1218">
        <v>4</v>
      </c>
      <c r="L1218" t="s">
        <v>41</v>
      </c>
      <c r="M1218">
        <v>73</v>
      </c>
      <c r="N1218">
        <v>3</v>
      </c>
      <c r="O1218">
        <v>2</v>
      </c>
      <c r="P1218" t="s">
        <v>36</v>
      </c>
      <c r="Q1218">
        <v>4</v>
      </c>
      <c r="R1218" t="s">
        <v>43</v>
      </c>
      <c r="S1218">
        <v>7847</v>
      </c>
      <c r="T1218">
        <v>6069</v>
      </c>
      <c r="U1218">
        <v>1</v>
      </c>
      <c r="V1218" t="s">
        <v>31</v>
      </c>
      <c r="W1218">
        <v>17</v>
      </c>
      <c r="X1218">
        <v>3</v>
      </c>
      <c r="Y1218">
        <v>1</v>
      </c>
      <c r="Z1218">
        <v>1</v>
      </c>
      <c r="AA1218">
        <v>10</v>
      </c>
      <c r="AB1218" t="str">
        <f>IF(Table2[[#This Row],[TotalWorkingYears]]&lt;=5,"Early (0-5)",IF(Table2[[#This Row],[TotalWorkingYears]]&lt;=15,"Mid (6-15)","Senior (16+)"))</f>
        <v>Mid (6-15)</v>
      </c>
      <c r="AC1218">
        <v>3</v>
      </c>
      <c r="AD1218">
        <v>3</v>
      </c>
      <c r="AE1218" t="s">
        <v>62</v>
      </c>
      <c r="AF1218">
        <v>9</v>
      </c>
      <c r="AG1218">
        <v>8</v>
      </c>
      <c r="AH1218">
        <v>8</v>
      </c>
    </row>
    <row r="1219" spans="1:34" x14ac:dyDescent="0.3">
      <c r="A1219" t="s">
        <v>60</v>
      </c>
      <c r="B1219">
        <v>0</v>
      </c>
      <c r="C1219" t="s">
        <v>32</v>
      </c>
      <c r="D1219">
        <v>581</v>
      </c>
      <c r="E1219" t="s">
        <v>40</v>
      </c>
      <c r="F1219">
        <v>9</v>
      </c>
      <c r="G1219" t="str">
        <f>IF(Table2[[#This Row],[DistanceFromHome]]&lt;=5, "short", IF(Table2[[#This Row],[DistanceFromHome]]&lt;=15, "medium", "long"))</f>
        <v>medium</v>
      </c>
      <c r="H1219">
        <v>3</v>
      </c>
      <c r="I1219" t="s">
        <v>46</v>
      </c>
      <c r="J1219">
        <v>1707</v>
      </c>
      <c r="K1219">
        <v>3</v>
      </c>
      <c r="L1219" t="s">
        <v>41</v>
      </c>
      <c r="M1219">
        <v>62</v>
      </c>
      <c r="N1219">
        <v>4</v>
      </c>
      <c r="O1219">
        <v>1</v>
      </c>
      <c r="P1219" t="s">
        <v>42</v>
      </c>
      <c r="Q1219">
        <v>3</v>
      </c>
      <c r="R1219" t="s">
        <v>43</v>
      </c>
      <c r="S1219">
        <v>4401</v>
      </c>
      <c r="T1219">
        <v>17616</v>
      </c>
      <c r="U1219">
        <v>1</v>
      </c>
      <c r="V1219" t="s">
        <v>38</v>
      </c>
      <c r="W1219">
        <v>16</v>
      </c>
      <c r="X1219">
        <v>3</v>
      </c>
      <c r="Y1219">
        <v>4</v>
      </c>
      <c r="Z1219">
        <v>1</v>
      </c>
      <c r="AA1219">
        <v>5</v>
      </c>
      <c r="AB1219" t="str">
        <f>IF(Table2[[#This Row],[TotalWorkingYears]]&lt;=5,"Early (0-5)",IF(Table2[[#This Row],[TotalWorkingYears]]&lt;=15,"Mid (6-15)","Senior (16+)"))</f>
        <v>Early (0-5)</v>
      </c>
      <c r="AC1219">
        <v>1</v>
      </c>
      <c r="AD1219">
        <v>3</v>
      </c>
      <c r="AE1219" t="s">
        <v>64</v>
      </c>
      <c r="AF1219">
        <v>3</v>
      </c>
      <c r="AG1219">
        <v>0</v>
      </c>
      <c r="AH1219">
        <v>4</v>
      </c>
    </row>
    <row r="1220" spans="1:34" x14ac:dyDescent="0.3">
      <c r="A1220" t="s">
        <v>57</v>
      </c>
      <c r="B1220">
        <v>0</v>
      </c>
      <c r="C1220" t="s">
        <v>32</v>
      </c>
      <c r="D1220">
        <v>918</v>
      </c>
      <c r="E1220" t="s">
        <v>33</v>
      </c>
      <c r="F1220">
        <v>6</v>
      </c>
      <c r="G1220" t="str">
        <f>IF(Table2[[#This Row],[DistanceFromHome]]&lt;=5, "short", IF(Table2[[#This Row],[DistanceFromHome]]&lt;=15, "medium", "long"))</f>
        <v>medium</v>
      </c>
      <c r="H1220">
        <v>3</v>
      </c>
      <c r="I1220" t="s">
        <v>54</v>
      </c>
      <c r="J1220">
        <v>1708</v>
      </c>
      <c r="K1220">
        <v>4</v>
      </c>
      <c r="L1220" t="s">
        <v>41</v>
      </c>
      <c r="M1220">
        <v>35</v>
      </c>
      <c r="N1220">
        <v>3</v>
      </c>
      <c r="O1220">
        <v>3</v>
      </c>
      <c r="P1220" t="s">
        <v>36</v>
      </c>
      <c r="Q1220">
        <v>3</v>
      </c>
      <c r="R1220" t="s">
        <v>37</v>
      </c>
      <c r="S1220">
        <v>9241</v>
      </c>
      <c r="T1220">
        <v>15869</v>
      </c>
      <c r="U1220">
        <v>1</v>
      </c>
      <c r="V1220" t="s">
        <v>38</v>
      </c>
      <c r="W1220">
        <v>12</v>
      </c>
      <c r="X1220">
        <v>3</v>
      </c>
      <c r="Y1220">
        <v>2</v>
      </c>
      <c r="Z1220">
        <v>0</v>
      </c>
      <c r="AA1220">
        <v>10</v>
      </c>
      <c r="AB1220" t="str">
        <f>IF(Table2[[#This Row],[TotalWorkingYears]]&lt;=5,"Early (0-5)",IF(Table2[[#This Row],[TotalWorkingYears]]&lt;=15,"Mid (6-15)","Senior (16+)"))</f>
        <v>Mid (6-15)</v>
      </c>
      <c r="AC1220">
        <v>3</v>
      </c>
      <c r="AD1220">
        <v>3</v>
      </c>
      <c r="AE1220" t="s">
        <v>62</v>
      </c>
      <c r="AF1220">
        <v>8</v>
      </c>
      <c r="AG1220">
        <v>8</v>
      </c>
      <c r="AH1220">
        <v>7</v>
      </c>
    </row>
    <row r="1221" spans="1:34" x14ac:dyDescent="0.3">
      <c r="A1221" t="s">
        <v>59</v>
      </c>
      <c r="B1221">
        <v>0</v>
      </c>
      <c r="C1221" t="s">
        <v>32</v>
      </c>
      <c r="D1221">
        <v>1082</v>
      </c>
      <c r="E1221" t="s">
        <v>40</v>
      </c>
      <c r="F1221">
        <v>9</v>
      </c>
      <c r="G1221" t="str">
        <f>IF(Table2[[#This Row],[DistanceFromHome]]&lt;=5, "short", IF(Table2[[#This Row],[DistanceFromHome]]&lt;=15, "medium", "long"))</f>
        <v>medium</v>
      </c>
      <c r="H1221">
        <v>4</v>
      </c>
      <c r="I1221" t="s">
        <v>46</v>
      </c>
      <c r="J1221">
        <v>1709</v>
      </c>
      <c r="K1221">
        <v>4</v>
      </c>
      <c r="L1221" t="s">
        <v>35</v>
      </c>
      <c r="M1221">
        <v>43</v>
      </c>
      <c r="N1221">
        <v>3</v>
      </c>
      <c r="O1221">
        <v>1</v>
      </c>
      <c r="P1221" t="s">
        <v>45</v>
      </c>
      <c r="Q1221">
        <v>3</v>
      </c>
      <c r="R1221" t="s">
        <v>43</v>
      </c>
      <c r="S1221">
        <v>2974</v>
      </c>
      <c r="T1221">
        <v>25412</v>
      </c>
      <c r="U1221">
        <v>9</v>
      </c>
      <c r="V1221" t="s">
        <v>38</v>
      </c>
      <c r="W1221">
        <v>17</v>
      </c>
      <c r="X1221">
        <v>3</v>
      </c>
      <c r="Y1221">
        <v>3</v>
      </c>
      <c r="Z1221">
        <v>1</v>
      </c>
      <c r="AA1221">
        <v>9</v>
      </c>
      <c r="AB1221" t="str">
        <f>IF(Table2[[#This Row],[TotalWorkingYears]]&lt;=5,"Early (0-5)",IF(Table2[[#This Row],[TotalWorkingYears]]&lt;=15,"Mid (6-15)","Senior (16+)"))</f>
        <v>Mid (6-15)</v>
      </c>
      <c r="AC1221">
        <v>2</v>
      </c>
      <c r="AD1221">
        <v>3</v>
      </c>
      <c r="AE1221" t="s">
        <v>64</v>
      </c>
      <c r="AF1221">
        <v>3</v>
      </c>
      <c r="AG1221">
        <v>1</v>
      </c>
      <c r="AH1221">
        <v>2</v>
      </c>
    </row>
    <row r="1222" spans="1:34" x14ac:dyDescent="0.3">
      <c r="A1222" t="s">
        <v>57</v>
      </c>
      <c r="B1222">
        <v>0</v>
      </c>
      <c r="C1222" t="s">
        <v>32</v>
      </c>
      <c r="D1222">
        <v>530</v>
      </c>
      <c r="E1222" t="s">
        <v>33</v>
      </c>
      <c r="F1222">
        <v>2</v>
      </c>
      <c r="G1222" t="str">
        <f>IF(Table2[[#This Row],[DistanceFromHome]]&lt;=5, "short", IF(Table2[[#This Row],[DistanceFromHome]]&lt;=15, "medium", "long"))</f>
        <v>short</v>
      </c>
      <c r="H1222">
        <v>4</v>
      </c>
      <c r="I1222" t="s">
        <v>34</v>
      </c>
      <c r="J1222">
        <v>1710</v>
      </c>
      <c r="K1222">
        <v>3</v>
      </c>
      <c r="L1222" t="s">
        <v>35</v>
      </c>
      <c r="M1222">
        <v>51</v>
      </c>
      <c r="N1222">
        <v>3</v>
      </c>
      <c r="O1222">
        <v>2</v>
      </c>
      <c r="P1222" t="s">
        <v>52</v>
      </c>
      <c r="Q1222">
        <v>4</v>
      </c>
      <c r="R1222" t="s">
        <v>37</v>
      </c>
      <c r="S1222">
        <v>4502</v>
      </c>
      <c r="T1222">
        <v>7439</v>
      </c>
      <c r="U1222">
        <v>3</v>
      </c>
      <c r="V1222" t="s">
        <v>38</v>
      </c>
      <c r="W1222">
        <v>15</v>
      </c>
      <c r="X1222">
        <v>3</v>
      </c>
      <c r="Y1222">
        <v>3</v>
      </c>
      <c r="Z1222">
        <v>0</v>
      </c>
      <c r="AA1222">
        <v>17</v>
      </c>
      <c r="AB1222" t="str">
        <f>IF(Table2[[#This Row],[TotalWorkingYears]]&lt;=5,"Early (0-5)",IF(Table2[[#This Row],[TotalWorkingYears]]&lt;=15,"Mid (6-15)","Senior (16+)"))</f>
        <v>Senior (16+)</v>
      </c>
      <c r="AC1222">
        <v>2</v>
      </c>
      <c r="AD1222">
        <v>2</v>
      </c>
      <c r="AE1222" t="s">
        <v>65</v>
      </c>
      <c r="AF1222">
        <v>7</v>
      </c>
      <c r="AG1222">
        <v>6</v>
      </c>
      <c r="AH1222">
        <v>7</v>
      </c>
    </row>
    <row r="1223" spans="1:34" x14ac:dyDescent="0.3">
      <c r="A1223" t="s">
        <v>57</v>
      </c>
      <c r="B1223">
        <v>0</v>
      </c>
      <c r="C1223" t="s">
        <v>50</v>
      </c>
      <c r="D1223">
        <v>1238</v>
      </c>
      <c r="E1223" t="s">
        <v>40</v>
      </c>
      <c r="F1223">
        <v>1</v>
      </c>
      <c r="G1223" t="str">
        <f>IF(Table2[[#This Row],[DistanceFromHome]]&lt;=5, "short", IF(Table2[[#This Row],[DistanceFromHome]]&lt;=15, "medium", "long"))</f>
        <v>short</v>
      </c>
      <c r="H1223">
        <v>1</v>
      </c>
      <c r="I1223" t="s">
        <v>34</v>
      </c>
      <c r="J1223">
        <v>1712</v>
      </c>
      <c r="K1223">
        <v>3</v>
      </c>
      <c r="L1223" t="s">
        <v>41</v>
      </c>
      <c r="M1223">
        <v>74</v>
      </c>
      <c r="N1223">
        <v>2</v>
      </c>
      <c r="O1223">
        <v>3</v>
      </c>
      <c r="P1223" t="s">
        <v>49</v>
      </c>
      <c r="Q1223">
        <v>3</v>
      </c>
      <c r="R1223" t="s">
        <v>43</v>
      </c>
      <c r="S1223">
        <v>10748</v>
      </c>
      <c r="T1223">
        <v>3395</v>
      </c>
      <c r="U1223">
        <v>3</v>
      </c>
      <c r="V1223" t="s">
        <v>38</v>
      </c>
      <c r="W1223">
        <v>23</v>
      </c>
      <c r="X1223">
        <v>4</v>
      </c>
      <c r="Y1223">
        <v>4</v>
      </c>
      <c r="Z1223">
        <v>1</v>
      </c>
      <c r="AA1223">
        <v>25</v>
      </c>
      <c r="AB1223" t="str">
        <f>IF(Table2[[#This Row],[TotalWorkingYears]]&lt;=5,"Early (0-5)",IF(Table2[[#This Row],[TotalWorkingYears]]&lt;=15,"Mid (6-15)","Senior (16+)"))</f>
        <v>Senior (16+)</v>
      </c>
      <c r="AC1223">
        <v>3</v>
      </c>
      <c r="AD1223">
        <v>2</v>
      </c>
      <c r="AE1223" t="s">
        <v>65</v>
      </c>
      <c r="AF1223">
        <v>15</v>
      </c>
      <c r="AG1223">
        <v>14</v>
      </c>
      <c r="AH1223">
        <v>4</v>
      </c>
    </row>
    <row r="1224" spans="1:34" x14ac:dyDescent="0.3">
      <c r="A1224" t="s">
        <v>60</v>
      </c>
      <c r="B1224">
        <v>1</v>
      </c>
      <c r="C1224" t="s">
        <v>32</v>
      </c>
      <c r="D1224">
        <v>240</v>
      </c>
      <c r="E1224" t="s">
        <v>56</v>
      </c>
      <c r="F1224">
        <v>22</v>
      </c>
      <c r="G1224" t="str">
        <f>IF(Table2[[#This Row],[DistanceFromHome]]&lt;=5, "short", IF(Table2[[#This Row],[DistanceFromHome]]&lt;=15, "medium", "long"))</f>
        <v>long</v>
      </c>
      <c r="H1224">
        <v>1</v>
      </c>
      <c r="I1224" t="s">
        <v>56</v>
      </c>
      <c r="J1224">
        <v>1714</v>
      </c>
      <c r="K1224">
        <v>4</v>
      </c>
      <c r="L1224" t="s">
        <v>41</v>
      </c>
      <c r="M1224">
        <v>58</v>
      </c>
      <c r="N1224">
        <v>1</v>
      </c>
      <c r="O1224">
        <v>1</v>
      </c>
      <c r="P1224" t="s">
        <v>56</v>
      </c>
      <c r="Q1224">
        <v>3</v>
      </c>
      <c r="R1224" t="s">
        <v>43</v>
      </c>
      <c r="S1224">
        <v>1555</v>
      </c>
      <c r="T1224">
        <v>11585</v>
      </c>
      <c r="U1224">
        <v>1</v>
      </c>
      <c r="V1224" t="s">
        <v>38</v>
      </c>
      <c r="W1224">
        <v>11</v>
      </c>
      <c r="X1224">
        <v>3</v>
      </c>
      <c r="Y1224">
        <v>3</v>
      </c>
      <c r="Z1224">
        <v>1</v>
      </c>
      <c r="AA1224">
        <v>1</v>
      </c>
      <c r="AB1224" t="str">
        <f>IF(Table2[[#This Row],[TotalWorkingYears]]&lt;=5,"Early (0-5)",IF(Table2[[#This Row],[TotalWorkingYears]]&lt;=15,"Mid (6-15)","Senior (16+)"))</f>
        <v>Early (0-5)</v>
      </c>
      <c r="AC1224">
        <v>2</v>
      </c>
      <c r="AD1224">
        <v>3</v>
      </c>
      <c r="AE1224" t="s">
        <v>63</v>
      </c>
      <c r="AF1224">
        <v>0</v>
      </c>
      <c r="AG1224">
        <v>0</v>
      </c>
      <c r="AH1224">
        <v>0</v>
      </c>
    </row>
    <row r="1225" spans="1:34" x14ac:dyDescent="0.3">
      <c r="A1225" t="s">
        <v>58</v>
      </c>
      <c r="B1225">
        <v>1</v>
      </c>
      <c r="C1225" t="s">
        <v>39</v>
      </c>
      <c r="D1225">
        <v>1093</v>
      </c>
      <c r="E1225" t="s">
        <v>33</v>
      </c>
      <c r="F1225">
        <v>9</v>
      </c>
      <c r="G1225" t="str">
        <f>IF(Table2[[#This Row],[DistanceFromHome]]&lt;=5, "short", IF(Table2[[#This Row],[DistanceFromHome]]&lt;=15, "medium", "long"))</f>
        <v>medium</v>
      </c>
      <c r="H1225">
        <v>3</v>
      </c>
      <c r="I1225" t="s">
        <v>34</v>
      </c>
      <c r="J1225">
        <v>1716</v>
      </c>
      <c r="K1225">
        <v>3</v>
      </c>
      <c r="L1225" t="s">
        <v>41</v>
      </c>
      <c r="M1225">
        <v>82</v>
      </c>
      <c r="N1225">
        <v>1</v>
      </c>
      <c r="O1225">
        <v>4</v>
      </c>
      <c r="P1225" t="s">
        <v>36</v>
      </c>
      <c r="Q1225">
        <v>3</v>
      </c>
      <c r="R1225" t="s">
        <v>43</v>
      </c>
      <c r="S1225">
        <v>12936</v>
      </c>
      <c r="T1225">
        <v>24164</v>
      </c>
      <c r="U1225">
        <v>7</v>
      </c>
      <c r="V1225" t="s">
        <v>38</v>
      </c>
      <c r="W1225">
        <v>11</v>
      </c>
      <c r="X1225">
        <v>3</v>
      </c>
      <c r="Y1225">
        <v>3</v>
      </c>
      <c r="Z1225">
        <v>0</v>
      </c>
      <c r="AA1225">
        <v>25</v>
      </c>
      <c r="AB1225" t="str">
        <f>IF(Table2[[#This Row],[TotalWorkingYears]]&lt;=5,"Early (0-5)",IF(Table2[[#This Row],[TotalWorkingYears]]&lt;=15,"Mid (6-15)","Senior (16+)"))</f>
        <v>Senior (16+)</v>
      </c>
      <c r="AC1225">
        <v>3</v>
      </c>
      <c r="AD1225">
        <v>1</v>
      </c>
      <c r="AE1225" t="s">
        <v>65</v>
      </c>
      <c r="AF1225">
        <v>5</v>
      </c>
      <c r="AG1225">
        <v>14</v>
      </c>
      <c r="AH1225">
        <v>10</v>
      </c>
    </row>
    <row r="1226" spans="1:34" x14ac:dyDescent="0.3">
      <c r="A1226" t="s">
        <v>59</v>
      </c>
      <c r="B1226">
        <v>0</v>
      </c>
      <c r="C1226" t="s">
        <v>32</v>
      </c>
      <c r="D1226">
        <v>390</v>
      </c>
      <c r="E1226" t="s">
        <v>40</v>
      </c>
      <c r="F1226">
        <v>17</v>
      </c>
      <c r="G1226" t="str">
        <f>IF(Table2[[#This Row],[DistanceFromHome]]&lt;=5, "short", IF(Table2[[#This Row],[DistanceFromHome]]&lt;=15, "medium", "long"))</f>
        <v>long</v>
      </c>
      <c r="H1226">
        <v>4</v>
      </c>
      <c r="I1226" t="s">
        <v>46</v>
      </c>
      <c r="J1226">
        <v>1718</v>
      </c>
      <c r="K1226">
        <v>4</v>
      </c>
      <c r="L1226" t="s">
        <v>41</v>
      </c>
      <c r="M1226">
        <v>62</v>
      </c>
      <c r="N1226">
        <v>1</v>
      </c>
      <c r="O1226">
        <v>1</v>
      </c>
      <c r="P1226" t="s">
        <v>45</v>
      </c>
      <c r="Q1226">
        <v>3</v>
      </c>
      <c r="R1226" t="s">
        <v>43</v>
      </c>
      <c r="S1226">
        <v>2305</v>
      </c>
      <c r="T1226">
        <v>6217</v>
      </c>
      <c r="U1226">
        <v>1</v>
      </c>
      <c r="V1226" t="s">
        <v>38</v>
      </c>
      <c r="W1226">
        <v>15</v>
      </c>
      <c r="X1226">
        <v>3</v>
      </c>
      <c r="Y1226">
        <v>3</v>
      </c>
      <c r="Z1226">
        <v>3</v>
      </c>
      <c r="AA1226">
        <v>3</v>
      </c>
      <c r="AB1226" t="str">
        <f>IF(Table2[[#This Row],[TotalWorkingYears]]&lt;=5,"Early (0-5)",IF(Table2[[#This Row],[TotalWorkingYears]]&lt;=15,"Mid (6-15)","Senior (16+)"))</f>
        <v>Early (0-5)</v>
      </c>
      <c r="AC1226">
        <v>3</v>
      </c>
      <c r="AD1226">
        <v>4</v>
      </c>
      <c r="AE1226" t="s">
        <v>64</v>
      </c>
      <c r="AF1226">
        <v>2</v>
      </c>
      <c r="AG1226">
        <v>0</v>
      </c>
      <c r="AH1226">
        <v>2</v>
      </c>
    </row>
    <row r="1227" spans="1:34" x14ac:dyDescent="0.3">
      <c r="A1227" t="s">
        <v>57</v>
      </c>
      <c r="B1227">
        <v>0</v>
      </c>
      <c r="C1227" t="s">
        <v>32</v>
      </c>
      <c r="D1227">
        <v>1005</v>
      </c>
      <c r="E1227" t="s">
        <v>40</v>
      </c>
      <c r="F1227">
        <v>28</v>
      </c>
      <c r="G1227" t="str">
        <f>IF(Table2[[#This Row],[DistanceFromHome]]&lt;=5, "short", IF(Table2[[#This Row],[DistanceFromHome]]&lt;=15, "medium", "long"))</f>
        <v>long</v>
      </c>
      <c r="H1227">
        <v>2</v>
      </c>
      <c r="I1227" t="s">
        <v>55</v>
      </c>
      <c r="J1227">
        <v>1719</v>
      </c>
      <c r="K1227">
        <v>4</v>
      </c>
      <c r="L1227" t="s">
        <v>35</v>
      </c>
      <c r="M1227">
        <v>48</v>
      </c>
      <c r="N1227">
        <v>2</v>
      </c>
      <c r="O1227">
        <v>4</v>
      </c>
      <c r="P1227" t="s">
        <v>53</v>
      </c>
      <c r="Q1227">
        <v>2</v>
      </c>
      <c r="R1227" t="s">
        <v>37</v>
      </c>
      <c r="S1227">
        <v>16704</v>
      </c>
      <c r="T1227">
        <v>17119</v>
      </c>
      <c r="U1227">
        <v>1</v>
      </c>
      <c r="V1227" t="s">
        <v>38</v>
      </c>
      <c r="W1227">
        <v>11</v>
      </c>
      <c r="X1227">
        <v>3</v>
      </c>
      <c r="Y1227">
        <v>3</v>
      </c>
      <c r="Z1227">
        <v>0</v>
      </c>
      <c r="AA1227">
        <v>21</v>
      </c>
      <c r="AB1227" t="str">
        <f>IF(Table2[[#This Row],[TotalWorkingYears]]&lt;=5,"Early (0-5)",IF(Table2[[#This Row],[TotalWorkingYears]]&lt;=15,"Mid (6-15)","Senior (16+)"))</f>
        <v>Senior (16+)</v>
      </c>
      <c r="AC1227">
        <v>2</v>
      </c>
      <c r="AD1227">
        <v>3</v>
      </c>
      <c r="AE1227" t="s">
        <v>65</v>
      </c>
      <c r="AF1227">
        <v>6</v>
      </c>
      <c r="AG1227">
        <v>8</v>
      </c>
      <c r="AH1227">
        <v>6</v>
      </c>
    </row>
    <row r="1228" spans="1:34" x14ac:dyDescent="0.3">
      <c r="A1228" t="s">
        <v>59</v>
      </c>
      <c r="B1228">
        <v>0</v>
      </c>
      <c r="C1228" t="s">
        <v>39</v>
      </c>
      <c r="D1228">
        <v>585</v>
      </c>
      <c r="E1228" t="s">
        <v>40</v>
      </c>
      <c r="F1228">
        <v>10</v>
      </c>
      <c r="G1228" t="str">
        <f>IF(Table2[[#This Row],[DistanceFromHome]]&lt;=5, "short", IF(Table2[[#This Row],[DistanceFromHome]]&lt;=15, "medium", "long"))</f>
        <v>medium</v>
      </c>
      <c r="H1228">
        <v>3</v>
      </c>
      <c r="I1228" t="s">
        <v>34</v>
      </c>
      <c r="J1228">
        <v>1720</v>
      </c>
      <c r="K1228">
        <v>1</v>
      </c>
      <c r="L1228" t="s">
        <v>41</v>
      </c>
      <c r="M1228">
        <v>56</v>
      </c>
      <c r="N1228">
        <v>3</v>
      </c>
      <c r="O1228">
        <v>1</v>
      </c>
      <c r="P1228" t="s">
        <v>42</v>
      </c>
      <c r="Q1228">
        <v>3</v>
      </c>
      <c r="R1228" t="s">
        <v>43</v>
      </c>
      <c r="S1228">
        <v>3433</v>
      </c>
      <c r="T1228">
        <v>17360</v>
      </c>
      <c r="U1228">
        <v>6</v>
      </c>
      <c r="V1228" t="s">
        <v>38</v>
      </c>
      <c r="W1228">
        <v>13</v>
      </c>
      <c r="X1228">
        <v>3</v>
      </c>
      <c r="Y1228">
        <v>1</v>
      </c>
      <c r="Z1228">
        <v>1</v>
      </c>
      <c r="AA1228">
        <v>10</v>
      </c>
      <c r="AB1228" t="str">
        <f>IF(Table2[[#This Row],[TotalWorkingYears]]&lt;=5,"Early (0-5)",IF(Table2[[#This Row],[TotalWorkingYears]]&lt;=15,"Mid (6-15)","Senior (16+)"))</f>
        <v>Mid (6-15)</v>
      </c>
      <c r="AC1228">
        <v>3</v>
      </c>
      <c r="AD1228">
        <v>2</v>
      </c>
      <c r="AE1228" t="s">
        <v>64</v>
      </c>
      <c r="AF1228">
        <v>2</v>
      </c>
      <c r="AG1228">
        <v>1</v>
      </c>
      <c r="AH1228">
        <v>3</v>
      </c>
    </row>
    <row r="1229" spans="1:34" x14ac:dyDescent="0.3">
      <c r="A1229" t="s">
        <v>59</v>
      </c>
      <c r="B1229">
        <v>0</v>
      </c>
      <c r="C1229" t="s">
        <v>32</v>
      </c>
      <c r="D1229">
        <v>741</v>
      </c>
      <c r="E1229" t="s">
        <v>40</v>
      </c>
      <c r="F1229">
        <v>2</v>
      </c>
      <c r="G1229" t="str">
        <f>IF(Table2[[#This Row],[DistanceFromHome]]&lt;=5, "short", IF(Table2[[#This Row],[DistanceFromHome]]&lt;=15, "medium", "long"))</f>
        <v>short</v>
      </c>
      <c r="H1229">
        <v>4</v>
      </c>
      <c r="I1229" t="s">
        <v>34</v>
      </c>
      <c r="J1229">
        <v>1721</v>
      </c>
      <c r="K1229">
        <v>2</v>
      </c>
      <c r="L1229" t="s">
        <v>41</v>
      </c>
      <c r="M1229">
        <v>69</v>
      </c>
      <c r="N1229">
        <v>3</v>
      </c>
      <c r="O1229">
        <v>1</v>
      </c>
      <c r="P1229" t="s">
        <v>45</v>
      </c>
      <c r="Q1229">
        <v>3</v>
      </c>
      <c r="R1229" t="s">
        <v>43</v>
      </c>
      <c r="S1229">
        <v>3477</v>
      </c>
      <c r="T1229">
        <v>18103</v>
      </c>
      <c r="U1229">
        <v>1</v>
      </c>
      <c r="V1229" t="s">
        <v>38</v>
      </c>
      <c r="W1229">
        <v>14</v>
      </c>
      <c r="X1229">
        <v>3</v>
      </c>
      <c r="Y1229">
        <v>4</v>
      </c>
      <c r="Z1229">
        <v>1</v>
      </c>
      <c r="AA1229">
        <v>6</v>
      </c>
      <c r="AB1229" t="str">
        <f>IF(Table2[[#This Row],[TotalWorkingYears]]&lt;=5,"Early (0-5)",IF(Table2[[#This Row],[TotalWorkingYears]]&lt;=15,"Mid (6-15)","Senior (16+)"))</f>
        <v>Mid (6-15)</v>
      </c>
      <c r="AC1229">
        <v>2</v>
      </c>
      <c r="AD1229">
        <v>4</v>
      </c>
      <c r="AE1229" t="s">
        <v>64</v>
      </c>
      <c r="AF1229">
        <v>2</v>
      </c>
      <c r="AG1229">
        <v>0</v>
      </c>
      <c r="AH1229">
        <v>3</v>
      </c>
    </row>
    <row r="1230" spans="1:34" x14ac:dyDescent="0.3">
      <c r="A1230" t="s">
        <v>57</v>
      </c>
      <c r="B1230">
        <v>0</v>
      </c>
      <c r="C1230" t="s">
        <v>50</v>
      </c>
      <c r="D1230">
        <v>552</v>
      </c>
      <c r="E1230" t="s">
        <v>56</v>
      </c>
      <c r="F1230">
        <v>4</v>
      </c>
      <c r="G1230" t="str">
        <f>IF(Table2[[#This Row],[DistanceFromHome]]&lt;=5, "short", IF(Table2[[#This Row],[DistanceFromHome]]&lt;=15, "medium", "long"))</f>
        <v>short</v>
      </c>
      <c r="H1230">
        <v>3</v>
      </c>
      <c r="I1230" t="s">
        <v>56</v>
      </c>
      <c r="J1230">
        <v>1722</v>
      </c>
      <c r="K1230">
        <v>3</v>
      </c>
      <c r="L1230" t="s">
        <v>41</v>
      </c>
      <c r="M1230">
        <v>60</v>
      </c>
      <c r="N1230">
        <v>1</v>
      </c>
      <c r="O1230">
        <v>2</v>
      </c>
      <c r="P1230" t="s">
        <v>56</v>
      </c>
      <c r="Q1230">
        <v>2</v>
      </c>
      <c r="R1230" t="s">
        <v>43</v>
      </c>
      <c r="S1230">
        <v>6430</v>
      </c>
      <c r="T1230">
        <v>20794</v>
      </c>
      <c r="U1230">
        <v>6</v>
      </c>
      <c r="V1230" t="s">
        <v>38</v>
      </c>
      <c r="W1230">
        <v>19</v>
      </c>
      <c r="X1230">
        <v>3</v>
      </c>
      <c r="Y1230">
        <v>2</v>
      </c>
      <c r="Z1230">
        <v>1</v>
      </c>
      <c r="AA1230">
        <v>10</v>
      </c>
      <c r="AB1230" t="str">
        <f>IF(Table2[[#This Row],[TotalWorkingYears]]&lt;=5,"Early (0-5)",IF(Table2[[#This Row],[TotalWorkingYears]]&lt;=15,"Mid (6-15)","Senior (16+)"))</f>
        <v>Mid (6-15)</v>
      </c>
      <c r="AC1230">
        <v>4</v>
      </c>
      <c r="AD1230">
        <v>3</v>
      </c>
      <c r="AE1230" t="s">
        <v>64</v>
      </c>
      <c r="AF1230">
        <v>2</v>
      </c>
      <c r="AG1230">
        <v>1</v>
      </c>
      <c r="AH1230">
        <v>2</v>
      </c>
    </row>
    <row r="1231" spans="1:34" x14ac:dyDescent="0.3">
      <c r="A1231" t="s">
        <v>57</v>
      </c>
      <c r="B1231">
        <v>0</v>
      </c>
      <c r="C1231" t="s">
        <v>32</v>
      </c>
      <c r="D1231">
        <v>369</v>
      </c>
      <c r="E1231" t="s">
        <v>40</v>
      </c>
      <c r="F1231">
        <v>8</v>
      </c>
      <c r="G1231" t="str">
        <f>IF(Table2[[#This Row],[DistanceFromHome]]&lt;=5, "short", IF(Table2[[#This Row],[DistanceFromHome]]&lt;=15, "medium", "long"))</f>
        <v>medium</v>
      </c>
      <c r="H1231">
        <v>2</v>
      </c>
      <c r="I1231" t="s">
        <v>34</v>
      </c>
      <c r="J1231">
        <v>1724</v>
      </c>
      <c r="K1231">
        <v>2</v>
      </c>
      <c r="L1231" t="s">
        <v>35</v>
      </c>
      <c r="M1231">
        <v>92</v>
      </c>
      <c r="N1231">
        <v>3</v>
      </c>
      <c r="O1231">
        <v>2</v>
      </c>
      <c r="P1231" t="s">
        <v>48</v>
      </c>
      <c r="Q1231">
        <v>1</v>
      </c>
      <c r="R1231" t="s">
        <v>43</v>
      </c>
      <c r="S1231">
        <v>6516</v>
      </c>
      <c r="T1231">
        <v>5041</v>
      </c>
      <c r="U1231">
        <v>2</v>
      </c>
      <c r="V1231" t="s">
        <v>31</v>
      </c>
      <c r="W1231">
        <v>16</v>
      </c>
      <c r="X1231">
        <v>3</v>
      </c>
      <c r="Y1231">
        <v>2</v>
      </c>
      <c r="Z1231">
        <v>1</v>
      </c>
      <c r="AA1231">
        <v>18</v>
      </c>
      <c r="AB1231" t="str">
        <f>IF(Table2[[#This Row],[TotalWorkingYears]]&lt;=5,"Early (0-5)",IF(Table2[[#This Row],[TotalWorkingYears]]&lt;=15,"Mid (6-15)","Senior (16+)"))</f>
        <v>Senior (16+)</v>
      </c>
      <c r="AC1231">
        <v>3</v>
      </c>
      <c r="AD1231">
        <v>3</v>
      </c>
      <c r="AE1231" t="s">
        <v>63</v>
      </c>
      <c r="AF1231">
        <v>0</v>
      </c>
      <c r="AG1231">
        <v>0</v>
      </c>
      <c r="AH1231">
        <v>0</v>
      </c>
    </row>
    <row r="1232" spans="1:34" x14ac:dyDescent="0.3">
      <c r="A1232" t="s">
        <v>60</v>
      </c>
      <c r="B1232">
        <v>0</v>
      </c>
      <c r="C1232" t="s">
        <v>32</v>
      </c>
      <c r="D1232">
        <v>506</v>
      </c>
      <c r="E1232" t="s">
        <v>40</v>
      </c>
      <c r="F1232">
        <v>29</v>
      </c>
      <c r="G1232" t="str">
        <f>IF(Table2[[#This Row],[DistanceFromHome]]&lt;=5, "short", IF(Table2[[#This Row],[DistanceFromHome]]&lt;=15, "medium", "long"))</f>
        <v>long</v>
      </c>
      <c r="H1232">
        <v>1</v>
      </c>
      <c r="I1232" t="s">
        <v>46</v>
      </c>
      <c r="J1232">
        <v>1725</v>
      </c>
      <c r="K1232">
        <v>2</v>
      </c>
      <c r="L1232" t="s">
        <v>41</v>
      </c>
      <c r="M1232">
        <v>91</v>
      </c>
      <c r="N1232">
        <v>3</v>
      </c>
      <c r="O1232">
        <v>1</v>
      </c>
      <c r="P1232" t="s">
        <v>45</v>
      </c>
      <c r="Q1232">
        <v>1</v>
      </c>
      <c r="R1232" t="s">
        <v>47</v>
      </c>
      <c r="S1232">
        <v>3907</v>
      </c>
      <c r="T1232">
        <v>3622</v>
      </c>
      <c r="U1232">
        <v>1</v>
      </c>
      <c r="V1232" t="s">
        <v>38</v>
      </c>
      <c r="W1232">
        <v>13</v>
      </c>
      <c r="X1232">
        <v>3</v>
      </c>
      <c r="Y1232">
        <v>2</v>
      </c>
      <c r="Z1232">
        <v>3</v>
      </c>
      <c r="AA1232">
        <v>6</v>
      </c>
      <c r="AB1232" t="str">
        <f>IF(Table2[[#This Row],[TotalWorkingYears]]&lt;=5,"Early (0-5)",IF(Table2[[#This Row],[TotalWorkingYears]]&lt;=15,"Mid (6-15)","Senior (16+)"))</f>
        <v>Mid (6-15)</v>
      </c>
      <c r="AC1232">
        <v>2</v>
      </c>
      <c r="AD1232">
        <v>4</v>
      </c>
      <c r="AE1232" t="s">
        <v>62</v>
      </c>
      <c r="AF1232">
        <v>2</v>
      </c>
      <c r="AG1232">
        <v>1</v>
      </c>
      <c r="AH1232">
        <v>2</v>
      </c>
    </row>
    <row r="1233" spans="1:34" x14ac:dyDescent="0.3">
      <c r="A1233" t="s">
        <v>58</v>
      </c>
      <c r="B1233">
        <v>0</v>
      </c>
      <c r="C1233" t="s">
        <v>32</v>
      </c>
      <c r="D1233">
        <v>717</v>
      </c>
      <c r="E1233" t="s">
        <v>40</v>
      </c>
      <c r="F1233">
        <v>13</v>
      </c>
      <c r="G1233" t="str">
        <f>IF(Table2[[#This Row],[DistanceFromHome]]&lt;=5, "short", IF(Table2[[#This Row],[DistanceFromHome]]&lt;=15, "medium", "long"))</f>
        <v>medium</v>
      </c>
      <c r="H1233">
        <v>4</v>
      </c>
      <c r="I1233" t="s">
        <v>34</v>
      </c>
      <c r="J1233">
        <v>1727</v>
      </c>
      <c r="K1233">
        <v>3</v>
      </c>
      <c r="L1233" t="s">
        <v>41</v>
      </c>
      <c r="M1233">
        <v>34</v>
      </c>
      <c r="N1233">
        <v>3</v>
      </c>
      <c r="O1233">
        <v>2</v>
      </c>
      <c r="P1233" t="s">
        <v>49</v>
      </c>
      <c r="Q1233">
        <v>2</v>
      </c>
      <c r="R1233" t="s">
        <v>37</v>
      </c>
      <c r="S1233">
        <v>5562</v>
      </c>
      <c r="T1233">
        <v>9697</v>
      </c>
      <c r="U1233">
        <v>6</v>
      </c>
      <c r="V1233" t="s">
        <v>38</v>
      </c>
      <c r="W1233">
        <v>14</v>
      </c>
      <c r="X1233">
        <v>3</v>
      </c>
      <c r="Y1233">
        <v>4</v>
      </c>
      <c r="Z1233">
        <v>0</v>
      </c>
      <c r="AA1233">
        <v>19</v>
      </c>
      <c r="AB1233" t="str">
        <f>IF(Table2[[#This Row],[TotalWorkingYears]]&lt;=5,"Early (0-5)",IF(Table2[[#This Row],[TotalWorkingYears]]&lt;=15,"Mid (6-15)","Senior (16+)"))</f>
        <v>Senior (16+)</v>
      </c>
      <c r="AC1233">
        <v>3</v>
      </c>
      <c r="AD1233">
        <v>3</v>
      </c>
      <c r="AE1233" t="s">
        <v>62</v>
      </c>
      <c r="AF1233">
        <v>7</v>
      </c>
      <c r="AG1233">
        <v>0</v>
      </c>
      <c r="AH1233">
        <v>9</v>
      </c>
    </row>
    <row r="1234" spans="1:34" x14ac:dyDescent="0.3">
      <c r="A1234" t="s">
        <v>59</v>
      </c>
      <c r="B1234">
        <v>0</v>
      </c>
      <c r="C1234" t="s">
        <v>32</v>
      </c>
      <c r="D1234">
        <v>1370</v>
      </c>
      <c r="E1234" t="s">
        <v>40</v>
      </c>
      <c r="F1234">
        <v>27</v>
      </c>
      <c r="G1234" t="str">
        <f>IF(Table2[[#This Row],[DistanceFromHome]]&lt;=5, "short", IF(Table2[[#This Row],[DistanceFromHome]]&lt;=15, "medium", "long"))</f>
        <v>long</v>
      </c>
      <c r="H1234">
        <v>4</v>
      </c>
      <c r="I1234" t="s">
        <v>34</v>
      </c>
      <c r="J1234">
        <v>1728</v>
      </c>
      <c r="K1234">
        <v>4</v>
      </c>
      <c r="L1234" t="s">
        <v>41</v>
      </c>
      <c r="M1234">
        <v>49</v>
      </c>
      <c r="N1234">
        <v>3</v>
      </c>
      <c r="O1234">
        <v>2</v>
      </c>
      <c r="P1234" t="s">
        <v>48</v>
      </c>
      <c r="Q1234">
        <v>3</v>
      </c>
      <c r="R1234" t="s">
        <v>43</v>
      </c>
      <c r="S1234">
        <v>6883</v>
      </c>
      <c r="T1234">
        <v>5151</v>
      </c>
      <c r="U1234">
        <v>2</v>
      </c>
      <c r="V1234" t="s">
        <v>38</v>
      </c>
      <c r="W1234">
        <v>16</v>
      </c>
      <c r="X1234">
        <v>3</v>
      </c>
      <c r="Y1234">
        <v>2</v>
      </c>
      <c r="Z1234">
        <v>1</v>
      </c>
      <c r="AA1234">
        <v>17</v>
      </c>
      <c r="AB1234" t="str">
        <f>IF(Table2[[#This Row],[TotalWorkingYears]]&lt;=5,"Early (0-5)",IF(Table2[[#This Row],[TotalWorkingYears]]&lt;=15,"Mid (6-15)","Senior (16+)"))</f>
        <v>Senior (16+)</v>
      </c>
      <c r="AC1234">
        <v>3</v>
      </c>
      <c r="AD1234">
        <v>3</v>
      </c>
      <c r="AE1234" t="s">
        <v>62</v>
      </c>
      <c r="AF1234">
        <v>7</v>
      </c>
      <c r="AG1234">
        <v>0</v>
      </c>
      <c r="AH1234">
        <v>7</v>
      </c>
    </row>
    <row r="1235" spans="1:34" x14ac:dyDescent="0.3">
      <c r="A1235" t="s">
        <v>59</v>
      </c>
      <c r="B1235">
        <v>0</v>
      </c>
      <c r="C1235" t="s">
        <v>32</v>
      </c>
      <c r="D1235">
        <v>793</v>
      </c>
      <c r="E1235" t="s">
        <v>40</v>
      </c>
      <c r="F1235">
        <v>16</v>
      </c>
      <c r="G1235" t="str">
        <f>IF(Table2[[#This Row],[DistanceFromHome]]&lt;=5, "short", IF(Table2[[#This Row],[DistanceFromHome]]&lt;=15, "medium", "long"))</f>
        <v>long</v>
      </c>
      <c r="H1235">
        <v>1</v>
      </c>
      <c r="I1235" t="s">
        <v>34</v>
      </c>
      <c r="J1235">
        <v>1729</v>
      </c>
      <c r="K1235">
        <v>2</v>
      </c>
      <c r="L1235" t="s">
        <v>41</v>
      </c>
      <c r="M1235">
        <v>33</v>
      </c>
      <c r="N1235">
        <v>3</v>
      </c>
      <c r="O1235">
        <v>1</v>
      </c>
      <c r="P1235" t="s">
        <v>42</v>
      </c>
      <c r="Q1235">
        <v>4</v>
      </c>
      <c r="R1235" t="s">
        <v>43</v>
      </c>
      <c r="S1235">
        <v>2862</v>
      </c>
      <c r="T1235">
        <v>3811</v>
      </c>
      <c r="U1235">
        <v>1</v>
      </c>
      <c r="V1235" t="s">
        <v>38</v>
      </c>
      <c r="W1235">
        <v>12</v>
      </c>
      <c r="X1235">
        <v>3</v>
      </c>
      <c r="Y1235">
        <v>2</v>
      </c>
      <c r="Z1235">
        <v>1</v>
      </c>
      <c r="AA1235">
        <v>10</v>
      </c>
      <c r="AB1235" t="str">
        <f>IF(Table2[[#This Row],[TotalWorkingYears]]&lt;=5,"Early (0-5)",IF(Table2[[#This Row],[TotalWorkingYears]]&lt;=15,"Mid (6-15)","Senior (16+)"))</f>
        <v>Mid (6-15)</v>
      </c>
      <c r="AC1235">
        <v>2</v>
      </c>
      <c r="AD1235">
        <v>2</v>
      </c>
      <c r="AE1235" t="s">
        <v>62</v>
      </c>
      <c r="AF1235">
        <v>0</v>
      </c>
      <c r="AG1235">
        <v>0</v>
      </c>
      <c r="AH1235">
        <v>8</v>
      </c>
    </row>
    <row r="1236" spans="1:34" x14ac:dyDescent="0.3">
      <c r="A1236" t="s">
        <v>58</v>
      </c>
      <c r="B1236">
        <v>0</v>
      </c>
      <c r="C1236" t="s">
        <v>50</v>
      </c>
      <c r="D1236">
        <v>543</v>
      </c>
      <c r="E1236" t="s">
        <v>33</v>
      </c>
      <c r="F1236">
        <v>2</v>
      </c>
      <c r="G1236" t="str">
        <f>IF(Table2[[#This Row],[DistanceFromHome]]&lt;=5, "short", IF(Table2[[#This Row],[DistanceFromHome]]&lt;=15, "medium", "long"))</f>
        <v>short</v>
      </c>
      <c r="H1236">
        <v>4</v>
      </c>
      <c r="I1236" t="s">
        <v>54</v>
      </c>
      <c r="J1236">
        <v>1731</v>
      </c>
      <c r="K1236">
        <v>3</v>
      </c>
      <c r="L1236" t="s">
        <v>41</v>
      </c>
      <c r="M1236">
        <v>87</v>
      </c>
      <c r="N1236">
        <v>3</v>
      </c>
      <c r="O1236">
        <v>2</v>
      </c>
      <c r="P1236" t="s">
        <v>36</v>
      </c>
      <c r="Q1236">
        <v>2</v>
      </c>
      <c r="R1236" t="s">
        <v>43</v>
      </c>
      <c r="S1236">
        <v>4978</v>
      </c>
      <c r="T1236">
        <v>3536</v>
      </c>
      <c r="U1236">
        <v>7</v>
      </c>
      <c r="V1236" t="s">
        <v>38</v>
      </c>
      <c r="W1236">
        <v>11</v>
      </c>
      <c r="X1236">
        <v>3</v>
      </c>
      <c r="Y1236">
        <v>4</v>
      </c>
      <c r="Z1236">
        <v>1</v>
      </c>
      <c r="AA1236">
        <v>4</v>
      </c>
      <c r="AB1236" t="str">
        <f>IF(Table2[[#This Row],[TotalWorkingYears]]&lt;=5,"Early (0-5)",IF(Table2[[#This Row],[TotalWorkingYears]]&lt;=15,"Mid (6-15)","Senior (16+)"))</f>
        <v>Early (0-5)</v>
      </c>
      <c r="AC1236">
        <v>3</v>
      </c>
      <c r="AD1236">
        <v>1</v>
      </c>
      <c r="AE1236" t="s">
        <v>63</v>
      </c>
      <c r="AF1236">
        <v>0</v>
      </c>
      <c r="AG1236">
        <v>0</v>
      </c>
      <c r="AH1236">
        <v>0</v>
      </c>
    </row>
    <row r="1237" spans="1:34" x14ac:dyDescent="0.3">
      <c r="A1237" t="s">
        <v>58</v>
      </c>
      <c r="B1237">
        <v>0</v>
      </c>
      <c r="C1237" t="s">
        <v>32</v>
      </c>
      <c r="D1237">
        <v>1277</v>
      </c>
      <c r="E1237" t="s">
        <v>33</v>
      </c>
      <c r="F1237">
        <v>2</v>
      </c>
      <c r="G1237" t="str">
        <f>IF(Table2[[#This Row],[DistanceFromHome]]&lt;=5, "short", IF(Table2[[#This Row],[DistanceFromHome]]&lt;=15, "medium", "long"))</f>
        <v>short</v>
      </c>
      <c r="H1237">
        <v>3</v>
      </c>
      <c r="I1237" t="s">
        <v>34</v>
      </c>
      <c r="J1237">
        <v>1732</v>
      </c>
      <c r="K1237">
        <v>3</v>
      </c>
      <c r="L1237" t="s">
        <v>41</v>
      </c>
      <c r="M1237">
        <v>74</v>
      </c>
      <c r="N1237">
        <v>3</v>
      </c>
      <c r="O1237">
        <v>3</v>
      </c>
      <c r="P1237" t="s">
        <v>36</v>
      </c>
      <c r="Q1237">
        <v>4</v>
      </c>
      <c r="R1237" t="s">
        <v>47</v>
      </c>
      <c r="S1237">
        <v>10368</v>
      </c>
      <c r="T1237">
        <v>5596</v>
      </c>
      <c r="U1237">
        <v>4</v>
      </c>
      <c r="V1237" t="s">
        <v>31</v>
      </c>
      <c r="W1237">
        <v>12</v>
      </c>
      <c r="X1237">
        <v>3</v>
      </c>
      <c r="Y1237">
        <v>2</v>
      </c>
      <c r="Z1237">
        <v>1</v>
      </c>
      <c r="AA1237">
        <v>13</v>
      </c>
      <c r="AB1237" t="str">
        <f>IF(Table2[[#This Row],[TotalWorkingYears]]&lt;=5,"Early (0-5)",IF(Table2[[#This Row],[TotalWorkingYears]]&lt;=15,"Mid (6-15)","Senior (16+)"))</f>
        <v>Mid (6-15)</v>
      </c>
      <c r="AC1237">
        <v>5</v>
      </c>
      <c r="AD1237">
        <v>2</v>
      </c>
      <c r="AE1237" t="s">
        <v>62</v>
      </c>
      <c r="AF1237">
        <v>6</v>
      </c>
      <c r="AG1237">
        <v>0</v>
      </c>
      <c r="AH1237">
        <v>3</v>
      </c>
    </row>
    <row r="1238" spans="1:34" x14ac:dyDescent="0.3">
      <c r="A1238" t="s">
        <v>57</v>
      </c>
      <c r="B1238">
        <v>1</v>
      </c>
      <c r="C1238" t="s">
        <v>32</v>
      </c>
      <c r="D1238">
        <v>1456</v>
      </c>
      <c r="E1238" t="s">
        <v>33</v>
      </c>
      <c r="F1238">
        <v>13</v>
      </c>
      <c r="G1238" t="str">
        <f>IF(Table2[[#This Row],[DistanceFromHome]]&lt;=5, "short", IF(Table2[[#This Row],[DistanceFromHome]]&lt;=15, "medium", "long"))</f>
        <v>medium</v>
      </c>
      <c r="H1238">
        <v>5</v>
      </c>
      <c r="I1238" t="s">
        <v>54</v>
      </c>
      <c r="J1238">
        <v>1733</v>
      </c>
      <c r="K1238">
        <v>2</v>
      </c>
      <c r="L1238" t="s">
        <v>41</v>
      </c>
      <c r="M1238">
        <v>96</v>
      </c>
      <c r="N1238">
        <v>2</v>
      </c>
      <c r="O1238">
        <v>2</v>
      </c>
      <c r="P1238" t="s">
        <v>36</v>
      </c>
      <c r="Q1238">
        <v>1</v>
      </c>
      <c r="R1238" t="s">
        <v>47</v>
      </c>
      <c r="S1238">
        <v>6134</v>
      </c>
      <c r="T1238">
        <v>8658</v>
      </c>
      <c r="U1238">
        <v>5</v>
      </c>
      <c r="V1238" t="s">
        <v>31</v>
      </c>
      <c r="W1238">
        <v>13</v>
      </c>
      <c r="X1238">
        <v>3</v>
      </c>
      <c r="Y1238">
        <v>2</v>
      </c>
      <c r="Z1238">
        <v>3</v>
      </c>
      <c r="AA1238">
        <v>16</v>
      </c>
      <c r="AB1238" t="str">
        <f>IF(Table2[[#This Row],[TotalWorkingYears]]&lt;=5,"Early (0-5)",IF(Table2[[#This Row],[TotalWorkingYears]]&lt;=15,"Mid (6-15)","Senior (16+)"))</f>
        <v>Senior (16+)</v>
      </c>
      <c r="AC1238">
        <v>3</v>
      </c>
      <c r="AD1238">
        <v>3</v>
      </c>
      <c r="AE1238" t="s">
        <v>63</v>
      </c>
      <c r="AF1238">
        <v>2</v>
      </c>
      <c r="AG1238">
        <v>2</v>
      </c>
      <c r="AH1238">
        <v>2</v>
      </c>
    </row>
    <row r="1239" spans="1:34" x14ac:dyDescent="0.3">
      <c r="A1239" t="s">
        <v>59</v>
      </c>
      <c r="B1239">
        <v>1</v>
      </c>
      <c r="C1239" t="s">
        <v>32</v>
      </c>
      <c r="D1239">
        <v>964</v>
      </c>
      <c r="E1239" t="s">
        <v>33</v>
      </c>
      <c r="F1239">
        <v>1</v>
      </c>
      <c r="G1239" t="str">
        <f>IF(Table2[[#This Row],[DistanceFromHome]]&lt;=5, "short", IF(Table2[[#This Row],[DistanceFromHome]]&lt;=15, "medium", "long"))</f>
        <v>short</v>
      </c>
      <c r="H1239">
        <v>2</v>
      </c>
      <c r="I1239" t="s">
        <v>34</v>
      </c>
      <c r="J1239">
        <v>1734</v>
      </c>
      <c r="K1239">
        <v>1</v>
      </c>
      <c r="L1239" t="s">
        <v>41</v>
      </c>
      <c r="M1239">
        <v>34</v>
      </c>
      <c r="N1239">
        <v>1</v>
      </c>
      <c r="O1239">
        <v>2</v>
      </c>
      <c r="P1239" t="s">
        <v>36</v>
      </c>
      <c r="Q1239">
        <v>2</v>
      </c>
      <c r="R1239" t="s">
        <v>37</v>
      </c>
      <c r="S1239">
        <v>6735</v>
      </c>
      <c r="T1239">
        <v>12147</v>
      </c>
      <c r="U1239">
        <v>6</v>
      </c>
      <c r="V1239" t="s">
        <v>38</v>
      </c>
      <c r="W1239">
        <v>15</v>
      </c>
      <c r="X1239">
        <v>3</v>
      </c>
      <c r="Y1239">
        <v>2</v>
      </c>
      <c r="Z1239">
        <v>0</v>
      </c>
      <c r="AA1239">
        <v>10</v>
      </c>
      <c r="AB1239" t="str">
        <f>IF(Table2[[#This Row],[TotalWorkingYears]]&lt;=5,"Early (0-5)",IF(Table2[[#This Row],[TotalWorkingYears]]&lt;=15,"Mid (6-15)","Senior (16+)"))</f>
        <v>Mid (6-15)</v>
      </c>
      <c r="AC1239">
        <v>2</v>
      </c>
      <c r="AD1239">
        <v>3</v>
      </c>
      <c r="AE1239" t="s">
        <v>63</v>
      </c>
      <c r="AF1239">
        <v>0</v>
      </c>
      <c r="AG1239">
        <v>0</v>
      </c>
      <c r="AH1239">
        <v>0</v>
      </c>
    </row>
    <row r="1240" spans="1:34" x14ac:dyDescent="0.3">
      <c r="A1240" t="s">
        <v>60</v>
      </c>
      <c r="B1240">
        <v>0</v>
      </c>
      <c r="C1240" t="s">
        <v>32</v>
      </c>
      <c r="D1240">
        <v>160</v>
      </c>
      <c r="E1240" t="s">
        <v>40</v>
      </c>
      <c r="F1240">
        <v>4</v>
      </c>
      <c r="G1240" t="str">
        <f>IF(Table2[[#This Row],[DistanceFromHome]]&lt;=5, "short", IF(Table2[[#This Row],[DistanceFromHome]]&lt;=15, "medium", "long"))</f>
        <v>short</v>
      </c>
      <c r="H1240">
        <v>1</v>
      </c>
      <c r="I1240" t="s">
        <v>46</v>
      </c>
      <c r="J1240">
        <v>1735</v>
      </c>
      <c r="K1240">
        <v>3</v>
      </c>
      <c r="L1240" t="s">
        <v>35</v>
      </c>
      <c r="M1240">
        <v>51</v>
      </c>
      <c r="N1240">
        <v>3</v>
      </c>
      <c r="O1240">
        <v>1</v>
      </c>
      <c r="P1240" t="s">
        <v>45</v>
      </c>
      <c r="Q1240">
        <v>2</v>
      </c>
      <c r="R1240" t="s">
        <v>37</v>
      </c>
      <c r="S1240">
        <v>3295</v>
      </c>
      <c r="T1240">
        <v>12862</v>
      </c>
      <c r="U1240">
        <v>1</v>
      </c>
      <c r="V1240" t="s">
        <v>38</v>
      </c>
      <c r="W1240">
        <v>13</v>
      </c>
      <c r="X1240">
        <v>3</v>
      </c>
      <c r="Y1240">
        <v>3</v>
      </c>
      <c r="Z1240">
        <v>0</v>
      </c>
      <c r="AA1240">
        <v>3</v>
      </c>
      <c r="AB1240" t="str">
        <f>IF(Table2[[#This Row],[TotalWorkingYears]]&lt;=5,"Early (0-5)",IF(Table2[[#This Row],[TotalWorkingYears]]&lt;=15,"Mid (6-15)","Senior (16+)"))</f>
        <v>Early (0-5)</v>
      </c>
      <c r="AC1240">
        <v>3</v>
      </c>
      <c r="AD1240">
        <v>1</v>
      </c>
      <c r="AE1240" t="s">
        <v>64</v>
      </c>
      <c r="AF1240">
        <v>2</v>
      </c>
      <c r="AG1240">
        <v>1</v>
      </c>
      <c r="AH1240">
        <v>2</v>
      </c>
    </row>
    <row r="1241" spans="1:34" x14ac:dyDescent="0.3">
      <c r="A1241" t="s">
        <v>59</v>
      </c>
      <c r="B1241">
        <v>0</v>
      </c>
      <c r="C1241" t="s">
        <v>39</v>
      </c>
      <c r="D1241">
        <v>163</v>
      </c>
      <c r="E1241" t="s">
        <v>40</v>
      </c>
      <c r="F1241">
        <v>24</v>
      </c>
      <c r="G1241" t="str">
        <f>IF(Table2[[#This Row],[DistanceFromHome]]&lt;=5, "short", IF(Table2[[#This Row],[DistanceFromHome]]&lt;=15, "medium", "long"))</f>
        <v>long</v>
      </c>
      <c r="H1241">
        <v>1</v>
      </c>
      <c r="I1241" t="s">
        <v>55</v>
      </c>
      <c r="J1241">
        <v>1736</v>
      </c>
      <c r="K1241">
        <v>4</v>
      </c>
      <c r="L1241" t="s">
        <v>35</v>
      </c>
      <c r="M1241">
        <v>30</v>
      </c>
      <c r="N1241">
        <v>3</v>
      </c>
      <c r="O1241">
        <v>2</v>
      </c>
      <c r="P1241" t="s">
        <v>48</v>
      </c>
      <c r="Q1241">
        <v>4</v>
      </c>
      <c r="R1241" t="s">
        <v>37</v>
      </c>
      <c r="S1241">
        <v>5238</v>
      </c>
      <c r="T1241">
        <v>6670</v>
      </c>
      <c r="U1241">
        <v>2</v>
      </c>
      <c r="V1241" t="s">
        <v>38</v>
      </c>
      <c r="W1241">
        <v>20</v>
      </c>
      <c r="X1241">
        <v>4</v>
      </c>
      <c r="Y1241">
        <v>4</v>
      </c>
      <c r="Z1241">
        <v>0</v>
      </c>
      <c r="AA1241">
        <v>9</v>
      </c>
      <c r="AB1241" t="str">
        <f>IF(Table2[[#This Row],[TotalWorkingYears]]&lt;=5,"Early (0-5)",IF(Table2[[#This Row],[TotalWorkingYears]]&lt;=15,"Mid (6-15)","Senior (16+)"))</f>
        <v>Mid (6-15)</v>
      </c>
      <c r="AC1241">
        <v>3</v>
      </c>
      <c r="AD1241">
        <v>2</v>
      </c>
      <c r="AE1241" t="s">
        <v>64</v>
      </c>
      <c r="AF1241">
        <v>4</v>
      </c>
      <c r="AG1241">
        <v>1</v>
      </c>
      <c r="AH1241">
        <v>4</v>
      </c>
    </row>
    <row r="1242" spans="1:34" x14ac:dyDescent="0.3">
      <c r="A1242" t="s">
        <v>57</v>
      </c>
      <c r="B1242">
        <v>0</v>
      </c>
      <c r="C1242" t="s">
        <v>50</v>
      </c>
      <c r="D1242">
        <v>792</v>
      </c>
      <c r="E1242" t="s">
        <v>40</v>
      </c>
      <c r="F1242">
        <v>1</v>
      </c>
      <c r="G1242" t="str">
        <f>IF(Table2[[#This Row],[DistanceFromHome]]&lt;=5, "short", IF(Table2[[#This Row],[DistanceFromHome]]&lt;=15, "medium", "long"))</f>
        <v>short</v>
      </c>
      <c r="H1242">
        <v>3</v>
      </c>
      <c r="I1242" t="s">
        <v>34</v>
      </c>
      <c r="J1242">
        <v>1737</v>
      </c>
      <c r="K1242">
        <v>4</v>
      </c>
      <c r="L1242" t="s">
        <v>41</v>
      </c>
      <c r="M1242">
        <v>77</v>
      </c>
      <c r="N1242">
        <v>3</v>
      </c>
      <c r="O1242">
        <v>2</v>
      </c>
      <c r="P1242" t="s">
        <v>45</v>
      </c>
      <c r="Q1242">
        <v>4</v>
      </c>
      <c r="R1242" t="s">
        <v>43</v>
      </c>
      <c r="S1242">
        <v>6472</v>
      </c>
      <c r="T1242">
        <v>8989</v>
      </c>
      <c r="U1242">
        <v>1</v>
      </c>
      <c r="V1242" t="s">
        <v>31</v>
      </c>
      <c r="W1242">
        <v>15</v>
      </c>
      <c r="X1242">
        <v>3</v>
      </c>
      <c r="Y1242">
        <v>4</v>
      </c>
      <c r="Z1242">
        <v>1</v>
      </c>
      <c r="AA1242">
        <v>9</v>
      </c>
      <c r="AB1242" t="str">
        <f>IF(Table2[[#This Row],[TotalWorkingYears]]&lt;=5,"Early (0-5)",IF(Table2[[#This Row],[TotalWorkingYears]]&lt;=15,"Mid (6-15)","Senior (16+)"))</f>
        <v>Mid (6-15)</v>
      </c>
      <c r="AC1242">
        <v>2</v>
      </c>
      <c r="AD1242">
        <v>3</v>
      </c>
      <c r="AE1242" t="s">
        <v>62</v>
      </c>
      <c r="AF1242">
        <v>8</v>
      </c>
      <c r="AG1242">
        <v>5</v>
      </c>
      <c r="AH1242">
        <v>8</v>
      </c>
    </row>
    <row r="1243" spans="1:34" x14ac:dyDescent="0.3">
      <c r="A1243" t="s">
        <v>59</v>
      </c>
      <c r="B1243">
        <v>0</v>
      </c>
      <c r="C1243" t="s">
        <v>32</v>
      </c>
      <c r="D1243">
        <v>371</v>
      </c>
      <c r="E1243" t="s">
        <v>33</v>
      </c>
      <c r="F1243">
        <v>19</v>
      </c>
      <c r="G1243" t="str">
        <f>IF(Table2[[#This Row],[DistanceFromHome]]&lt;=5, "short", IF(Table2[[#This Row],[DistanceFromHome]]&lt;=15, "medium", "long"))</f>
        <v>long</v>
      </c>
      <c r="H1243">
        <v>3</v>
      </c>
      <c r="I1243" t="s">
        <v>34</v>
      </c>
      <c r="J1243">
        <v>1739</v>
      </c>
      <c r="K1243">
        <v>4</v>
      </c>
      <c r="L1243" t="s">
        <v>41</v>
      </c>
      <c r="M1243">
        <v>80</v>
      </c>
      <c r="N1243">
        <v>1</v>
      </c>
      <c r="O1243">
        <v>3</v>
      </c>
      <c r="P1243" t="s">
        <v>36</v>
      </c>
      <c r="Q1243">
        <v>3</v>
      </c>
      <c r="R1243" t="s">
        <v>43</v>
      </c>
      <c r="S1243">
        <v>9610</v>
      </c>
      <c r="T1243">
        <v>3840</v>
      </c>
      <c r="U1243">
        <v>3</v>
      </c>
      <c r="V1243" t="s">
        <v>38</v>
      </c>
      <c r="W1243">
        <v>13</v>
      </c>
      <c r="X1243">
        <v>3</v>
      </c>
      <c r="Y1243">
        <v>3</v>
      </c>
      <c r="Z1243">
        <v>1</v>
      </c>
      <c r="AA1243">
        <v>10</v>
      </c>
      <c r="AB1243" t="str">
        <f>IF(Table2[[#This Row],[TotalWorkingYears]]&lt;=5,"Early (0-5)",IF(Table2[[#This Row],[TotalWorkingYears]]&lt;=15,"Mid (6-15)","Senior (16+)"))</f>
        <v>Mid (6-15)</v>
      </c>
      <c r="AC1243">
        <v>2</v>
      </c>
      <c r="AD1243">
        <v>1</v>
      </c>
      <c r="AE1243" t="s">
        <v>64</v>
      </c>
      <c r="AF1243">
        <v>3</v>
      </c>
      <c r="AG1243">
        <v>0</v>
      </c>
      <c r="AH1243">
        <v>2</v>
      </c>
    </row>
    <row r="1244" spans="1:34" x14ac:dyDescent="0.3">
      <c r="A1244" t="s">
        <v>57</v>
      </c>
      <c r="B1244">
        <v>0</v>
      </c>
      <c r="C1244" t="s">
        <v>32</v>
      </c>
      <c r="D1244">
        <v>611</v>
      </c>
      <c r="E1244" t="s">
        <v>33</v>
      </c>
      <c r="F1244">
        <v>7</v>
      </c>
      <c r="G1244" t="str">
        <f>IF(Table2[[#This Row],[DistanceFromHome]]&lt;=5, "short", IF(Table2[[#This Row],[DistanceFromHome]]&lt;=15, "medium", "long"))</f>
        <v>medium</v>
      </c>
      <c r="H1244">
        <v>4</v>
      </c>
      <c r="I1244" t="s">
        <v>46</v>
      </c>
      <c r="J1244">
        <v>1740</v>
      </c>
      <c r="K1244">
        <v>2</v>
      </c>
      <c r="L1244" t="s">
        <v>41</v>
      </c>
      <c r="M1244">
        <v>88</v>
      </c>
      <c r="N1244">
        <v>3</v>
      </c>
      <c r="O1244">
        <v>5</v>
      </c>
      <c r="P1244" t="s">
        <v>51</v>
      </c>
      <c r="Q1244">
        <v>2</v>
      </c>
      <c r="R1244" t="s">
        <v>37</v>
      </c>
      <c r="S1244">
        <v>19833</v>
      </c>
      <c r="T1244">
        <v>4349</v>
      </c>
      <c r="U1244">
        <v>1</v>
      </c>
      <c r="V1244" t="s">
        <v>38</v>
      </c>
      <c r="W1244">
        <v>14</v>
      </c>
      <c r="X1244">
        <v>3</v>
      </c>
      <c r="Y1244">
        <v>2</v>
      </c>
      <c r="Z1244">
        <v>0</v>
      </c>
      <c r="AA1244">
        <v>21</v>
      </c>
      <c r="AB1244" t="str">
        <f>IF(Table2[[#This Row],[TotalWorkingYears]]&lt;=5,"Early (0-5)",IF(Table2[[#This Row],[TotalWorkingYears]]&lt;=15,"Mid (6-15)","Senior (16+)"))</f>
        <v>Senior (16+)</v>
      </c>
      <c r="AC1244">
        <v>3</v>
      </c>
      <c r="AD1244">
        <v>2</v>
      </c>
      <c r="AE1244" t="s">
        <v>65</v>
      </c>
      <c r="AF1244">
        <v>8</v>
      </c>
      <c r="AG1244">
        <v>12</v>
      </c>
      <c r="AH1244">
        <v>8</v>
      </c>
    </row>
    <row r="1245" spans="1:34" x14ac:dyDescent="0.3">
      <c r="A1245" t="s">
        <v>57</v>
      </c>
      <c r="B1245">
        <v>0</v>
      </c>
      <c r="C1245" t="s">
        <v>32</v>
      </c>
      <c r="D1245">
        <v>176</v>
      </c>
      <c r="E1245" t="s">
        <v>56</v>
      </c>
      <c r="F1245">
        <v>4</v>
      </c>
      <c r="G1245" t="str">
        <f>IF(Table2[[#This Row],[DistanceFromHome]]&lt;=5, "short", IF(Table2[[#This Row],[DistanceFromHome]]&lt;=15, "medium", "long"))</f>
        <v>short</v>
      </c>
      <c r="H1245">
        <v>3</v>
      </c>
      <c r="I1245" t="s">
        <v>34</v>
      </c>
      <c r="J1245">
        <v>1744</v>
      </c>
      <c r="K1245">
        <v>3</v>
      </c>
      <c r="L1245" t="s">
        <v>35</v>
      </c>
      <c r="M1245">
        <v>56</v>
      </c>
      <c r="N1245">
        <v>1</v>
      </c>
      <c r="O1245">
        <v>3</v>
      </c>
      <c r="P1245" t="s">
        <v>56</v>
      </c>
      <c r="Q1245">
        <v>3</v>
      </c>
      <c r="R1245" t="s">
        <v>43</v>
      </c>
      <c r="S1245">
        <v>9756</v>
      </c>
      <c r="T1245">
        <v>6595</v>
      </c>
      <c r="U1245">
        <v>4</v>
      </c>
      <c r="V1245" t="s">
        <v>38</v>
      </c>
      <c r="W1245">
        <v>21</v>
      </c>
      <c r="X1245">
        <v>4</v>
      </c>
      <c r="Y1245">
        <v>3</v>
      </c>
      <c r="Z1245">
        <v>2</v>
      </c>
      <c r="AA1245">
        <v>9</v>
      </c>
      <c r="AB1245" t="str">
        <f>IF(Table2[[#This Row],[TotalWorkingYears]]&lt;=5,"Early (0-5)",IF(Table2[[#This Row],[TotalWorkingYears]]&lt;=15,"Mid (6-15)","Senior (16+)"))</f>
        <v>Mid (6-15)</v>
      </c>
      <c r="AC1245">
        <v>2</v>
      </c>
      <c r="AD1245">
        <v>4</v>
      </c>
      <c r="AE1245" t="s">
        <v>64</v>
      </c>
      <c r="AF1245">
        <v>0</v>
      </c>
      <c r="AG1245">
        <v>0</v>
      </c>
      <c r="AH1245">
        <v>3</v>
      </c>
    </row>
    <row r="1246" spans="1:34" x14ac:dyDescent="0.3">
      <c r="A1246" t="s">
        <v>59</v>
      </c>
      <c r="B1246">
        <v>0</v>
      </c>
      <c r="C1246" t="s">
        <v>39</v>
      </c>
      <c r="D1246">
        <v>1312</v>
      </c>
      <c r="E1246" t="s">
        <v>40</v>
      </c>
      <c r="F1246">
        <v>2</v>
      </c>
      <c r="G1246" t="str">
        <f>IF(Table2[[#This Row],[DistanceFromHome]]&lt;=5, "short", IF(Table2[[#This Row],[DistanceFromHome]]&lt;=15, "medium", "long"))</f>
        <v>short</v>
      </c>
      <c r="H1246">
        <v>4</v>
      </c>
      <c r="I1246" t="s">
        <v>55</v>
      </c>
      <c r="J1246">
        <v>1745</v>
      </c>
      <c r="K1246">
        <v>4</v>
      </c>
      <c r="L1246" t="s">
        <v>35</v>
      </c>
      <c r="M1246">
        <v>78</v>
      </c>
      <c r="N1246">
        <v>2</v>
      </c>
      <c r="O1246">
        <v>1</v>
      </c>
      <c r="P1246" t="s">
        <v>42</v>
      </c>
      <c r="Q1246">
        <v>1</v>
      </c>
      <c r="R1246" t="s">
        <v>37</v>
      </c>
      <c r="S1246">
        <v>4968</v>
      </c>
      <c r="T1246">
        <v>26427</v>
      </c>
      <c r="U1246">
        <v>0</v>
      </c>
      <c r="V1246" t="s">
        <v>38</v>
      </c>
      <c r="W1246">
        <v>16</v>
      </c>
      <c r="X1246">
        <v>3</v>
      </c>
      <c r="Y1246">
        <v>4</v>
      </c>
      <c r="Z1246">
        <v>0</v>
      </c>
      <c r="AA1246">
        <v>10</v>
      </c>
      <c r="AB1246" t="str">
        <f>IF(Table2[[#This Row],[TotalWorkingYears]]&lt;=5,"Early (0-5)",IF(Table2[[#This Row],[TotalWorkingYears]]&lt;=15,"Mid (6-15)","Senior (16+)"))</f>
        <v>Mid (6-15)</v>
      </c>
      <c r="AC1246">
        <v>2</v>
      </c>
      <c r="AD1246">
        <v>3</v>
      </c>
      <c r="AE1246" t="s">
        <v>62</v>
      </c>
      <c r="AF1246">
        <v>7</v>
      </c>
      <c r="AG1246">
        <v>0</v>
      </c>
      <c r="AH1246">
        <v>7</v>
      </c>
    </row>
    <row r="1247" spans="1:34" x14ac:dyDescent="0.3">
      <c r="A1247" t="s">
        <v>60</v>
      </c>
      <c r="B1247">
        <v>0</v>
      </c>
      <c r="C1247" t="s">
        <v>39</v>
      </c>
      <c r="D1247">
        <v>897</v>
      </c>
      <c r="E1247" t="s">
        <v>56</v>
      </c>
      <c r="F1247">
        <v>10</v>
      </c>
      <c r="G1247" t="str">
        <f>IF(Table2[[#This Row],[DistanceFromHome]]&lt;=5, "short", IF(Table2[[#This Row],[DistanceFromHome]]&lt;=15, "medium", "long"))</f>
        <v>medium</v>
      </c>
      <c r="H1247">
        <v>3</v>
      </c>
      <c r="I1247" t="s">
        <v>46</v>
      </c>
      <c r="J1247">
        <v>1746</v>
      </c>
      <c r="K1247">
        <v>1</v>
      </c>
      <c r="L1247" t="s">
        <v>41</v>
      </c>
      <c r="M1247">
        <v>59</v>
      </c>
      <c r="N1247">
        <v>3</v>
      </c>
      <c r="O1247">
        <v>1</v>
      </c>
      <c r="P1247" t="s">
        <v>56</v>
      </c>
      <c r="Q1247">
        <v>4</v>
      </c>
      <c r="R1247" t="s">
        <v>43</v>
      </c>
      <c r="S1247">
        <v>2145</v>
      </c>
      <c r="T1247">
        <v>2097</v>
      </c>
      <c r="U1247">
        <v>0</v>
      </c>
      <c r="V1247" t="s">
        <v>38</v>
      </c>
      <c r="W1247">
        <v>14</v>
      </c>
      <c r="X1247">
        <v>3</v>
      </c>
      <c r="Y1247">
        <v>4</v>
      </c>
      <c r="Z1247">
        <v>1</v>
      </c>
      <c r="AA1247">
        <v>3</v>
      </c>
      <c r="AB1247" t="str">
        <f>IF(Table2[[#This Row],[TotalWorkingYears]]&lt;=5,"Early (0-5)",IF(Table2[[#This Row],[TotalWorkingYears]]&lt;=15,"Mid (6-15)","Senior (16+)"))</f>
        <v>Early (0-5)</v>
      </c>
      <c r="AC1247">
        <v>2</v>
      </c>
      <c r="AD1247">
        <v>3</v>
      </c>
      <c r="AE1247" t="s">
        <v>63</v>
      </c>
      <c r="AF1247">
        <v>2</v>
      </c>
      <c r="AG1247">
        <v>2</v>
      </c>
      <c r="AH1247">
        <v>1</v>
      </c>
    </row>
    <row r="1248" spans="1:34" x14ac:dyDescent="0.3">
      <c r="A1248" t="s">
        <v>59</v>
      </c>
      <c r="B1248">
        <v>1</v>
      </c>
      <c r="C1248" t="s">
        <v>39</v>
      </c>
      <c r="D1248">
        <v>600</v>
      </c>
      <c r="E1248" t="s">
        <v>56</v>
      </c>
      <c r="F1248">
        <v>8</v>
      </c>
      <c r="G1248" t="str">
        <f>IF(Table2[[#This Row],[DistanceFromHome]]&lt;=5, "short", IF(Table2[[#This Row],[DistanceFromHome]]&lt;=15, "medium", "long"))</f>
        <v>medium</v>
      </c>
      <c r="H1248">
        <v>3</v>
      </c>
      <c r="I1248" t="s">
        <v>56</v>
      </c>
      <c r="J1248">
        <v>1747</v>
      </c>
      <c r="K1248">
        <v>3</v>
      </c>
      <c r="L1248" t="s">
        <v>35</v>
      </c>
      <c r="M1248">
        <v>66</v>
      </c>
      <c r="N1248">
        <v>2</v>
      </c>
      <c r="O1248">
        <v>1</v>
      </c>
      <c r="P1248" t="s">
        <v>56</v>
      </c>
      <c r="Q1248">
        <v>4</v>
      </c>
      <c r="R1248" t="s">
        <v>47</v>
      </c>
      <c r="S1248">
        <v>2180</v>
      </c>
      <c r="T1248">
        <v>9732</v>
      </c>
      <c r="U1248">
        <v>6</v>
      </c>
      <c r="V1248" t="s">
        <v>38</v>
      </c>
      <c r="W1248">
        <v>11</v>
      </c>
      <c r="X1248">
        <v>3</v>
      </c>
      <c r="Y1248">
        <v>3</v>
      </c>
      <c r="Z1248">
        <v>1</v>
      </c>
      <c r="AA1248">
        <v>6</v>
      </c>
      <c r="AB1248" t="str">
        <f>IF(Table2[[#This Row],[TotalWorkingYears]]&lt;=5,"Early (0-5)",IF(Table2[[#This Row],[TotalWorkingYears]]&lt;=15,"Mid (6-15)","Senior (16+)"))</f>
        <v>Mid (6-15)</v>
      </c>
      <c r="AC1248">
        <v>0</v>
      </c>
      <c r="AD1248">
        <v>2</v>
      </c>
      <c r="AE1248" t="s">
        <v>64</v>
      </c>
      <c r="AF1248">
        <v>2</v>
      </c>
      <c r="AG1248">
        <v>1</v>
      </c>
      <c r="AH1248">
        <v>2</v>
      </c>
    </row>
    <row r="1249" spans="1:34" x14ac:dyDescent="0.3">
      <c r="A1249" t="s">
        <v>59</v>
      </c>
      <c r="B1249">
        <v>0</v>
      </c>
      <c r="C1249" t="s">
        <v>32</v>
      </c>
      <c r="D1249">
        <v>1003</v>
      </c>
      <c r="E1249" t="s">
        <v>33</v>
      </c>
      <c r="F1249">
        <v>5</v>
      </c>
      <c r="G1249" t="str">
        <f>IF(Table2[[#This Row],[DistanceFromHome]]&lt;=5, "short", IF(Table2[[#This Row],[DistanceFromHome]]&lt;=15, "medium", "long"))</f>
        <v>short</v>
      </c>
      <c r="H1249">
        <v>3</v>
      </c>
      <c r="I1249" t="s">
        <v>55</v>
      </c>
      <c r="J1249">
        <v>1749</v>
      </c>
      <c r="K1249">
        <v>1</v>
      </c>
      <c r="L1249" t="s">
        <v>41</v>
      </c>
      <c r="M1249">
        <v>51</v>
      </c>
      <c r="N1249">
        <v>3</v>
      </c>
      <c r="O1249">
        <v>2</v>
      </c>
      <c r="P1249" t="s">
        <v>36</v>
      </c>
      <c r="Q1249">
        <v>3</v>
      </c>
      <c r="R1249" t="s">
        <v>43</v>
      </c>
      <c r="S1249">
        <v>8346</v>
      </c>
      <c r="T1249">
        <v>20943</v>
      </c>
      <c r="U1249">
        <v>1</v>
      </c>
      <c r="V1249" t="s">
        <v>38</v>
      </c>
      <c r="W1249">
        <v>19</v>
      </c>
      <c r="X1249">
        <v>3</v>
      </c>
      <c r="Y1249">
        <v>3</v>
      </c>
      <c r="Z1249">
        <v>1</v>
      </c>
      <c r="AA1249">
        <v>6</v>
      </c>
      <c r="AB1249" t="str">
        <f>IF(Table2[[#This Row],[TotalWorkingYears]]&lt;=5,"Early (0-5)",IF(Table2[[#This Row],[TotalWorkingYears]]&lt;=15,"Mid (6-15)","Senior (16+)"))</f>
        <v>Mid (6-15)</v>
      </c>
      <c r="AC1249">
        <v>3</v>
      </c>
      <c r="AD1249">
        <v>3</v>
      </c>
      <c r="AE1249" t="s">
        <v>64</v>
      </c>
      <c r="AF1249">
        <v>2</v>
      </c>
      <c r="AG1249">
        <v>0</v>
      </c>
      <c r="AH1249">
        <v>2</v>
      </c>
    </row>
    <row r="1250" spans="1:34" x14ac:dyDescent="0.3">
      <c r="A1250" t="s">
        <v>59</v>
      </c>
      <c r="B1250">
        <v>0</v>
      </c>
      <c r="C1250" t="s">
        <v>32</v>
      </c>
      <c r="D1250">
        <v>1054</v>
      </c>
      <c r="E1250" t="s">
        <v>40</v>
      </c>
      <c r="F1250">
        <v>8</v>
      </c>
      <c r="G1250" t="str">
        <f>IF(Table2[[#This Row],[DistanceFromHome]]&lt;=5, "short", IF(Table2[[#This Row],[DistanceFromHome]]&lt;=15, "medium", "long"))</f>
        <v>medium</v>
      </c>
      <c r="H1250">
        <v>3</v>
      </c>
      <c r="I1250" t="s">
        <v>46</v>
      </c>
      <c r="J1250">
        <v>1751</v>
      </c>
      <c r="K1250">
        <v>3</v>
      </c>
      <c r="L1250" t="s">
        <v>35</v>
      </c>
      <c r="M1250">
        <v>67</v>
      </c>
      <c r="N1250">
        <v>3</v>
      </c>
      <c r="O1250">
        <v>1</v>
      </c>
      <c r="P1250" t="s">
        <v>42</v>
      </c>
      <c r="Q1250">
        <v>4</v>
      </c>
      <c r="R1250" t="s">
        <v>37</v>
      </c>
      <c r="S1250">
        <v>3445</v>
      </c>
      <c r="T1250">
        <v>6152</v>
      </c>
      <c r="U1250">
        <v>1</v>
      </c>
      <c r="V1250" t="s">
        <v>38</v>
      </c>
      <c r="W1250">
        <v>11</v>
      </c>
      <c r="X1250">
        <v>3</v>
      </c>
      <c r="Y1250">
        <v>3</v>
      </c>
      <c r="Z1250">
        <v>0</v>
      </c>
      <c r="AA1250">
        <v>6</v>
      </c>
      <c r="AB1250" t="str">
        <f>IF(Table2[[#This Row],[TotalWorkingYears]]&lt;=5,"Early (0-5)",IF(Table2[[#This Row],[TotalWorkingYears]]&lt;=15,"Mid (6-15)","Senior (16+)"))</f>
        <v>Mid (6-15)</v>
      </c>
      <c r="AC1250">
        <v>5</v>
      </c>
      <c r="AD1250">
        <v>2</v>
      </c>
      <c r="AE1250" t="s">
        <v>62</v>
      </c>
      <c r="AF1250">
        <v>2</v>
      </c>
      <c r="AG1250">
        <v>1</v>
      </c>
      <c r="AH1250">
        <v>4</v>
      </c>
    </row>
    <row r="1251" spans="1:34" x14ac:dyDescent="0.3">
      <c r="A1251" t="s">
        <v>59</v>
      </c>
      <c r="B1251">
        <v>1</v>
      </c>
      <c r="C1251" t="s">
        <v>32</v>
      </c>
      <c r="D1251">
        <v>428</v>
      </c>
      <c r="E1251" t="s">
        <v>33</v>
      </c>
      <c r="F1251">
        <v>9</v>
      </c>
      <c r="G1251" t="str">
        <f>IF(Table2[[#This Row],[DistanceFromHome]]&lt;=5, "short", IF(Table2[[#This Row],[DistanceFromHome]]&lt;=15, "medium", "long"))</f>
        <v>medium</v>
      </c>
      <c r="H1251">
        <v>3</v>
      </c>
      <c r="I1251" t="s">
        <v>54</v>
      </c>
      <c r="J1251">
        <v>1752</v>
      </c>
      <c r="K1251">
        <v>2</v>
      </c>
      <c r="L1251" t="s">
        <v>35</v>
      </c>
      <c r="M1251">
        <v>52</v>
      </c>
      <c r="N1251">
        <v>1</v>
      </c>
      <c r="O1251">
        <v>1</v>
      </c>
      <c r="P1251" t="s">
        <v>52</v>
      </c>
      <c r="Q1251">
        <v>2</v>
      </c>
      <c r="R1251" t="s">
        <v>37</v>
      </c>
      <c r="S1251">
        <v>2760</v>
      </c>
      <c r="T1251">
        <v>14630</v>
      </c>
      <c r="U1251">
        <v>1</v>
      </c>
      <c r="V1251" t="s">
        <v>38</v>
      </c>
      <c r="W1251">
        <v>13</v>
      </c>
      <c r="X1251">
        <v>3</v>
      </c>
      <c r="Y1251">
        <v>3</v>
      </c>
      <c r="Z1251">
        <v>0</v>
      </c>
      <c r="AA1251">
        <v>2</v>
      </c>
      <c r="AB1251" t="str">
        <f>IF(Table2[[#This Row],[TotalWorkingYears]]&lt;=5,"Early (0-5)",IF(Table2[[#This Row],[TotalWorkingYears]]&lt;=15,"Mid (6-15)","Senior (16+)"))</f>
        <v>Early (0-5)</v>
      </c>
      <c r="AC1251">
        <v>3</v>
      </c>
      <c r="AD1251">
        <v>3</v>
      </c>
      <c r="AE1251" t="s">
        <v>63</v>
      </c>
      <c r="AF1251">
        <v>2</v>
      </c>
      <c r="AG1251">
        <v>2</v>
      </c>
      <c r="AH1251">
        <v>2</v>
      </c>
    </row>
    <row r="1252" spans="1:34" x14ac:dyDescent="0.3">
      <c r="A1252" t="s">
        <v>59</v>
      </c>
      <c r="B1252">
        <v>0</v>
      </c>
      <c r="C1252" t="s">
        <v>39</v>
      </c>
      <c r="D1252">
        <v>461</v>
      </c>
      <c r="E1252" t="s">
        <v>40</v>
      </c>
      <c r="F1252">
        <v>1</v>
      </c>
      <c r="G1252" t="str">
        <f>IF(Table2[[#This Row],[DistanceFromHome]]&lt;=5, "short", IF(Table2[[#This Row],[DistanceFromHome]]&lt;=15, "medium", "long"))</f>
        <v>short</v>
      </c>
      <c r="H1252">
        <v>3</v>
      </c>
      <c r="I1252" t="s">
        <v>34</v>
      </c>
      <c r="J1252">
        <v>1753</v>
      </c>
      <c r="K1252">
        <v>4</v>
      </c>
      <c r="L1252" t="s">
        <v>41</v>
      </c>
      <c r="M1252">
        <v>70</v>
      </c>
      <c r="N1252">
        <v>4</v>
      </c>
      <c r="O1252">
        <v>2</v>
      </c>
      <c r="P1252" t="s">
        <v>49</v>
      </c>
      <c r="Q1252">
        <v>3</v>
      </c>
      <c r="R1252" t="s">
        <v>37</v>
      </c>
      <c r="S1252">
        <v>6294</v>
      </c>
      <c r="T1252">
        <v>23060</v>
      </c>
      <c r="U1252">
        <v>8</v>
      </c>
      <c r="V1252" t="s">
        <v>31</v>
      </c>
      <c r="W1252">
        <v>12</v>
      </c>
      <c r="X1252">
        <v>3</v>
      </c>
      <c r="Y1252">
        <v>4</v>
      </c>
      <c r="Z1252">
        <v>0</v>
      </c>
      <c r="AA1252">
        <v>10</v>
      </c>
      <c r="AB1252" t="str">
        <f>IF(Table2[[#This Row],[TotalWorkingYears]]&lt;=5,"Early (0-5)",IF(Table2[[#This Row],[TotalWorkingYears]]&lt;=15,"Mid (6-15)","Senior (16+)"))</f>
        <v>Mid (6-15)</v>
      </c>
      <c r="AC1252">
        <v>5</v>
      </c>
      <c r="AD1252">
        <v>4</v>
      </c>
      <c r="AE1252" t="s">
        <v>64</v>
      </c>
      <c r="AF1252">
        <v>2</v>
      </c>
      <c r="AG1252">
        <v>0</v>
      </c>
      <c r="AH1252">
        <v>2</v>
      </c>
    </row>
    <row r="1253" spans="1:34" x14ac:dyDescent="0.3">
      <c r="A1253" t="s">
        <v>59</v>
      </c>
      <c r="B1253">
        <v>0</v>
      </c>
      <c r="C1253" t="s">
        <v>32</v>
      </c>
      <c r="D1253">
        <v>979</v>
      </c>
      <c r="E1253" t="s">
        <v>33</v>
      </c>
      <c r="F1253">
        <v>15</v>
      </c>
      <c r="G1253" t="str">
        <f>IF(Table2[[#This Row],[DistanceFromHome]]&lt;=5, "short", IF(Table2[[#This Row],[DistanceFromHome]]&lt;=15, "medium", "long"))</f>
        <v>medium</v>
      </c>
      <c r="H1253">
        <v>2</v>
      </c>
      <c r="I1253" t="s">
        <v>54</v>
      </c>
      <c r="J1253">
        <v>1754</v>
      </c>
      <c r="K1253">
        <v>3</v>
      </c>
      <c r="L1253" t="s">
        <v>41</v>
      </c>
      <c r="M1253">
        <v>94</v>
      </c>
      <c r="N1253">
        <v>2</v>
      </c>
      <c r="O1253">
        <v>3</v>
      </c>
      <c r="P1253" t="s">
        <v>36</v>
      </c>
      <c r="Q1253">
        <v>1</v>
      </c>
      <c r="R1253" t="s">
        <v>47</v>
      </c>
      <c r="S1253">
        <v>7140</v>
      </c>
      <c r="T1253">
        <v>3088</v>
      </c>
      <c r="U1253">
        <v>2</v>
      </c>
      <c r="V1253" t="s">
        <v>38</v>
      </c>
      <c r="W1253">
        <v>11</v>
      </c>
      <c r="X1253">
        <v>3</v>
      </c>
      <c r="Y1253">
        <v>1</v>
      </c>
      <c r="Z1253">
        <v>1</v>
      </c>
      <c r="AA1253">
        <v>12</v>
      </c>
      <c r="AB1253" t="str">
        <f>IF(Table2[[#This Row],[TotalWorkingYears]]&lt;=5,"Early (0-5)",IF(Table2[[#This Row],[TotalWorkingYears]]&lt;=15,"Mid (6-15)","Senior (16+)"))</f>
        <v>Mid (6-15)</v>
      </c>
      <c r="AC1253">
        <v>2</v>
      </c>
      <c r="AD1253">
        <v>3</v>
      </c>
      <c r="AE1253" t="s">
        <v>62</v>
      </c>
      <c r="AF1253">
        <v>7</v>
      </c>
      <c r="AG1253">
        <v>1</v>
      </c>
      <c r="AH1253">
        <v>7</v>
      </c>
    </row>
    <row r="1254" spans="1:34" x14ac:dyDescent="0.3">
      <c r="A1254" t="s">
        <v>59</v>
      </c>
      <c r="B1254">
        <v>0</v>
      </c>
      <c r="C1254" t="s">
        <v>32</v>
      </c>
      <c r="D1254">
        <v>181</v>
      </c>
      <c r="E1254" t="s">
        <v>40</v>
      </c>
      <c r="F1254">
        <v>2</v>
      </c>
      <c r="G1254" t="str">
        <f>IF(Table2[[#This Row],[DistanceFromHome]]&lt;=5, "short", IF(Table2[[#This Row],[DistanceFromHome]]&lt;=15, "medium", "long"))</f>
        <v>short</v>
      </c>
      <c r="H1254">
        <v>4</v>
      </c>
      <c r="I1254" t="s">
        <v>46</v>
      </c>
      <c r="J1254">
        <v>1755</v>
      </c>
      <c r="K1254">
        <v>4</v>
      </c>
      <c r="L1254" t="s">
        <v>41</v>
      </c>
      <c r="M1254">
        <v>97</v>
      </c>
      <c r="N1254">
        <v>4</v>
      </c>
      <c r="O1254">
        <v>1</v>
      </c>
      <c r="P1254" t="s">
        <v>42</v>
      </c>
      <c r="Q1254">
        <v>4</v>
      </c>
      <c r="R1254" t="s">
        <v>43</v>
      </c>
      <c r="S1254">
        <v>2932</v>
      </c>
      <c r="T1254">
        <v>5586</v>
      </c>
      <c r="U1254">
        <v>0</v>
      </c>
      <c r="V1254" t="s">
        <v>31</v>
      </c>
      <c r="W1254">
        <v>14</v>
      </c>
      <c r="X1254">
        <v>3</v>
      </c>
      <c r="Y1254">
        <v>1</v>
      </c>
      <c r="Z1254">
        <v>3</v>
      </c>
      <c r="AA1254">
        <v>6</v>
      </c>
      <c r="AB1254" t="str">
        <f>IF(Table2[[#This Row],[TotalWorkingYears]]&lt;=5,"Early (0-5)",IF(Table2[[#This Row],[TotalWorkingYears]]&lt;=15,"Mid (6-15)","Senior (16+)"))</f>
        <v>Mid (6-15)</v>
      </c>
      <c r="AC1254">
        <v>3</v>
      </c>
      <c r="AD1254">
        <v>3</v>
      </c>
      <c r="AE1254" t="s">
        <v>64</v>
      </c>
      <c r="AF1254">
        <v>0</v>
      </c>
      <c r="AG1254">
        <v>1</v>
      </c>
      <c r="AH1254">
        <v>2</v>
      </c>
    </row>
    <row r="1255" spans="1:34" x14ac:dyDescent="0.3">
      <c r="A1255" t="s">
        <v>59</v>
      </c>
      <c r="B1255">
        <v>0</v>
      </c>
      <c r="C1255" t="s">
        <v>50</v>
      </c>
      <c r="D1255">
        <v>1283</v>
      </c>
      <c r="E1255" t="s">
        <v>33</v>
      </c>
      <c r="F1255">
        <v>2</v>
      </c>
      <c r="G1255" t="str">
        <f>IF(Table2[[#This Row],[DistanceFromHome]]&lt;=5, "short", IF(Table2[[#This Row],[DistanceFromHome]]&lt;=15, "medium", "long"))</f>
        <v>short</v>
      </c>
      <c r="H1255">
        <v>3</v>
      </c>
      <c r="I1255" t="s">
        <v>54</v>
      </c>
      <c r="J1255">
        <v>1756</v>
      </c>
      <c r="K1255">
        <v>4</v>
      </c>
      <c r="L1255" t="s">
        <v>35</v>
      </c>
      <c r="M1255">
        <v>62</v>
      </c>
      <c r="N1255">
        <v>3</v>
      </c>
      <c r="O1255">
        <v>2</v>
      </c>
      <c r="P1255" t="s">
        <v>36</v>
      </c>
      <c r="Q1255">
        <v>2</v>
      </c>
      <c r="R1255" t="s">
        <v>37</v>
      </c>
      <c r="S1255">
        <v>5147</v>
      </c>
      <c r="T1255">
        <v>10697</v>
      </c>
      <c r="U1255">
        <v>8</v>
      </c>
      <c r="V1255" t="s">
        <v>38</v>
      </c>
      <c r="W1255">
        <v>15</v>
      </c>
      <c r="X1255">
        <v>3</v>
      </c>
      <c r="Y1255">
        <v>4</v>
      </c>
      <c r="Z1255">
        <v>0</v>
      </c>
      <c r="AA1255">
        <v>13</v>
      </c>
      <c r="AB1255" t="str">
        <f>IF(Table2[[#This Row],[TotalWorkingYears]]&lt;=5,"Early (0-5)",IF(Table2[[#This Row],[TotalWorkingYears]]&lt;=15,"Mid (6-15)","Senior (16+)"))</f>
        <v>Mid (6-15)</v>
      </c>
      <c r="AC1255">
        <v>2</v>
      </c>
      <c r="AD1255">
        <v>2</v>
      </c>
      <c r="AE1255" t="s">
        <v>65</v>
      </c>
      <c r="AF1255">
        <v>7</v>
      </c>
      <c r="AG1255">
        <v>1</v>
      </c>
      <c r="AH1255">
        <v>7</v>
      </c>
    </row>
    <row r="1256" spans="1:34" x14ac:dyDescent="0.3">
      <c r="A1256" t="s">
        <v>58</v>
      </c>
      <c r="B1256">
        <v>0</v>
      </c>
      <c r="C1256" t="s">
        <v>32</v>
      </c>
      <c r="D1256">
        <v>1313</v>
      </c>
      <c r="E1256" t="s">
        <v>33</v>
      </c>
      <c r="F1256">
        <v>11</v>
      </c>
      <c r="G1256" t="str">
        <f>IF(Table2[[#This Row],[DistanceFromHome]]&lt;=5, "short", IF(Table2[[#This Row],[DistanceFromHome]]&lt;=15, "medium", "long"))</f>
        <v>medium</v>
      </c>
      <c r="H1256">
        <v>4</v>
      </c>
      <c r="I1256" t="s">
        <v>54</v>
      </c>
      <c r="J1256">
        <v>1757</v>
      </c>
      <c r="K1256">
        <v>4</v>
      </c>
      <c r="L1256" t="s">
        <v>35</v>
      </c>
      <c r="M1256">
        <v>80</v>
      </c>
      <c r="N1256">
        <v>3</v>
      </c>
      <c r="O1256">
        <v>2</v>
      </c>
      <c r="P1256" t="s">
        <v>36</v>
      </c>
      <c r="Q1256">
        <v>4</v>
      </c>
      <c r="R1256" t="s">
        <v>37</v>
      </c>
      <c r="S1256">
        <v>4507</v>
      </c>
      <c r="T1256">
        <v>8191</v>
      </c>
      <c r="U1256">
        <v>3</v>
      </c>
      <c r="V1256" t="s">
        <v>38</v>
      </c>
      <c r="W1256">
        <v>12</v>
      </c>
      <c r="X1256">
        <v>3</v>
      </c>
      <c r="Y1256">
        <v>3</v>
      </c>
      <c r="Z1256">
        <v>0</v>
      </c>
      <c r="AA1256">
        <v>8</v>
      </c>
      <c r="AB1256" t="str">
        <f>IF(Table2[[#This Row],[TotalWorkingYears]]&lt;=5,"Early (0-5)",IF(Table2[[#This Row],[TotalWorkingYears]]&lt;=15,"Mid (6-15)","Senior (16+)"))</f>
        <v>Mid (6-15)</v>
      </c>
      <c r="AC1256">
        <v>1</v>
      </c>
      <c r="AD1256">
        <v>4</v>
      </c>
      <c r="AE1256" t="s">
        <v>64</v>
      </c>
      <c r="AF1256">
        <v>1</v>
      </c>
      <c r="AG1256">
        <v>0</v>
      </c>
      <c r="AH1256">
        <v>4</v>
      </c>
    </row>
    <row r="1257" spans="1:34" x14ac:dyDescent="0.3">
      <c r="A1257" t="s">
        <v>59</v>
      </c>
      <c r="B1257">
        <v>1</v>
      </c>
      <c r="C1257" t="s">
        <v>32</v>
      </c>
      <c r="D1257">
        <v>211</v>
      </c>
      <c r="E1257" t="s">
        <v>33</v>
      </c>
      <c r="F1257">
        <v>16</v>
      </c>
      <c r="G1257" t="str">
        <f>IF(Table2[[#This Row],[DistanceFromHome]]&lt;=5, "short", IF(Table2[[#This Row],[DistanceFromHome]]&lt;=15, "medium", "long"))</f>
        <v>long</v>
      </c>
      <c r="H1257">
        <v>3</v>
      </c>
      <c r="I1257" t="s">
        <v>34</v>
      </c>
      <c r="J1257">
        <v>1758</v>
      </c>
      <c r="K1257">
        <v>1</v>
      </c>
      <c r="L1257" t="s">
        <v>35</v>
      </c>
      <c r="M1257">
        <v>74</v>
      </c>
      <c r="N1257">
        <v>3</v>
      </c>
      <c r="O1257">
        <v>3</v>
      </c>
      <c r="P1257" t="s">
        <v>36</v>
      </c>
      <c r="Q1257">
        <v>1</v>
      </c>
      <c r="R1257" t="s">
        <v>37</v>
      </c>
      <c r="S1257">
        <v>8564</v>
      </c>
      <c r="T1257">
        <v>10092</v>
      </c>
      <c r="U1257">
        <v>2</v>
      </c>
      <c r="V1257" t="s">
        <v>31</v>
      </c>
      <c r="W1257">
        <v>20</v>
      </c>
      <c r="X1257">
        <v>4</v>
      </c>
      <c r="Y1257">
        <v>3</v>
      </c>
      <c r="Z1257">
        <v>0</v>
      </c>
      <c r="AA1257">
        <v>11</v>
      </c>
      <c r="AB1257" t="str">
        <f>IF(Table2[[#This Row],[TotalWorkingYears]]&lt;=5,"Early (0-5)",IF(Table2[[#This Row],[TotalWorkingYears]]&lt;=15,"Mid (6-15)","Senior (16+)"))</f>
        <v>Mid (6-15)</v>
      </c>
      <c r="AC1257">
        <v>2</v>
      </c>
      <c r="AD1257">
        <v>2</v>
      </c>
      <c r="AE1257" t="s">
        <v>63</v>
      </c>
      <c r="AF1257">
        <v>0</v>
      </c>
      <c r="AG1257">
        <v>0</v>
      </c>
      <c r="AH1257">
        <v>0</v>
      </c>
    </row>
    <row r="1258" spans="1:34" x14ac:dyDescent="0.3">
      <c r="A1258" t="s">
        <v>57</v>
      </c>
      <c r="B1258">
        <v>0</v>
      </c>
      <c r="C1258" t="s">
        <v>39</v>
      </c>
      <c r="D1258">
        <v>594</v>
      </c>
      <c r="E1258" t="s">
        <v>40</v>
      </c>
      <c r="F1258">
        <v>2</v>
      </c>
      <c r="G1258" t="str">
        <f>IF(Table2[[#This Row],[DistanceFromHome]]&lt;=5, "short", IF(Table2[[#This Row],[DistanceFromHome]]&lt;=15, "medium", "long"))</f>
        <v>short</v>
      </c>
      <c r="H1258">
        <v>2</v>
      </c>
      <c r="I1258" t="s">
        <v>46</v>
      </c>
      <c r="J1258">
        <v>1760</v>
      </c>
      <c r="K1258">
        <v>3</v>
      </c>
      <c r="L1258" t="s">
        <v>35</v>
      </c>
      <c r="M1258">
        <v>75</v>
      </c>
      <c r="N1258">
        <v>2</v>
      </c>
      <c r="O1258">
        <v>1</v>
      </c>
      <c r="P1258" t="s">
        <v>45</v>
      </c>
      <c r="Q1258">
        <v>2</v>
      </c>
      <c r="R1258" t="s">
        <v>43</v>
      </c>
      <c r="S1258">
        <v>2468</v>
      </c>
      <c r="T1258">
        <v>15963</v>
      </c>
      <c r="U1258">
        <v>4</v>
      </c>
      <c r="V1258" t="s">
        <v>38</v>
      </c>
      <c r="W1258">
        <v>14</v>
      </c>
      <c r="X1258">
        <v>3</v>
      </c>
      <c r="Y1258">
        <v>2</v>
      </c>
      <c r="Z1258">
        <v>1</v>
      </c>
      <c r="AA1258">
        <v>9</v>
      </c>
      <c r="AB1258" t="str">
        <f>IF(Table2[[#This Row],[TotalWorkingYears]]&lt;=5,"Early (0-5)",IF(Table2[[#This Row],[TotalWorkingYears]]&lt;=15,"Mid (6-15)","Senior (16+)"))</f>
        <v>Mid (6-15)</v>
      </c>
      <c r="AC1258">
        <v>4</v>
      </c>
      <c r="AD1258">
        <v>2</v>
      </c>
      <c r="AE1258" t="s">
        <v>62</v>
      </c>
      <c r="AF1258">
        <v>1</v>
      </c>
      <c r="AG1258">
        <v>0</v>
      </c>
      <c r="AH1258">
        <v>5</v>
      </c>
    </row>
    <row r="1259" spans="1:34" x14ac:dyDescent="0.3">
      <c r="A1259" t="s">
        <v>59</v>
      </c>
      <c r="B1259">
        <v>1</v>
      </c>
      <c r="C1259" t="s">
        <v>32</v>
      </c>
      <c r="D1259">
        <v>1079</v>
      </c>
      <c r="E1259" t="s">
        <v>33</v>
      </c>
      <c r="F1259">
        <v>16</v>
      </c>
      <c r="G1259" t="str">
        <f>IF(Table2[[#This Row],[DistanceFromHome]]&lt;=5, "short", IF(Table2[[#This Row],[DistanceFromHome]]&lt;=15, "medium", "long"))</f>
        <v>long</v>
      </c>
      <c r="H1259">
        <v>4</v>
      </c>
      <c r="I1259" t="s">
        <v>54</v>
      </c>
      <c r="J1259">
        <v>1761</v>
      </c>
      <c r="K1259">
        <v>1</v>
      </c>
      <c r="L1259" t="s">
        <v>41</v>
      </c>
      <c r="M1259">
        <v>70</v>
      </c>
      <c r="N1259">
        <v>3</v>
      </c>
      <c r="O1259">
        <v>3</v>
      </c>
      <c r="P1259" t="s">
        <v>36</v>
      </c>
      <c r="Q1259">
        <v>3</v>
      </c>
      <c r="R1259" t="s">
        <v>43</v>
      </c>
      <c r="S1259">
        <v>8161</v>
      </c>
      <c r="T1259">
        <v>19002</v>
      </c>
      <c r="U1259">
        <v>2</v>
      </c>
      <c r="V1259" t="s">
        <v>38</v>
      </c>
      <c r="W1259">
        <v>13</v>
      </c>
      <c r="X1259">
        <v>3</v>
      </c>
      <c r="Y1259">
        <v>1</v>
      </c>
      <c r="Z1259">
        <v>3</v>
      </c>
      <c r="AA1259">
        <v>10</v>
      </c>
      <c r="AB1259" t="str">
        <f>IF(Table2[[#This Row],[TotalWorkingYears]]&lt;=5,"Early (0-5)",IF(Table2[[#This Row],[TotalWorkingYears]]&lt;=15,"Mid (6-15)","Senior (16+)"))</f>
        <v>Mid (6-15)</v>
      </c>
      <c r="AC1259">
        <v>2</v>
      </c>
      <c r="AD1259">
        <v>3</v>
      </c>
      <c r="AE1259" t="s">
        <v>63</v>
      </c>
      <c r="AF1259">
        <v>0</v>
      </c>
      <c r="AG1259">
        <v>0</v>
      </c>
      <c r="AH1259">
        <v>0</v>
      </c>
    </row>
    <row r="1260" spans="1:34" x14ac:dyDescent="0.3">
      <c r="A1260" t="s">
        <v>59</v>
      </c>
      <c r="B1260">
        <v>0</v>
      </c>
      <c r="C1260" t="s">
        <v>32</v>
      </c>
      <c r="D1260">
        <v>590</v>
      </c>
      <c r="E1260" t="s">
        <v>40</v>
      </c>
      <c r="F1260">
        <v>4</v>
      </c>
      <c r="G1260" t="str">
        <f>IF(Table2[[#This Row],[DistanceFromHome]]&lt;=5, "short", IF(Table2[[#This Row],[DistanceFromHome]]&lt;=15, "medium", "long"))</f>
        <v>short</v>
      </c>
      <c r="H1260">
        <v>3</v>
      </c>
      <c r="I1260" t="s">
        <v>55</v>
      </c>
      <c r="J1260">
        <v>1762</v>
      </c>
      <c r="K1260">
        <v>4</v>
      </c>
      <c r="L1260" t="s">
        <v>35</v>
      </c>
      <c r="M1260">
        <v>91</v>
      </c>
      <c r="N1260">
        <v>2</v>
      </c>
      <c r="O1260">
        <v>1</v>
      </c>
      <c r="P1260" t="s">
        <v>42</v>
      </c>
      <c r="Q1260">
        <v>1</v>
      </c>
      <c r="R1260" t="s">
        <v>47</v>
      </c>
      <c r="S1260">
        <v>2109</v>
      </c>
      <c r="T1260">
        <v>10007</v>
      </c>
      <c r="U1260">
        <v>1</v>
      </c>
      <c r="V1260" t="s">
        <v>38</v>
      </c>
      <c r="W1260">
        <v>13</v>
      </c>
      <c r="X1260">
        <v>3</v>
      </c>
      <c r="Y1260">
        <v>3</v>
      </c>
      <c r="Z1260">
        <v>1</v>
      </c>
      <c r="AA1260">
        <v>1</v>
      </c>
      <c r="AB1260" t="str">
        <f>IF(Table2[[#This Row],[TotalWorkingYears]]&lt;=5,"Early (0-5)",IF(Table2[[#This Row],[TotalWorkingYears]]&lt;=15,"Mid (6-15)","Senior (16+)"))</f>
        <v>Early (0-5)</v>
      </c>
      <c r="AC1260">
        <v>2</v>
      </c>
      <c r="AD1260">
        <v>3</v>
      </c>
      <c r="AE1260" t="s">
        <v>63</v>
      </c>
      <c r="AF1260">
        <v>0</v>
      </c>
      <c r="AG1260">
        <v>0</v>
      </c>
      <c r="AH1260">
        <v>0</v>
      </c>
    </row>
    <row r="1261" spans="1:34" x14ac:dyDescent="0.3">
      <c r="A1261" t="s">
        <v>59</v>
      </c>
      <c r="B1261">
        <v>0</v>
      </c>
      <c r="C1261" t="s">
        <v>32</v>
      </c>
      <c r="D1261">
        <v>305</v>
      </c>
      <c r="E1261" t="s">
        <v>40</v>
      </c>
      <c r="F1261">
        <v>16</v>
      </c>
      <c r="G1261" t="str">
        <f>IF(Table2[[#This Row],[DistanceFromHome]]&lt;=5, "short", IF(Table2[[#This Row],[DistanceFromHome]]&lt;=15, "medium", "long"))</f>
        <v>long</v>
      </c>
      <c r="H1261">
        <v>3</v>
      </c>
      <c r="I1261" t="s">
        <v>34</v>
      </c>
      <c r="J1261">
        <v>1763</v>
      </c>
      <c r="K1261">
        <v>3</v>
      </c>
      <c r="L1261" t="s">
        <v>41</v>
      </c>
      <c r="M1261">
        <v>58</v>
      </c>
      <c r="N1261">
        <v>4</v>
      </c>
      <c r="O1261">
        <v>2</v>
      </c>
      <c r="P1261" t="s">
        <v>49</v>
      </c>
      <c r="Q1261">
        <v>3</v>
      </c>
      <c r="R1261" t="s">
        <v>43</v>
      </c>
      <c r="S1261">
        <v>5294</v>
      </c>
      <c r="T1261">
        <v>9128</v>
      </c>
      <c r="U1261">
        <v>3</v>
      </c>
      <c r="V1261" t="s">
        <v>38</v>
      </c>
      <c r="W1261">
        <v>16</v>
      </c>
      <c r="X1261">
        <v>3</v>
      </c>
      <c r="Y1261">
        <v>3</v>
      </c>
      <c r="Z1261">
        <v>1</v>
      </c>
      <c r="AA1261">
        <v>10</v>
      </c>
      <c r="AB1261" t="str">
        <f>IF(Table2[[#This Row],[TotalWorkingYears]]&lt;=5,"Early (0-5)",IF(Table2[[#This Row],[TotalWorkingYears]]&lt;=15,"Mid (6-15)","Senior (16+)"))</f>
        <v>Mid (6-15)</v>
      </c>
      <c r="AC1261">
        <v>3</v>
      </c>
      <c r="AD1261">
        <v>3</v>
      </c>
      <c r="AE1261" t="s">
        <v>62</v>
      </c>
      <c r="AF1261">
        <v>0</v>
      </c>
      <c r="AG1261">
        <v>1</v>
      </c>
      <c r="AH1261">
        <v>7</v>
      </c>
    </row>
    <row r="1262" spans="1:34" x14ac:dyDescent="0.3">
      <c r="A1262" t="s">
        <v>59</v>
      </c>
      <c r="B1262">
        <v>0</v>
      </c>
      <c r="C1262" t="s">
        <v>50</v>
      </c>
      <c r="D1262">
        <v>953</v>
      </c>
      <c r="E1262" t="s">
        <v>40</v>
      </c>
      <c r="F1262">
        <v>5</v>
      </c>
      <c r="G1262" t="str">
        <f>IF(Table2[[#This Row],[DistanceFromHome]]&lt;=5, "short", IF(Table2[[#This Row],[DistanceFromHome]]&lt;=15, "medium", "long"))</f>
        <v>short</v>
      </c>
      <c r="H1262">
        <v>4</v>
      </c>
      <c r="I1262" t="s">
        <v>55</v>
      </c>
      <c r="J1262">
        <v>1764</v>
      </c>
      <c r="K1262">
        <v>2</v>
      </c>
      <c r="L1262" t="s">
        <v>41</v>
      </c>
      <c r="M1262">
        <v>65</v>
      </c>
      <c r="N1262">
        <v>3</v>
      </c>
      <c r="O1262">
        <v>1</v>
      </c>
      <c r="P1262" t="s">
        <v>42</v>
      </c>
      <c r="Q1262">
        <v>2</v>
      </c>
      <c r="R1262" t="s">
        <v>37</v>
      </c>
      <c r="S1262">
        <v>2718</v>
      </c>
      <c r="T1262">
        <v>17674</v>
      </c>
      <c r="U1262">
        <v>2</v>
      </c>
      <c r="V1262" t="s">
        <v>38</v>
      </c>
      <c r="W1262">
        <v>14</v>
      </c>
      <c r="X1262">
        <v>3</v>
      </c>
      <c r="Y1262">
        <v>2</v>
      </c>
      <c r="Z1262">
        <v>0</v>
      </c>
      <c r="AA1262">
        <v>12</v>
      </c>
      <c r="AB1262" t="str">
        <f>IF(Table2[[#This Row],[TotalWorkingYears]]&lt;=5,"Early (0-5)",IF(Table2[[#This Row],[TotalWorkingYears]]&lt;=15,"Mid (6-15)","Senior (16+)"))</f>
        <v>Mid (6-15)</v>
      </c>
      <c r="AC1262">
        <v>3</v>
      </c>
      <c r="AD1262">
        <v>3</v>
      </c>
      <c r="AE1262" t="s">
        <v>62</v>
      </c>
      <c r="AF1262">
        <v>7</v>
      </c>
      <c r="AG1262">
        <v>0</v>
      </c>
      <c r="AH1262">
        <v>7</v>
      </c>
    </row>
    <row r="1263" spans="1:34" x14ac:dyDescent="0.3">
      <c r="A1263" t="s">
        <v>57</v>
      </c>
      <c r="B1263">
        <v>0</v>
      </c>
      <c r="C1263" t="s">
        <v>32</v>
      </c>
      <c r="D1263">
        <v>833</v>
      </c>
      <c r="E1263" t="s">
        <v>40</v>
      </c>
      <c r="F1263">
        <v>18</v>
      </c>
      <c r="G1263" t="str">
        <f>IF(Table2[[#This Row],[DistanceFromHome]]&lt;=5, "short", IF(Table2[[#This Row],[DistanceFromHome]]&lt;=15, "medium", "long"))</f>
        <v>long</v>
      </c>
      <c r="H1263">
        <v>3</v>
      </c>
      <c r="I1263" t="s">
        <v>46</v>
      </c>
      <c r="J1263">
        <v>1766</v>
      </c>
      <c r="K1263">
        <v>2</v>
      </c>
      <c r="L1263" t="s">
        <v>41</v>
      </c>
      <c r="M1263">
        <v>60</v>
      </c>
      <c r="N1263">
        <v>1</v>
      </c>
      <c r="O1263">
        <v>2</v>
      </c>
      <c r="P1263" t="s">
        <v>49</v>
      </c>
      <c r="Q1263">
        <v>4</v>
      </c>
      <c r="R1263" t="s">
        <v>43</v>
      </c>
      <c r="S1263">
        <v>5811</v>
      </c>
      <c r="T1263">
        <v>24539</v>
      </c>
      <c r="U1263">
        <v>3</v>
      </c>
      <c r="V1263" t="s">
        <v>31</v>
      </c>
      <c r="W1263">
        <v>16</v>
      </c>
      <c r="X1263">
        <v>3</v>
      </c>
      <c r="Y1263">
        <v>3</v>
      </c>
      <c r="Z1263">
        <v>1</v>
      </c>
      <c r="AA1263">
        <v>15</v>
      </c>
      <c r="AB1263" t="str">
        <f>IF(Table2[[#This Row],[TotalWorkingYears]]&lt;=5,"Early (0-5)",IF(Table2[[#This Row],[TotalWorkingYears]]&lt;=15,"Mid (6-15)","Senior (16+)"))</f>
        <v>Mid (6-15)</v>
      </c>
      <c r="AC1263">
        <v>2</v>
      </c>
      <c r="AD1263">
        <v>3</v>
      </c>
      <c r="AE1263" t="s">
        <v>63</v>
      </c>
      <c r="AF1263">
        <v>0</v>
      </c>
      <c r="AG1263">
        <v>1</v>
      </c>
      <c r="AH1263">
        <v>0</v>
      </c>
    </row>
    <row r="1264" spans="1:34" x14ac:dyDescent="0.3">
      <c r="A1264" t="s">
        <v>57</v>
      </c>
      <c r="B1264">
        <v>1</v>
      </c>
      <c r="C1264" t="s">
        <v>39</v>
      </c>
      <c r="D1264">
        <v>807</v>
      </c>
      <c r="E1264" t="s">
        <v>40</v>
      </c>
      <c r="F1264">
        <v>17</v>
      </c>
      <c r="G1264" t="str">
        <f>IF(Table2[[#This Row],[DistanceFromHome]]&lt;=5, "short", IF(Table2[[#This Row],[DistanceFromHome]]&lt;=15, "medium", "long"))</f>
        <v>long</v>
      </c>
      <c r="H1264">
        <v>3</v>
      </c>
      <c r="I1264" t="s">
        <v>55</v>
      </c>
      <c r="J1264">
        <v>1767</v>
      </c>
      <c r="K1264">
        <v>3</v>
      </c>
      <c r="L1264" t="s">
        <v>41</v>
      </c>
      <c r="M1264">
        <v>38</v>
      </c>
      <c r="N1264">
        <v>2</v>
      </c>
      <c r="O1264">
        <v>1</v>
      </c>
      <c r="P1264" t="s">
        <v>42</v>
      </c>
      <c r="Q1264">
        <v>3</v>
      </c>
      <c r="R1264" t="s">
        <v>43</v>
      </c>
      <c r="S1264">
        <v>2437</v>
      </c>
      <c r="T1264">
        <v>15587</v>
      </c>
      <c r="U1264">
        <v>9</v>
      </c>
      <c r="V1264" t="s">
        <v>31</v>
      </c>
      <c r="W1264">
        <v>16</v>
      </c>
      <c r="X1264">
        <v>3</v>
      </c>
      <c r="Y1264">
        <v>4</v>
      </c>
      <c r="Z1264">
        <v>1</v>
      </c>
      <c r="AA1264">
        <v>6</v>
      </c>
      <c r="AB1264" t="str">
        <f>IF(Table2[[#This Row],[TotalWorkingYears]]&lt;=5,"Early (0-5)",IF(Table2[[#This Row],[TotalWorkingYears]]&lt;=15,"Mid (6-15)","Senior (16+)"))</f>
        <v>Mid (6-15)</v>
      </c>
      <c r="AC1264">
        <v>4</v>
      </c>
      <c r="AD1264">
        <v>3</v>
      </c>
      <c r="AE1264" t="s">
        <v>63</v>
      </c>
      <c r="AF1264">
        <v>0</v>
      </c>
      <c r="AG1264">
        <v>0</v>
      </c>
      <c r="AH1264">
        <v>0</v>
      </c>
    </row>
    <row r="1265" spans="1:34" x14ac:dyDescent="0.3">
      <c r="A1265" t="s">
        <v>57</v>
      </c>
      <c r="B1265">
        <v>0</v>
      </c>
      <c r="C1265" t="s">
        <v>32</v>
      </c>
      <c r="D1265">
        <v>855</v>
      </c>
      <c r="E1265" t="s">
        <v>40</v>
      </c>
      <c r="F1265">
        <v>12</v>
      </c>
      <c r="G1265" t="str">
        <f>IF(Table2[[#This Row],[DistanceFromHome]]&lt;=5, "short", IF(Table2[[#This Row],[DistanceFromHome]]&lt;=15, "medium", "long"))</f>
        <v>medium</v>
      </c>
      <c r="H1265">
        <v>3</v>
      </c>
      <c r="I1265" t="s">
        <v>46</v>
      </c>
      <c r="J1265">
        <v>1768</v>
      </c>
      <c r="K1265">
        <v>2</v>
      </c>
      <c r="L1265" t="s">
        <v>41</v>
      </c>
      <c r="M1265">
        <v>57</v>
      </c>
      <c r="N1265">
        <v>3</v>
      </c>
      <c r="O1265">
        <v>1</v>
      </c>
      <c r="P1265" t="s">
        <v>45</v>
      </c>
      <c r="Q1265">
        <v>2</v>
      </c>
      <c r="R1265" t="s">
        <v>47</v>
      </c>
      <c r="S1265">
        <v>2766</v>
      </c>
      <c r="T1265">
        <v>8952</v>
      </c>
      <c r="U1265">
        <v>8</v>
      </c>
      <c r="V1265" t="s">
        <v>38</v>
      </c>
      <c r="W1265">
        <v>22</v>
      </c>
      <c r="X1265">
        <v>4</v>
      </c>
      <c r="Y1265">
        <v>2</v>
      </c>
      <c r="Z1265">
        <v>3</v>
      </c>
      <c r="AA1265">
        <v>7</v>
      </c>
      <c r="AB1265" t="str">
        <f>IF(Table2[[#This Row],[TotalWorkingYears]]&lt;=5,"Early (0-5)",IF(Table2[[#This Row],[TotalWorkingYears]]&lt;=15,"Mid (6-15)","Senior (16+)"))</f>
        <v>Mid (6-15)</v>
      </c>
      <c r="AC1265">
        <v>6</v>
      </c>
      <c r="AD1265">
        <v>2</v>
      </c>
      <c r="AE1265" t="s">
        <v>64</v>
      </c>
      <c r="AF1265">
        <v>3</v>
      </c>
      <c r="AG1265">
        <v>0</v>
      </c>
      <c r="AH1265">
        <v>4</v>
      </c>
    </row>
    <row r="1266" spans="1:34" x14ac:dyDescent="0.3">
      <c r="A1266" t="s">
        <v>58</v>
      </c>
      <c r="B1266">
        <v>0</v>
      </c>
      <c r="C1266" t="s">
        <v>32</v>
      </c>
      <c r="D1266">
        <v>478</v>
      </c>
      <c r="E1266" t="s">
        <v>40</v>
      </c>
      <c r="F1266">
        <v>2</v>
      </c>
      <c r="G1266" t="str">
        <f>IF(Table2[[#This Row],[DistanceFromHome]]&lt;=5, "short", IF(Table2[[#This Row],[DistanceFromHome]]&lt;=15, "medium", "long"))</f>
        <v>short</v>
      </c>
      <c r="H1266">
        <v>3</v>
      </c>
      <c r="I1266" t="s">
        <v>46</v>
      </c>
      <c r="J1266">
        <v>1770</v>
      </c>
      <c r="K1266">
        <v>3</v>
      </c>
      <c r="L1266" t="s">
        <v>41</v>
      </c>
      <c r="M1266">
        <v>60</v>
      </c>
      <c r="N1266">
        <v>2</v>
      </c>
      <c r="O1266">
        <v>5</v>
      </c>
      <c r="P1266" t="s">
        <v>53</v>
      </c>
      <c r="Q1266">
        <v>1</v>
      </c>
      <c r="R1266" t="s">
        <v>43</v>
      </c>
      <c r="S1266">
        <v>19038</v>
      </c>
      <c r="T1266">
        <v>19805</v>
      </c>
      <c r="U1266">
        <v>8</v>
      </c>
      <c r="V1266" t="s">
        <v>38</v>
      </c>
      <c r="W1266">
        <v>12</v>
      </c>
      <c r="X1266">
        <v>3</v>
      </c>
      <c r="Y1266">
        <v>2</v>
      </c>
      <c r="Z1266">
        <v>3</v>
      </c>
      <c r="AA1266">
        <v>34</v>
      </c>
      <c r="AB1266" t="str">
        <f>IF(Table2[[#This Row],[TotalWorkingYears]]&lt;=5,"Early (0-5)",IF(Table2[[#This Row],[TotalWorkingYears]]&lt;=15,"Mid (6-15)","Senior (16+)"))</f>
        <v>Senior (16+)</v>
      </c>
      <c r="AC1266">
        <v>2</v>
      </c>
      <c r="AD1266">
        <v>3</v>
      </c>
      <c r="AE1266" t="s">
        <v>63</v>
      </c>
      <c r="AF1266">
        <v>0</v>
      </c>
      <c r="AG1266">
        <v>0</v>
      </c>
      <c r="AH1266">
        <v>0</v>
      </c>
    </row>
    <row r="1267" spans="1:34" x14ac:dyDescent="0.3">
      <c r="A1267" t="s">
        <v>59</v>
      </c>
      <c r="B1267">
        <v>0</v>
      </c>
      <c r="C1267" t="s">
        <v>50</v>
      </c>
      <c r="D1267">
        <v>775</v>
      </c>
      <c r="E1267" t="s">
        <v>40</v>
      </c>
      <c r="F1267">
        <v>4</v>
      </c>
      <c r="G1267" t="str">
        <f>IF(Table2[[#This Row],[DistanceFromHome]]&lt;=5, "short", IF(Table2[[#This Row],[DistanceFromHome]]&lt;=15, "medium", "long"))</f>
        <v>short</v>
      </c>
      <c r="H1267">
        <v>3</v>
      </c>
      <c r="I1267" t="s">
        <v>55</v>
      </c>
      <c r="J1267">
        <v>1771</v>
      </c>
      <c r="K1267">
        <v>4</v>
      </c>
      <c r="L1267" t="s">
        <v>41</v>
      </c>
      <c r="M1267">
        <v>90</v>
      </c>
      <c r="N1267">
        <v>3</v>
      </c>
      <c r="O1267">
        <v>2</v>
      </c>
      <c r="P1267" t="s">
        <v>42</v>
      </c>
      <c r="Q1267">
        <v>2</v>
      </c>
      <c r="R1267" t="s">
        <v>47</v>
      </c>
      <c r="S1267">
        <v>3055</v>
      </c>
      <c r="T1267">
        <v>6194</v>
      </c>
      <c r="U1267">
        <v>5</v>
      </c>
      <c r="V1267" t="s">
        <v>38</v>
      </c>
      <c r="W1267">
        <v>15</v>
      </c>
      <c r="X1267">
        <v>3</v>
      </c>
      <c r="Y1267">
        <v>4</v>
      </c>
      <c r="Z1267">
        <v>2</v>
      </c>
      <c r="AA1267">
        <v>11</v>
      </c>
      <c r="AB1267" t="str">
        <f>IF(Table2[[#This Row],[TotalWorkingYears]]&lt;=5,"Early (0-5)",IF(Table2[[#This Row],[TotalWorkingYears]]&lt;=15,"Mid (6-15)","Senior (16+)"))</f>
        <v>Mid (6-15)</v>
      </c>
      <c r="AC1267">
        <v>2</v>
      </c>
      <c r="AD1267">
        <v>2</v>
      </c>
      <c r="AE1267" t="s">
        <v>62</v>
      </c>
      <c r="AF1267">
        <v>8</v>
      </c>
      <c r="AG1267">
        <v>1</v>
      </c>
      <c r="AH1267">
        <v>7</v>
      </c>
    </row>
    <row r="1268" spans="1:34" x14ac:dyDescent="0.3">
      <c r="A1268" t="s">
        <v>57</v>
      </c>
      <c r="B1268">
        <v>0</v>
      </c>
      <c r="C1268" t="s">
        <v>32</v>
      </c>
      <c r="D1268">
        <v>548</v>
      </c>
      <c r="E1268" t="s">
        <v>40</v>
      </c>
      <c r="F1268">
        <v>9</v>
      </c>
      <c r="G1268" t="str">
        <f>IF(Table2[[#This Row],[DistanceFromHome]]&lt;=5, "short", IF(Table2[[#This Row],[DistanceFromHome]]&lt;=15, "medium", "long"))</f>
        <v>medium</v>
      </c>
      <c r="H1268">
        <v>4</v>
      </c>
      <c r="I1268" t="s">
        <v>34</v>
      </c>
      <c r="J1268">
        <v>1772</v>
      </c>
      <c r="K1268">
        <v>3</v>
      </c>
      <c r="L1268" t="s">
        <v>41</v>
      </c>
      <c r="M1268">
        <v>94</v>
      </c>
      <c r="N1268">
        <v>3</v>
      </c>
      <c r="O1268">
        <v>1</v>
      </c>
      <c r="P1268" t="s">
        <v>45</v>
      </c>
      <c r="Q1268">
        <v>1</v>
      </c>
      <c r="R1268" t="s">
        <v>47</v>
      </c>
      <c r="S1268">
        <v>2289</v>
      </c>
      <c r="T1268">
        <v>20520</v>
      </c>
      <c r="U1268">
        <v>1</v>
      </c>
      <c r="V1268" t="s">
        <v>38</v>
      </c>
      <c r="W1268">
        <v>20</v>
      </c>
      <c r="X1268">
        <v>4</v>
      </c>
      <c r="Y1268">
        <v>2</v>
      </c>
      <c r="Z1268">
        <v>2</v>
      </c>
      <c r="AA1268">
        <v>5</v>
      </c>
      <c r="AB1268" t="str">
        <f>IF(Table2[[#This Row],[TotalWorkingYears]]&lt;=5,"Early (0-5)",IF(Table2[[#This Row],[TotalWorkingYears]]&lt;=15,"Mid (6-15)","Senior (16+)"))</f>
        <v>Early (0-5)</v>
      </c>
      <c r="AC1268">
        <v>2</v>
      </c>
      <c r="AD1268">
        <v>3</v>
      </c>
      <c r="AE1268" t="s">
        <v>64</v>
      </c>
      <c r="AF1268">
        <v>3</v>
      </c>
      <c r="AG1268">
        <v>0</v>
      </c>
      <c r="AH1268">
        <v>4</v>
      </c>
    </row>
    <row r="1269" spans="1:34" x14ac:dyDescent="0.3">
      <c r="A1269" t="s">
        <v>59</v>
      </c>
      <c r="B1269">
        <v>0</v>
      </c>
      <c r="C1269" t="s">
        <v>50</v>
      </c>
      <c r="D1269">
        <v>1375</v>
      </c>
      <c r="E1269" t="s">
        <v>33</v>
      </c>
      <c r="F1269">
        <v>10</v>
      </c>
      <c r="G1269" t="str">
        <f>IF(Table2[[#This Row],[DistanceFromHome]]&lt;=5, "short", IF(Table2[[#This Row],[DistanceFromHome]]&lt;=15, "medium", "long"))</f>
        <v>medium</v>
      </c>
      <c r="H1269">
        <v>3</v>
      </c>
      <c r="I1269" t="s">
        <v>34</v>
      </c>
      <c r="J1269">
        <v>1774</v>
      </c>
      <c r="K1269">
        <v>4</v>
      </c>
      <c r="L1269" t="s">
        <v>41</v>
      </c>
      <c r="M1269">
        <v>87</v>
      </c>
      <c r="N1269">
        <v>3</v>
      </c>
      <c r="O1269">
        <v>2</v>
      </c>
      <c r="P1269" t="s">
        <v>36</v>
      </c>
      <c r="Q1269">
        <v>3</v>
      </c>
      <c r="R1269" t="s">
        <v>47</v>
      </c>
      <c r="S1269">
        <v>4001</v>
      </c>
      <c r="T1269">
        <v>12313</v>
      </c>
      <c r="U1269">
        <v>1</v>
      </c>
      <c r="V1269" t="s">
        <v>31</v>
      </c>
      <c r="W1269">
        <v>14</v>
      </c>
      <c r="X1269">
        <v>3</v>
      </c>
      <c r="Y1269">
        <v>3</v>
      </c>
      <c r="Z1269">
        <v>1</v>
      </c>
      <c r="AA1269">
        <v>15</v>
      </c>
      <c r="AB1269" t="str">
        <f>IF(Table2[[#This Row],[TotalWorkingYears]]&lt;=5,"Early (0-5)",IF(Table2[[#This Row],[TotalWorkingYears]]&lt;=15,"Mid (6-15)","Senior (16+)"))</f>
        <v>Mid (6-15)</v>
      </c>
      <c r="AC1269">
        <v>3</v>
      </c>
      <c r="AD1269">
        <v>3</v>
      </c>
      <c r="AE1269" t="s">
        <v>65</v>
      </c>
      <c r="AF1269">
        <v>14</v>
      </c>
      <c r="AG1269">
        <v>0</v>
      </c>
      <c r="AH1269">
        <v>7</v>
      </c>
    </row>
    <row r="1270" spans="1:34" x14ac:dyDescent="0.3">
      <c r="A1270" t="s">
        <v>58</v>
      </c>
      <c r="B1270">
        <v>0</v>
      </c>
      <c r="C1270" t="s">
        <v>50</v>
      </c>
      <c r="D1270">
        <v>661</v>
      </c>
      <c r="E1270" t="s">
        <v>40</v>
      </c>
      <c r="F1270">
        <v>1</v>
      </c>
      <c r="G1270" t="str">
        <f>IF(Table2[[#This Row],[DistanceFromHome]]&lt;=5, "short", IF(Table2[[#This Row],[DistanceFromHome]]&lt;=15, "medium", "long"))</f>
        <v>short</v>
      </c>
      <c r="H1270">
        <v>4</v>
      </c>
      <c r="I1270" t="s">
        <v>46</v>
      </c>
      <c r="J1270">
        <v>1775</v>
      </c>
      <c r="K1270">
        <v>1</v>
      </c>
      <c r="L1270" t="s">
        <v>35</v>
      </c>
      <c r="M1270">
        <v>60</v>
      </c>
      <c r="N1270">
        <v>2</v>
      </c>
      <c r="O1270">
        <v>4</v>
      </c>
      <c r="P1270" t="s">
        <v>48</v>
      </c>
      <c r="Q1270">
        <v>3</v>
      </c>
      <c r="R1270" t="s">
        <v>43</v>
      </c>
      <c r="S1270">
        <v>12965</v>
      </c>
      <c r="T1270">
        <v>22308</v>
      </c>
      <c r="U1270">
        <v>4</v>
      </c>
      <c r="V1270" t="s">
        <v>31</v>
      </c>
      <c r="W1270">
        <v>20</v>
      </c>
      <c r="X1270">
        <v>4</v>
      </c>
      <c r="Y1270">
        <v>4</v>
      </c>
      <c r="Z1270">
        <v>3</v>
      </c>
      <c r="AA1270">
        <v>27</v>
      </c>
      <c r="AB1270" t="str">
        <f>IF(Table2[[#This Row],[TotalWorkingYears]]&lt;=5,"Early (0-5)",IF(Table2[[#This Row],[TotalWorkingYears]]&lt;=15,"Mid (6-15)","Senior (16+)"))</f>
        <v>Senior (16+)</v>
      </c>
      <c r="AC1270">
        <v>2</v>
      </c>
      <c r="AD1270">
        <v>2</v>
      </c>
      <c r="AE1270" t="s">
        <v>64</v>
      </c>
      <c r="AF1270">
        <v>2</v>
      </c>
      <c r="AG1270">
        <v>0</v>
      </c>
      <c r="AH1270">
        <v>2</v>
      </c>
    </row>
    <row r="1271" spans="1:34" x14ac:dyDescent="0.3">
      <c r="A1271" t="s">
        <v>57</v>
      </c>
      <c r="B1271">
        <v>0</v>
      </c>
      <c r="C1271" t="s">
        <v>32</v>
      </c>
      <c r="D1271">
        <v>244</v>
      </c>
      <c r="E1271" t="s">
        <v>56</v>
      </c>
      <c r="F1271">
        <v>2</v>
      </c>
      <c r="G1271" t="str">
        <f>IF(Table2[[#This Row],[DistanceFromHome]]&lt;=5, "short", IF(Table2[[#This Row],[DistanceFromHome]]&lt;=15, "medium", "long"))</f>
        <v>short</v>
      </c>
      <c r="H1271">
        <v>3</v>
      </c>
      <c r="I1271" t="s">
        <v>34</v>
      </c>
      <c r="J1271">
        <v>1778</v>
      </c>
      <c r="K1271">
        <v>2</v>
      </c>
      <c r="L1271" t="s">
        <v>41</v>
      </c>
      <c r="M1271">
        <v>97</v>
      </c>
      <c r="N1271">
        <v>3</v>
      </c>
      <c r="O1271">
        <v>1</v>
      </c>
      <c r="P1271" t="s">
        <v>56</v>
      </c>
      <c r="Q1271">
        <v>4</v>
      </c>
      <c r="R1271" t="s">
        <v>37</v>
      </c>
      <c r="S1271">
        <v>3539</v>
      </c>
      <c r="T1271">
        <v>5033</v>
      </c>
      <c r="U1271">
        <v>0</v>
      </c>
      <c r="V1271" t="s">
        <v>38</v>
      </c>
      <c r="W1271">
        <v>13</v>
      </c>
      <c r="X1271">
        <v>3</v>
      </c>
      <c r="Y1271">
        <v>2</v>
      </c>
      <c r="Z1271">
        <v>0</v>
      </c>
      <c r="AA1271">
        <v>10</v>
      </c>
      <c r="AB1271" t="str">
        <f>IF(Table2[[#This Row],[TotalWorkingYears]]&lt;=5,"Early (0-5)",IF(Table2[[#This Row],[TotalWorkingYears]]&lt;=15,"Mid (6-15)","Senior (16+)"))</f>
        <v>Mid (6-15)</v>
      </c>
      <c r="AC1271">
        <v>5</v>
      </c>
      <c r="AD1271">
        <v>3</v>
      </c>
      <c r="AE1271" t="s">
        <v>62</v>
      </c>
      <c r="AF1271">
        <v>7</v>
      </c>
      <c r="AG1271">
        <v>1</v>
      </c>
      <c r="AH1271">
        <v>8</v>
      </c>
    </row>
    <row r="1272" spans="1:34" x14ac:dyDescent="0.3">
      <c r="A1272" t="s">
        <v>59</v>
      </c>
      <c r="B1272">
        <v>0</v>
      </c>
      <c r="C1272" t="s">
        <v>32</v>
      </c>
      <c r="D1272">
        <v>511</v>
      </c>
      <c r="E1272" t="s">
        <v>33</v>
      </c>
      <c r="F1272">
        <v>3</v>
      </c>
      <c r="G1272" t="str">
        <f>IF(Table2[[#This Row],[DistanceFromHome]]&lt;=5, "short", IF(Table2[[#This Row],[DistanceFromHome]]&lt;=15, "medium", "long"))</f>
        <v>short</v>
      </c>
      <c r="H1272">
        <v>2</v>
      </c>
      <c r="I1272" t="s">
        <v>34</v>
      </c>
      <c r="J1272">
        <v>1779</v>
      </c>
      <c r="K1272">
        <v>4</v>
      </c>
      <c r="L1272" t="s">
        <v>35</v>
      </c>
      <c r="M1272">
        <v>32</v>
      </c>
      <c r="N1272">
        <v>1</v>
      </c>
      <c r="O1272">
        <v>2</v>
      </c>
      <c r="P1272" t="s">
        <v>36</v>
      </c>
      <c r="Q1272">
        <v>4</v>
      </c>
      <c r="R1272" t="s">
        <v>37</v>
      </c>
      <c r="S1272">
        <v>6029</v>
      </c>
      <c r="T1272">
        <v>25353</v>
      </c>
      <c r="U1272">
        <v>5</v>
      </c>
      <c r="V1272" t="s">
        <v>38</v>
      </c>
      <c r="W1272">
        <v>12</v>
      </c>
      <c r="X1272">
        <v>3</v>
      </c>
      <c r="Y1272">
        <v>1</v>
      </c>
      <c r="Z1272">
        <v>0</v>
      </c>
      <c r="AA1272">
        <v>6</v>
      </c>
      <c r="AB1272" t="str">
        <f>IF(Table2[[#This Row],[TotalWorkingYears]]&lt;=5,"Early (0-5)",IF(Table2[[#This Row],[TotalWorkingYears]]&lt;=15,"Mid (6-15)","Senior (16+)"))</f>
        <v>Mid (6-15)</v>
      </c>
      <c r="AC1272">
        <v>3</v>
      </c>
      <c r="AD1272">
        <v>3</v>
      </c>
      <c r="AE1272" t="s">
        <v>63</v>
      </c>
      <c r="AF1272">
        <v>2</v>
      </c>
      <c r="AG1272">
        <v>2</v>
      </c>
      <c r="AH1272">
        <v>2</v>
      </c>
    </row>
    <row r="1273" spans="1:34" x14ac:dyDescent="0.3">
      <c r="A1273" t="s">
        <v>60</v>
      </c>
      <c r="B1273">
        <v>1</v>
      </c>
      <c r="C1273" t="s">
        <v>32</v>
      </c>
      <c r="D1273">
        <v>337</v>
      </c>
      <c r="E1273" t="s">
        <v>33</v>
      </c>
      <c r="F1273">
        <v>7</v>
      </c>
      <c r="G1273" t="str">
        <f>IF(Table2[[#This Row],[DistanceFromHome]]&lt;=5, "short", IF(Table2[[#This Row],[DistanceFromHome]]&lt;=15, "medium", "long"))</f>
        <v>medium</v>
      </c>
      <c r="H1273">
        <v>1</v>
      </c>
      <c r="I1273" t="s">
        <v>54</v>
      </c>
      <c r="J1273">
        <v>1780</v>
      </c>
      <c r="K1273">
        <v>2</v>
      </c>
      <c r="L1273" t="s">
        <v>41</v>
      </c>
      <c r="M1273">
        <v>31</v>
      </c>
      <c r="N1273">
        <v>3</v>
      </c>
      <c r="O1273">
        <v>1</v>
      </c>
      <c r="P1273" t="s">
        <v>52</v>
      </c>
      <c r="Q1273">
        <v>2</v>
      </c>
      <c r="R1273" t="s">
        <v>37</v>
      </c>
      <c r="S1273">
        <v>2679</v>
      </c>
      <c r="T1273">
        <v>4567</v>
      </c>
      <c r="U1273">
        <v>1</v>
      </c>
      <c r="V1273" t="s">
        <v>38</v>
      </c>
      <c r="W1273">
        <v>13</v>
      </c>
      <c r="X1273">
        <v>3</v>
      </c>
      <c r="Y1273">
        <v>2</v>
      </c>
      <c r="Z1273">
        <v>0</v>
      </c>
      <c r="AA1273">
        <v>1</v>
      </c>
      <c r="AB1273" t="str">
        <f>IF(Table2[[#This Row],[TotalWorkingYears]]&lt;=5,"Early (0-5)",IF(Table2[[#This Row],[TotalWorkingYears]]&lt;=15,"Mid (6-15)","Senior (16+)"))</f>
        <v>Early (0-5)</v>
      </c>
      <c r="AC1273">
        <v>3</v>
      </c>
      <c r="AD1273">
        <v>3</v>
      </c>
      <c r="AE1273" t="s">
        <v>63</v>
      </c>
      <c r="AF1273">
        <v>0</v>
      </c>
      <c r="AG1273">
        <v>1</v>
      </c>
      <c r="AH1273">
        <v>0</v>
      </c>
    </row>
    <row r="1274" spans="1:34" x14ac:dyDescent="0.3">
      <c r="A1274" t="s">
        <v>57</v>
      </c>
      <c r="B1274">
        <v>0</v>
      </c>
      <c r="C1274" t="s">
        <v>32</v>
      </c>
      <c r="D1274">
        <v>1153</v>
      </c>
      <c r="E1274" t="s">
        <v>40</v>
      </c>
      <c r="F1274">
        <v>6</v>
      </c>
      <c r="G1274" t="str">
        <f>IF(Table2[[#This Row],[DistanceFromHome]]&lt;=5, "short", IF(Table2[[#This Row],[DistanceFromHome]]&lt;=15, "medium", "long"))</f>
        <v>medium</v>
      </c>
      <c r="H1274">
        <v>2</v>
      </c>
      <c r="I1274" t="s">
        <v>44</v>
      </c>
      <c r="J1274">
        <v>1782</v>
      </c>
      <c r="K1274">
        <v>4</v>
      </c>
      <c r="L1274" t="s">
        <v>35</v>
      </c>
      <c r="M1274">
        <v>40</v>
      </c>
      <c r="N1274">
        <v>2</v>
      </c>
      <c r="O1274">
        <v>1</v>
      </c>
      <c r="P1274" t="s">
        <v>45</v>
      </c>
      <c r="Q1274">
        <v>3</v>
      </c>
      <c r="R1274" t="s">
        <v>43</v>
      </c>
      <c r="S1274">
        <v>3702</v>
      </c>
      <c r="T1274">
        <v>16376</v>
      </c>
      <c r="U1274">
        <v>1</v>
      </c>
      <c r="V1274" t="s">
        <v>38</v>
      </c>
      <c r="W1274">
        <v>11</v>
      </c>
      <c r="X1274">
        <v>3</v>
      </c>
      <c r="Y1274">
        <v>2</v>
      </c>
      <c r="Z1274">
        <v>1</v>
      </c>
      <c r="AA1274">
        <v>5</v>
      </c>
      <c r="AB1274" t="str">
        <f>IF(Table2[[#This Row],[TotalWorkingYears]]&lt;=5,"Early (0-5)",IF(Table2[[#This Row],[TotalWorkingYears]]&lt;=15,"Mid (6-15)","Senior (16+)"))</f>
        <v>Early (0-5)</v>
      </c>
      <c r="AC1274">
        <v>3</v>
      </c>
      <c r="AD1274">
        <v>3</v>
      </c>
      <c r="AE1274" t="s">
        <v>64</v>
      </c>
      <c r="AF1274">
        <v>4</v>
      </c>
      <c r="AG1274">
        <v>0</v>
      </c>
      <c r="AH1274">
        <v>4</v>
      </c>
    </row>
    <row r="1275" spans="1:34" x14ac:dyDescent="0.3">
      <c r="A1275" t="s">
        <v>60</v>
      </c>
      <c r="B1275">
        <v>1</v>
      </c>
      <c r="C1275" t="s">
        <v>32</v>
      </c>
      <c r="D1275">
        <v>1294</v>
      </c>
      <c r="E1275" t="s">
        <v>40</v>
      </c>
      <c r="F1275">
        <v>8</v>
      </c>
      <c r="G1275" t="str">
        <f>IF(Table2[[#This Row],[DistanceFromHome]]&lt;=5, "short", IF(Table2[[#This Row],[DistanceFromHome]]&lt;=15, "medium", "long"))</f>
        <v>medium</v>
      </c>
      <c r="H1275">
        <v>1</v>
      </c>
      <c r="I1275" t="s">
        <v>46</v>
      </c>
      <c r="J1275">
        <v>1783</v>
      </c>
      <c r="K1275">
        <v>3</v>
      </c>
      <c r="L1275" t="s">
        <v>35</v>
      </c>
      <c r="M1275">
        <v>79</v>
      </c>
      <c r="N1275">
        <v>3</v>
      </c>
      <c r="O1275">
        <v>1</v>
      </c>
      <c r="P1275" t="s">
        <v>45</v>
      </c>
      <c r="Q1275">
        <v>1</v>
      </c>
      <c r="R1275" t="s">
        <v>43</v>
      </c>
      <c r="S1275">
        <v>2398</v>
      </c>
      <c r="T1275">
        <v>15999</v>
      </c>
      <c r="U1275">
        <v>1</v>
      </c>
      <c r="V1275" t="s">
        <v>31</v>
      </c>
      <c r="W1275">
        <v>17</v>
      </c>
      <c r="X1275">
        <v>3</v>
      </c>
      <c r="Y1275">
        <v>3</v>
      </c>
      <c r="Z1275">
        <v>0</v>
      </c>
      <c r="AA1275">
        <v>1</v>
      </c>
      <c r="AB1275" t="str">
        <f>IF(Table2[[#This Row],[TotalWorkingYears]]&lt;=5,"Early (0-5)",IF(Table2[[#This Row],[TotalWorkingYears]]&lt;=15,"Mid (6-15)","Senior (16+)"))</f>
        <v>Early (0-5)</v>
      </c>
      <c r="AC1275">
        <v>6</v>
      </c>
      <c r="AD1275">
        <v>3</v>
      </c>
      <c r="AE1275" t="s">
        <v>63</v>
      </c>
      <c r="AF1275">
        <v>0</v>
      </c>
      <c r="AG1275">
        <v>0</v>
      </c>
      <c r="AH1275">
        <v>0</v>
      </c>
    </row>
    <row r="1276" spans="1:34" x14ac:dyDescent="0.3">
      <c r="A1276" t="s">
        <v>59</v>
      </c>
      <c r="B1276">
        <v>0</v>
      </c>
      <c r="C1276" t="s">
        <v>32</v>
      </c>
      <c r="D1276">
        <v>196</v>
      </c>
      <c r="E1276" t="s">
        <v>33</v>
      </c>
      <c r="F1276">
        <v>29</v>
      </c>
      <c r="G1276" t="str">
        <f>IF(Table2[[#This Row],[DistanceFromHome]]&lt;=5, "short", IF(Table2[[#This Row],[DistanceFromHome]]&lt;=15, "medium", "long"))</f>
        <v>long</v>
      </c>
      <c r="H1276">
        <v>4</v>
      </c>
      <c r="I1276" t="s">
        <v>54</v>
      </c>
      <c r="J1276">
        <v>1784</v>
      </c>
      <c r="K1276">
        <v>1</v>
      </c>
      <c r="L1276" t="s">
        <v>35</v>
      </c>
      <c r="M1276">
        <v>91</v>
      </c>
      <c r="N1276">
        <v>2</v>
      </c>
      <c r="O1276">
        <v>2</v>
      </c>
      <c r="P1276" t="s">
        <v>36</v>
      </c>
      <c r="Q1276">
        <v>4</v>
      </c>
      <c r="R1276" t="s">
        <v>43</v>
      </c>
      <c r="S1276">
        <v>5468</v>
      </c>
      <c r="T1276">
        <v>13402</v>
      </c>
      <c r="U1276">
        <v>1</v>
      </c>
      <c r="V1276" t="s">
        <v>38</v>
      </c>
      <c r="W1276">
        <v>14</v>
      </c>
      <c r="X1276">
        <v>3</v>
      </c>
      <c r="Y1276">
        <v>1</v>
      </c>
      <c r="Z1276">
        <v>2</v>
      </c>
      <c r="AA1276">
        <v>13</v>
      </c>
      <c r="AB1276" t="str">
        <f>IF(Table2[[#This Row],[TotalWorkingYears]]&lt;=5,"Early (0-5)",IF(Table2[[#This Row],[TotalWorkingYears]]&lt;=15,"Mid (6-15)","Senior (16+)"))</f>
        <v>Mid (6-15)</v>
      </c>
      <c r="AC1276">
        <v>3</v>
      </c>
      <c r="AD1276">
        <v>3</v>
      </c>
      <c r="AE1276" t="s">
        <v>65</v>
      </c>
      <c r="AF1276">
        <v>7</v>
      </c>
      <c r="AG1276">
        <v>5</v>
      </c>
      <c r="AH1276">
        <v>7</v>
      </c>
    </row>
    <row r="1277" spans="1:34" x14ac:dyDescent="0.3">
      <c r="A1277" t="s">
        <v>58</v>
      </c>
      <c r="B1277">
        <v>0</v>
      </c>
      <c r="C1277" t="s">
        <v>32</v>
      </c>
      <c r="D1277">
        <v>942</v>
      </c>
      <c r="E1277" t="s">
        <v>40</v>
      </c>
      <c r="F1277">
        <v>3</v>
      </c>
      <c r="G1277" t="str">
        <f>IF(Table2[[#This Row],[DistanceFromHome]]&lt;=5, "short", IF(Table2[[#This Row],[DistanceFromHome]]&lt;=15, "medium", "long"))</f>
        <v>short</v>
      </c>
      <c r="H1277">
        <v>3</v>
      </c>
      <c r="I1277" t="s">
        <v>55</v>
      </c>
      <c r="J1277">
        <v>1786</v>
      </c>
      <c r="K1277">
        <v>1</v>
      </c>
      <c r="L1277" t="s">
        <v>35</v>
      </c>
      <c r="M1277">
        <v>53</v>
      </c>
      <c r="N1277">
        <v>3</v>
      </c>
      <c r="O1277">
        <v>3</v>
      </c>
      <c r="P1277" t="s">
        <v>51</v>
      </c>
      <c r="Q1277">
        <v>3</v>
      </c>
      <c r="R1277" t="s">
        <v>43</v>
      </c>
      <c r="S1277">
        <v>13116</v>
      </c>
      <c r="T1277">
        <v>22984</v>
      </c>
      <c r="U1277">
        <v>2</v>
      </c>
      <c r="V1277" t="s">
        <v>38</v>
      </c>
      <c r="W1277">
        <v>11</v>
      </c>
      <c r="X1277">
        <v>3</v>
      </c>
      <c r="Y1277">
        <v>4</v>
      </c>
      <c r="Z1277">
        <v>0</v>
      </c>
      <c r="AA1277">
        <v>15</v>
      </c>
      <c r="AB1277" t="str">
        <f>IF(Table2[[#This Row],[TotalWorkingYears]]&lt;=5,"Early (0-5)",IF(Table2[[#This Row],[TotalWorkingYears]]&lt;=15,"Mid (6-15)","Senior (16+)"))</f>
        <v>Mid (6-15)</v>
      </c>
      <c r="AC1277">
        <v>2</v>
      </c>
      <c r="AD1277">
        <v>3</v>
      </c>
      <c r="AE1277" t="s">
        <v>63</v>
      </c>
      <c r="AF1277">
        <v>2</v>
      </c>
      <c r="AG1277">
        <v>2</v>
      </c>
      <c r="AH1277">
        <v>2</v>
      </c>
    </row>
    <row r="1278" spans="1:34" x14ac:dyDescent="0.3">
      <c r="A1278" t="s">
        <v>57</v>
      </c>
      <c r="B1278">
        <v>0</v>
      </c>
      <c r="C1278" t="s">
        <v>32</v>
      </c>
      <c r="D1278">
        <v>589</v>
      </c>
      <c r="E1278" t="s">
        <v>33</v>
      </c>
      <c r="F1278">
        <v>9</v>
      </c>
      <c r="G1278" t="str">
        <f>IF(Table2[[#This Row],[DistanceFromHome]]&lt;=5, "short", IF(Table2[[#This Row],[DistanceFromHome]]&lt;=15, "medium", "long"))</f>
        <v>medium</v>
      </c>
      <c r="H1278">
        <v>2</v>
      </c>
      <c r="I1278" t="s">
        <v>54</v>
      </c>
      <c r="J1278">
        <v>1787</v>
      </c>
      <c r="K1278">
        <v>2</v>
      </c>
      <c r="L1278" t="s">
        <v>41</v>
      </c>
      <c r="M1278">
        <v>46</v>
      </c>
      <c r="N1278">
        <v>2</v>
      </c>
      <c r="O1278">
        <v>2</v>
      </c>
      <c r="P1278" t="s">
        <v>36</v>
      </c>
      <c r="Q1278">
        <v>2</v>
      </c>
      <c r="R1278" t="s">
        <v>43</v>
      </c>
      <c r="S1278">
        <v>4189</v>
      </c>
      <c r="T1278">
        <v>8800</v>
      </c>
      <c r="U1278">
        <v>1</v>
      </c>
      <c r="V1278" t="s">
        <v>38</v>
      </c>
      <c r="W1278">
        <v>14</v>
      </c>
      <c r="X1278">
        <v>3</v>
      </c>
      <c r="Y1278">
        <v>1</v>
      </c>
      <c r="Z1278">
        <v>2</v>
      </c>
      <c r="AA1278">
        <v>5</v>
      </c>
      <c r="AB1278" t="str">
        <f>IF(Table2[[#This Row],[TotalWorkingYears]]&lt;=5,"Early (0-5)",IF(Table2[[#This Row],[TotalWorkingYears]]&lt;=15,"Mid (6-15)","Senior (16+)"))</f>
        <v>Early (0-5)</v>
      </c>
      <c r="AC1278">
        <v>2</v>
      </c>
      <c r="AD1278">
        <v>3</v>
      </c>
      <c r="AE1278" t="s">
        <v>64</v>
      </c>
      <c r="AF1278">
        <v>2</v>
      </c>
      <c r="AG1278">
        <v>0</v>
      </c>
      <c r="AH1278">
        <v>3</v>
      </c>
    </row>
    <row r="1279" spans="1:34" x14ac:dyDescent="0.3">
      <c r="A1279" t="s">
        <v>58</v>
      </c>
      <c r="B1279">
        <v>0</v>
      </c>
      <c r="C1279" t="s">
        <v>32</v>
      </c>
      <c r="D1279">
        <v>734</v>
      </c>
      <c r="E1279" t="s">
        <v>40</v>
      </c>
      <c r="F1279">
        <v>2</v>
      </c>
      <c r="G1279" t="str">
        <f>IF(Table2[[#This Row],[DistanceFromHome]]&lt;=5, "short", IF(Table2[[#This Row],[DistanceFromHome]]&lt;=15, "medium", "long"))</f>
        <v>short</v>
      </c>
      <c r="H1279">
        <v>4</v>
      </c>
      <c r="I1279" t="s">
        <v>46</v>
      </c>
      <c r="J1279">
        <v>1789</v>
      </c>
      <c r="K1279">
        <v>3</v>
      </c>
      <c r="L1279" t="s">
        <v>41</v>
      </c>
      <c r="M1279">
        <v>46</v>
      </c>
      <c r="N1279">
        <v>3</v>
      </c>
      <c r="O1279">
        <v>5</v>
      </c>
      <c r="P1279" t="s">
        <v>53</v>
      </c>
      <c r="Q1279">
        <v>4</v>
      </c>
      <c r="R1279" t="s">
        <v>47</v>
      </c>
      <c r="S1279">
        <v>19328</v>
      </c>
      <c r="T1279">
        <v>14218</v>
      </c>
      <c r="U1279">
        <v>7</v>
      </c>
      <c r="V1279" t="s">
        <v>31</v>
      </c>
      <c r="W1279">
        <v>17</v>
      </c>
      <c r="X1279">
        <v>3</v>
      </c>
      <c r="Y1279">
        <v>3</v>
      </c>
      <c r="Z1279">
        <v>1</v>
      </c>
      <c r="AA1279">
        <v>24</v>
      </c>
      <c r="AB1279" t="str">
        <f>IF(Table2[[#This Row],[TotalWorkingYears]]&lt;=5,"Early (0-5)",IF(Table2[[#This Row],[TotalWorkingYears]]&lt;=15,"Mid (6-15)","Senior (16+)"))</f>
        <v>Senior (16+)</v>
      </c>
      <c r="AC1279">
        <v>3</v>
      </c>
      <c r="AD1279">
        <v>3</v>
      </c>
      <c r="AE1279" t="s">
        <v>63</v>
      </c>
      <c r="AF1279">
        <v>1</v>
      </c>
      <c r="AG1279">
        <v>2</v>
      </c>
      <c r="AH1279">
        <v>2</v>
      </c>
    </row>
    <row r="1280" spans="1:34" x14ac:dyDescent="0.3">
      <c r="A1280" t="s">
        <v>57</v>
      </c>
      <c r="B1280">
        <v>0</v>
      </c>
      <c r="C1280" t="s">
        <v>32</v>
      </c>
      <c r="D1280">
        <v>1383</v>
      </c>
      <c r="E1280" t="s">
        <v>40</v>
      </c>
      <c r="F1280">
        <v>10</v>
      </c>
      <c r="G1280" t="str">
        <f>IF(Table2[[#This Row],[DistanceFromHome]]&lt;=5, "short", IF(Table2[[#This Row],[DistanceFromHome]]&lt;=15, "medium", "long"))</f>
        <v>medium</v>
      </c>
      <c r="H1280">
        <v>3</v>
      </c>
      <c r="I1280" t="s">
        <v>34</v>
      </c>
      <c r="J1280">
        <v>1790</v>
      </c>
      <c r="K1280">
        <v>4</v>
      </c>
      <c r="L1280" t="s">
        <v>41</v>
      </c>
      <c r="M1280">
        <v>90</v>
      </c>
      <c r="N1280">
        <v>3</v>
      </c>
      <c r="O1280">
        <v>3</v>
      </c>
      <c r="P1280" t="s">
        <v>49</v>
      </c>
      <c r="Q1280">
        <v>1</v>
      </c>
      <c r="R1280" t="s">
        <v>43</v>
      </c>
      <c r="S1280">
        <v>8321</v>
      </c>
      <c r="T1280">
        <v>25949</v>
      </c>
      <c r="U1280">
        <v>7</v>
      </c>
      <c r="V1280" t="s">
        <v>31</v>
      </c>
      <c r="W1280">
        <v>13</v>
      </c>
      <c r="X1280">
        <v>3</v>
      </c>
      <c r="Y1280">
        <v>4</v>
      </c>
      <c r="Z1280">
        <v>1</v>
      </c>
      <c r="AA1280">
        <v>15</v>
      </c>
      <c r="AB1280" t="str">
        <f>IF(Table2[[#This Row],[TotalWorkingYears]]&lt;=5,"Early (0-5)",IF(Table2[[#This Row],[TotalWorkingYears]]&lt;=15,"Mid (6-15)","Senior (16+)"))</f>
        <v>Mid (6-15)</v>
      </c>
      <c r="AC1280">
        <v>1</v>
      </c>
      <c r="AD1280">
        <v>3</v>
      </c>
      <c r="AE1280" t="s">
        <v>65</v>
      </c>
      <c r="AF1280">
        <v>8</v>
      </c>
      <c r="AG1280">
        <v>5</v>
      </c>
      <c r="AH1280">
        <v>7</v>
      </c>
    </row>
    <row r="1281" spans="1:34" x14ac:dyDescent="0.3">
      <c r="A1281" t="s">
        <v>57</v>
      </c>
      <c r="B1281">
        <v>1</v>
      </c>
      <c r="C1281" t="s">
        <v>39</v>
      </c>
      <c r="D1281">
        <v>429</v>
      </c>
      <c r="E1281" t="s">
        <v>40</v>
      </c>
      <c r="F1281">
        <v>1</v>
      </c>
      <c r="G1281" t="str">
        <f>IF(Table2[[#This Row],[DistanceFromHome]]&lt;=5, "short", IF(Table2[[#This Row],[DistanceFromHome]]&lt;=15, "medium", "long"))</f>
        <v>short</v>
      </c>
      <c r="H1281">
        <v>2</v>
      </c>
      <c r="I1281" t="s">
        <v>46</v>
      </c>
      <c r="J1281">
        <v>1792</v>
      </c>
      <c r="K1281">
        <v>3</v>
      </c>
      <c r="L1281" t="s">
        <v>41</v>
      </c>
      <c r="M1281">
        <v>99</v>
      </c>
      <c r="N1281">
        <v>3</v>
      </c>
      <c r="O1281">
        <v>1</v>
      </c>
      <c r="P1281" t="s">
        <v>42</v>
      </c>
      <c r="Q1281">
        <v>2</v>
      </c>
      <c r="R1281" t="s">
        <v>47</v>
      </c>
      <c r="S1281">
        <v>2342</v>
      </c>
      <c r="T1281">
        <v>11092</v>
      </c>
      <c r="U1281">
        <v>1</v>
      </c>
      <c r="V1281" t="s">
        <v>31</v>
      </c>
      <c r="W1281">
        <v>12</v>
      </c>
      <c r="X1281">
        <v>3</v>
      </c>
      <c r="Y1281">
        <v>3</v>
      </c>
      <c r="Z1281">
        <v>3</v>
      </c>
      <c r="AA1281">
        <v>6</v>
      </c>
      <c r="AB1281" t="str">
        <f>IF(Table2[[#This Row],[TotalWorkingYears]]&lt;=5,"Early (0-5)",IF(Table2[[#This Row],[TotalWorkingYears]]&lt;=15,"Mid (6-15)","Senior (16+)"))</f>
        <v>Mid (6-15)</v>
      </c>
      <c r="AC1281">
        <v>2</v>
      </c>
      <c r="AD1281">
        <v>2</v>
      </c>
      <c r="AE1281" t="s">
        <v>64</v>
      </c>
      <c r="AF1281">
        <v>3</v>
      </c>
      <c r="AG1281">
        <v>2</v>
      </c>
      <c r="AH1281">
        <v>3</v>
      </c>
    </row>
    <row r="1282" spans="1:34" x14ac:dyDescent="0.3">
      <c r="A1282" t="s">
        <v>57</v>
      </c>
      <c r="B1282">
        <v>0</v>
      </c>
      <c r="C1282" t="s">
        <v>32</v>
      </c>
      <c r="D1282">
        <v>1239</v>
      </c>
      <c r="E1282" t="s">
        <v>56</v>
      </c>
      <c r="F1282">
        <v>8</v>
      </c>
      <c r="G1282" t="str">
        <f>IF(Table2[[#This Row],[DistanceFromHome]]&lt;=5, "short", IF(Table2[[#This Row],[DistanceFromHome]]&lt;=15, "medium", "long"))</f>
        <v>medium</v>
      </c>
      <c r="H1282">
        <v>2</v>
      </c>
      <c r="I1282" t="s">
        <v>44</v>
      </c>
      <c r="J1282">
        <v>1794</v>
      </c>
      <c r="K1282">
        <v>3</v>
      </c>
      <c r="L1282" t="s">
        <v>41</v>
      </c>
      <c r="M1282">
        <v>89</v>
      </c>
      <c r="N1282">
        <v>3</v>
      </c>
      <c r="O1282">
        <v>2</v>
      </c>
      <c r="P1282" t="s">
        <v>56</v>
      </c>
      <c r="Q1282">
        <v>2</v>
      </c>
      <c r="R1282" t="s">
        <v>47</v>
      </c>
      <c r="S1282">
        <v>4071</v>
      </c>
      <c r="T1282">
        <v>12832</v>
      </c>
      <c r="U1282">
        <v>2</v>
      </c>
      <c r="V1282" t="s">
        <v>38</v>
      </c>
      <c r="W1282">
        <v>13</v>
      </c>
      <c r="X1282">
        <v>3</v>
      </c>
      <c r="Y1282">
        <v>3</v>
      </c>
      <c r="Z1282">
        <v>0</v>
      </c>
      <c r="AA1282">
        <v>19</v>
      </c>
      <c r="AB1282" t="str">
        <f>IF(Table2[[#This Row],[TotalWorkingYears]]&lt;=5,"Early (0-5)",IF(Table2[[#This Row],[TotalWorkingYears]]&lt;=15,"Mid (6-15)","Senior (16+)"))</f>
        <v>Senior (16+)</v>
      </c>
      <c r="AC1282">
        <v>4</v>
      </c>
      <c r="AD1282">
        <v>2</v>
      </c>
      <c r="AE1282" t="s">
        <v>62</v>
      </c>
      <c r="AF1282">
        <v>0</v>
      </c>
      <c r="AG1282">
        <v>4</v>
      </c>
      <c r="AH1282">
        <v>7</v>
      </c>
    </row>
    <row r="1283" spans="1:34" x14ac:dyDescent="0.3">
      <c r="A1283" t="s">
        <v>59</v>
      </c>
      <c r="B1283">
        <v>1</v>
      </c>
      <c r="C1283" t="s">
        <v>32</v>
      </c>
      <c r="D1283">
        <v>303</v>
      </c>
      <c r="E1283" t="s">
        <v>33</v>
      </c>
      <c r="F1283">
        <v>27</v>
      </c>
      <c r="G1283" t="str">
        <f>IF(Table2[[#This Row],[DistanceFromHome]]&lt;=5, "short", IF(Table2[[#This Row],[DistanceFromHome]]&lt;=15, "medium", "long"))</f>
        <v>long</v>
      </c>
      <c r="H1283">
        <v>3</v>
      </c>
      <c r="I1283" t="s">
        <v>34</v>
      </c>
      <c r="J1283">
        <v>1797</v>
      </c>
      <c r="K1283">
        <v>3</v>
      </c>
      <c r="L1283" t="s">
        <v>41</v>
      </c>
      <c r="M1283">
        <v>84</v>
      </c>
      <c r="N1283">
        <v>3</v>
      </c>
      <c r="O1283">
        <v>2</v>
      </c>
      <c r="P1283" t="s">
        <v>36</v>
      </c>
      <c r="Q1283">
        <v>4</v>
      </c>
      <c r="R1283" t="s">
        <v>37</v>
      </c>
      <c r="S1283">
        <v>5813</v>
      </c>
      <c r="T1283">
        <v>13492</v>
      </c>
      <c r="U1283">
        <v>1</v>
      </c>
      <c r="V1283" t="s">
        <v>31</v>
      </c>
      <c r="W1283">
        <v>18</v>
      </c>
      <c r="X1283">
        <v>3</v>
      </c>
      <c r="Y1283">
        <v>4</v>
      </c>
      <c r="Z1283">
        <v>0</v>
      </c>
      <c r="AA1283">
        <v>10</v>
      </c>
      <c r="AB1283" t="str">
        <f>IF(Table2[[#This Row],[TotalWorkingYears]]&lt;=5,"Early (0-5)",IF(Table2[[#This Row],[TotalWorkingYears]]&lt;=15,"Mid (6-15)","Senior (16+)"))</f>
        <v>Mid (6-15)</v>
      </c>
      <c r="AC1283">
        <v>2</v>
      </c>
      <c r="AD1283">
        <v>3</v>
      </c>
      <c r="AE1283" t="s">
        <v>62</v>
      </c>
      <c r="AF1283">
        <v>7</v>
      </c>
      <c r="AG1283">
        <v>7</v>
      </c>
      <c r="AH1283">
        <v>7</v>
      </c>
    </row>
    <row r="1284" spans="1:34" x14ac:dyDescent="0.3">
      <c r="A1284" t="s">
        <v>59</v>
      </c>
      <c r="B1284">
        <v>0</v>
      </c>
      <c r="C1284" t="s">
        <v>32</v>
      </c>
      <c r="D1284">
        <v>867</v>
      </c>
      <c r="E1284" t="s">
        <v>40</v>
      </c>
      <c r="F1284">
        <v>8</v>
      </c>
      <c r="G1284" t="str">
        <f>IF(Table2[[#This Row],[DistanceFromHome]]&lt;=5, "short", IF(Table2[[#This Row],[DistanceFromHome]]&lt;=15, "medium", "long"))</f>
        <v>medium</v>
      </c>
      <c r="H1284">
        <v>4</v>
      </c>
      <c r="I1284" t="s">
        <v>34</v>
      </c>
      <c r="J1284">
        <v>1798</v>
      </c>
      <c r="K1284">
        <v>4</v>
      </c>
      <c r="L1284" t="s">
        <v>41</v>
      </c>
      <c r="M1284">
        <v>90</v>
      </c>
      <c r="N1284">
        <v>4</v>
      </c>
      <c r="O1284">
        <v>1</v>
      </c>
      <c r="P1284" t="s">
        <v>42</v>
      </c>
      <c r="Q1284">
        <v>1</v>
      </c>
      <c r="R1284" t="s">
        <v>43</v>
      </c>
      <c r="S1284">
        <v>3143</v>
      </c>
      <c r="T1284">
        <v>6076</v>
      </c>
      <c r="U1284">
        <v>6</v>
      </c>
      <c r="V1284" t="s">
        <v>38</v>
      </c>
      <c r="W1284">
        <v>19</v>
      </c>
      <c r="X1284">
        <v>3</v>
      </c>
      <c r="Y1284">
        <v>2</v>
      </c>
      <c r="Z1284">
        <v>1</v>
      </c>
      <c r="AA1284">
        <v>14</v>
      </c>
      <c r="AB1284" t="str">
        <f>IF(Table2[[#This Row],[TotalWorkingYears]]&lt;=5,"Early (0-5)",IF(Table2[[#This Row],[TotalWorkingYears]]&lt;=15,"Mid (6-15)","Senior (16+)"))</f>
        <v>Mid (6-15)</v>
      </c>
      <c r="AC1284">
        <v>1</v>
      </c>
      <c r="AD1284">
        <v>3</v>
      </c>
      <c r="AE1284" t="s">
        <v>62</v>
      </c>
      <c r="AF1284">
        <v>8</v>
      </c>
      <c r="AG1284">
        <v>7</v>
      </c>
      <c r="AH1284">
        <v>6</v>
      </c>
    </row>
    <row r="1285" spans="1:34" x14ac:dyDescent="0.3">
      <c r="A1285" t="s">
        <v>59</v>
      </c>
      <c r="B1285">
        <v>0</v>
      </c>
      <c r="C1285" t="s">
        <v>32</v>
      </c>
      <c r="D1285">
        <v>1181</v>
      </c>
      <c r="E1285" t="s">
        <v>40</v>
      </c>
      <c r="F1285">
        <v>1</v>
      </c>
      <c r="G1285" t="str">
        <f>IF(Table2[[#This Row],[DistanceFromHome]]&lt;=5, "short", IF(Table2[[#This Row],[DistanceFromHome]]&lt;=15, "medium", "long"))</f>
        <v>short</v>
      </c>
      <c r="H1285">
        <v>3</v>
      </c>
      <c r="I1285" t="s">
        <v>34</v>
      </c>
      <c r="J1285">
        <v>1799</v>
      </c>
      <c r="K1285">
        <v>3</v>
      </c>
      <c r="L1285" t="s">
        <v>41</v>
      </c>
      <c r="M1285">
        <v>82</v>
      </c>
      <c r="N1285">
        <v>3</v>
      </c>
      <c r="O1285">
        <v>1</v>
      </c>
      <c r="P1285" t="s">
        <v>42</v>
      </c>
      <c r="Q1285">
        <v>4</v>
      </c>
      <c r="R1285" t="s">
        <v>43</v>
      </c>
      <c r="S1285">
        <v>2044</v>
      </c>
      <c r="T1285">
        <v>5531</v>
      </c>
      <c r="U1285">
        <v>1</v>
      </c>
      <c r="V1285" t="s">
        <v>38</v>
      </c>
      <c r="W1285">
        <v>11</v>
      </c>
      <c r="X1285">
        <v>3</v>
      </c>
      <c r="Y1285">
        <v>3</v>
      </c>
      <c r="Z1285">
        <v>1</v>
      </c>
      <c r="AA1285">
        <v>5</v>
      </c>
      <c r="AB1285" t="str">
        <f>IF(Table2[[#This Row],[TotalWorkingYears]]&lt;=5,"Early (0-5)",IF(Table2[[#This Row],[TotalWorkingYears]]&lt;=15,"Mid (6-15)","Senior (16+)"))</f>
        <v>Early (0-5)</v>
      </c>
      <c r="AC1285">
        <v>6</v>
      </c>
      <c r="AD1285">
        <v>4</v>
      </c>
      <c r="AE1285" t="s">
        <v>64</v>
      </c>
      <c r="AF1285">
        <v>3</v>
      </c>
      <c r="AG1285">
        <v>0</v>
      </c>
      <c r="AH1285">
        <v>3</v>
      </c>
    </row>
    <row r="1286" spans="1:34" x14ac:dyDescent="0.3">
      <c r="A1286" t="s">
        <v>57</v>
      </c>
      <c r="B1286">
        <v>0</v>
      </c>
      <c r="C1286" t="s">
        <v>32</v>
      </c>
      <c r="D1286">
        <v>1253</v>
      </c>
      <c r="E1286" t="s">
        <v>40</v>
      </c>
      <c r="F1286">
        <v>10</v>
      </c>
      <c r="G1286" t="str">
        <f>IF(Table2[[#This Row],[DistanceFromHome]]&lt;=5, "short", IF(Table2[[#This Row],[DistanceFromHome]]&lt;=15, "medium", "long"))</f>
        <v>medium</v>
      </c>
      <c r="H1286">
        <v>1</v>
      </c>
      <c r="I1286" t="s">
        <v>46</v>
      </c>
      <c r="J1286">
        <v>1800</v>
      </c>
      <c r="K1286">
        <v>3</v>
      </c>
      <c r="L1286" t="s">
        <v>41</v>
      </c>
      <c r="M1286">
        <v>65</v>
      </c>
      <c r="N1286">
        <v>3</v>
      </c>
      <c r="O1286">
        <v>3</v>
      </c>
      <c r="P1286" t="s">
        <v>53</v>
      </c>
      <c r="Q1286">
        <v>3</v>
      </c>
      <c r="R1286" t="s">
        <v>37</v>
      </c>
      <c r="S1286">
        <v>13464</v>
      </c>
      <c r="T1286">
        <v>7914</v>
      </c>
      <c r="U1286">
        <v>7</v>
      </c>
      <c r="V1286" t="s">
        <v>38</v>
      </c>
      <c r="W1286">
        <v>21</v>
      </c>
      <c r="X1286">
        <v>4</v>
      </c>
      <c r="Y1286">
        <v>3</v>
      </c>
      <c r="Z1286">
        <v>0</v>
      </c>
      <c r="AA1286">
        <v>9</v>
      </c>
      <c r="AB1286" t="str">
        <f>IF(Table2[[#This Row],[TotalWorkingYears]]&lt;=5,"Early (0-5)",IF(Table2[[#This Row],[TotalWorkingYears]]&lt;=15,"Mid (6-15)","Senior (16+)"))</f>
        <v>Mid (6-15)</v>
      </c>
      <c r="AC1286">
        <v>3</v>
      </c>
      <c r="AD1286">
        <v>3</v>
      </c>
      <c r="AE1286" t="s">
        <v>64</v>
      </c>
      <c r="AF1286">
        <v>3</v>
      </c>
      <c r="AG1286">
        <v>2</v>
      </c>
      <c r="AH1286">
        <v>2</v>
      </c>
    </row>
    <row r="1287" spans="1:34" x14ac:dyDescent="0.3">
      <c r="A1287" t="s">
        <v>58</v>
      </c>
      <c r="B1287">
        <v>0</v>
      </c>
      <c r="C1287" t="s">
        <v>50</v>
      </c>
      <c r="D1287">
        <v>849</v>
      </c>
      <c r="E1287" t="s">
        <v>33</v>
      </c>
      <c r="F1287">
        <v>26</v>
      </c>
      <c r="G1287" t="str">
        <f>IF(Table2[[#This Row],[DistanceFromHome]]&lt;=5, "short", IF(Table2[[#This Row],[DistanceFromHome]]&lt;=15, "medium", "long"))</f>
        <v>long</v>
      </c>
      <c r="H1287">
        <v>2</v>
      </c>
      <c r="I1287" t="s">
        <v>34</v>
      </c>
      <c r="J1287">
        <v>1801</v>
      </c>
      <c r="K1287">
        <v>2</v>
      </c>
      <c r="L1287" t="s">
        <v>41</v>
      </c>
      <c r="M1287">
        <v>98</v>
      </c>
      <c r="N1287">
        <v>2</v>
      </c>
      <c r="O1287">
        <v>2</v>
      </c>
      <c r="P1287" t="s">
        <v>36</v>
      </c>
      <c r="Q1287">
        <v>2</v>
      </c>
      <c r="R1287" t="s">
        <v>37</v>
      </c>
      <c r="S1287">
        <v>7991</v>
      </c>
      <c r="T1287">
        <v>25166</v>
      </c>
      <c r="U1287">
        <v>8</v>
      </c>
      <c r="V1287" t="s">
        <v>38</v>
      </c>
      <c r="W1287">
        <v>15</v>
      </c>
      <c r="X1287">
        <v>3</v>
      </c>
      <c r="Y1287">
        <v>3</v>
      </c>
      <c r="Z1287">
        <v>0</v>
      </c>
      <c r="AA1287">
        <v>6</v>
      </c>
      <c r="AB1287" t="str">
        <f>IF(Table2[[#This Row],[TotalWorkingYears]]&lt;=5,"Early (0-5)",IF(Table2[[#This Row],[TotalWorkingYears]]&lt;=15,"Mid (6-15)","Senior (16+)"))</f>
        <v>Mid (6-15)</v>
      </c>
      <c r="AC1287">
        <v>3</v>
      </c>
      <c r="AD1287">
        <v>3</v>
      </c>
      <c r="AE1287" t="s">
        <v>63</v>
      </c>
      <c r="AF1287">
        <v>2</v>
      </c>
      <c r="AG1287">
        <v>2</v>
      </c>
      <c r="AH1287">
        <v>2</v>
      </c>
    </row>
    <row r="1288" spans="1:34" x14ac:dyDescent="0.3">
      <c r="A1288" t="s">
        <v>57</v>
      </c>
      <c r="B1288">
        <v>0</v>
      </c>
      <c r="C1288" t="s">
        <v>32</v>
      </c>
      <c r="D1288">
        <v>616</v>
      </c>
      <c r="E1288" t="s">
        <v>40</v>
      </c>
      <c r="F1288">
        <v>2</v>
      </c>
      <c r="G1288" t="str">
        <f>IF(Table2[[#This Row],[DistanceFromHome]]&lt;=5, "short", IF(Table2[[#This Row],[DistanceFromHome]]&lt;=15, "medium", "long"))</f>
        <v>short</v>
      </c>
      <c r="H1288">
        <v>2</v>
      </c>
      <c r="I1288" t="s">
        <v>34</v>
      </c>
      <c r="J1288">
        <v>1802</v>
      </c>
      <c r="K1288">
        <v>3</v>
      </c>
      <c r="L1288" t="s">
        <v>35</v>
      </c>
      <c r="M1288">
        <v>99</v>
      </c>
      <c r="N1288">
        <v>3</v>
      </c>
      <c r="O1288">
        <v>1</v>
      </c>
      <c r="P1288" t="s">
        <v>45</v>
      </c>
      <c r="Q1288">
        <v>1</v>
      </c>
      <c r="R1288" t="s">
        <v>43</v>
      </c>
      <c r="S1288">
        <v>3377</v>
      </c>
      <c r="T1288">
        <v>25605</v>
      </c>
      <c r="U1288">
        <v>4</v>
      </c>
      <c r="V1288" t="s">
        <v>38</v>
      </c>
      <c r="W1288">
        <v>17</v>
      </c>
      <c r="X1288">
        <v>3</v>
      </c>
      <c r="Y1288">
        <v>4</v>
      </c>
      <c r="Z1288">
        <v>1</v>
      </c>
      <c r="AA1288">
        <v>7</v>
      </c>
      <c r="AB1288" t="str">
        <f>IF(Table2[[#This Row],[TotalWorkingYears]]&lt;=5,"Early (0-5)",IF(Table2[[#This Row],[TotalWorkingYears]]&lt;=15,"Mid (6-15)","Senior (16+)"))</f>
        <v>Mid (6-15)</v>
      </c>
      <c r="AC1288">
        <v>5</v>
      </c>
      <c r="AD1288">
        <v>2</v>
      </c>
      <c r="AE1288" t="s">
        <v>64</v>
      </c>
      <c r="AF1288">
        <v>3</v>
      </c>
      <c r="AG1288">
        <v>0</v>
      </c>
      <c r="AH1288">
        <v>2</v>
      </c>
    </row>
    <row r="1289" spans="1:34" x14ac:dyDescent="0.3">
      <c r="A1289" t="s">
        <v>57</v>
      </c>
      <c r="B1289">
        <v>0</v>
      </c>
      <c r="C1289" t="s">
        <v>32</v>
      </c>
      <c r="D1289">
        <v>1128</v>
      </c>
      <c r="E1289" t="s">
        <v>40</v>
      </c>
      <c r="F1289">
        <v>13</v>
      </c>
      <c r="G1289" t="str">
        <f>IF(Table2[[#This Row],[DistanceFromHome]]&lt;=5, "short", IF(Table2[[#This Row],[DistanceFromHome]]&lt;=15, "medium", "long"))</f>
        <v>medium</v>
      </c>
      <c r="H1289">
        <v>3</v>
      </c>
      <c r="I1289" t="s">
        <v>46</v>
      </c>
      <c r="J1289">
        <v>1803</v>
      </c>
      <c r="K1289">
        <v>2</v>
      </c>
      <c r="L1289" t="s">
        <v>41</v>
      </c>
      <c r="M1289">
        <v>95</v>
      </c>
      <c r="N1289">
        <v>4</v>
      </c>
      <c r="O1289">
        <v>2</v>
      </c>
      <c r="P1289" t="s">
        <v>49</v>
      </c>
      <c r="Q1289">
        <v>1</v>
      </c>
      <c r="R1289" t="s">
        <v>43</v>
      </c>
      <c r="S1289">
        <v>5538</v>
      </c>
      <c r="T1289">
        <v>5696</v>
      </c>
      <c r="U1289">
        <v>5</v>
      </c>
      <c r="V1289" t="s">
        <v>38</v>
      </c>
      <c r="W1289">
        <v>18</v>
      </c>
      <c r="X1289">
        <v>3</v>
      </c>
      <c r="Y1289">
        <v>3</v>
      </c>
      <c r="Z1289">
        <v>2</v>
      </c>
      <c r="AA1289">
        <v>10</v>
      </c>
      <c r="AB1289" t="str">
        <f>IF(Table2[[#This Row],[TotalWorkingYears]]&lt;=5,"Early (0-5)",IF(Table2[[#This Row],[TotalWorkingYears]]&lt;=15,"Mid (6-15)","Senior (16+)"))</f>
        <v>Mid (6-15)</v>
      </c>
      <c r="AC1289">
        <v>2</v>
      </c>
      <c r="AD1289">
        <v>2</v>
      </c>
      <c r="AE1289" t="s">
        <v>63</v>
      </c>
      <c r="AF1289">
        <v>0</v>
      </c>
      <c r="AG1289">
        <v>0</v>
      </c>
      <c r="AH1289">
        <v>0</v>
      </c>
    </row>
    <row r="1290" spans="1:34" x14ac:dyDescent="0.3">
      <c r="A1290" t="s">
        <v>59</v>
      </c>
      <c r="B1290">
        <v>0</v>
      </c>
      <c r="C1290" t="s">
        <v>50</v>
      </c>
      <c r="D1290">
        <v>1180</v>
      </c>
      <c r="E1290" t="s">
        <v>40</v>
      </c>
      <c r="F1290">
        <v>2</v>
      </c>
      <c r="G1290" t="str">
        <f>IF(Table2[[#This Row],[DistanceFromHome]]&lt;=5, "short", IF(Table2[[#This Row],[DistanceFromHome]]&lt;=15, "medium", "long"))</f>
        <v>short</v>
      </c>
      <c r="H1290">
        <v>2</v>
      </c>
      <c r="I1290" t="s">
        <v>46</v>
      </c>
      <c r="J1290">
        <v>1804</v>
      </c>
      <c r="K1290">
        <v>2</v>
      </c>
      <c r="L1290" t="s">
        <v>41</v>
      </c>
      <c r="M1290">
        <v>90</v>
      </c>
      <c r="N1290">
        <v>3</v>
      </c>
      <c r="O1290">
        <v>2</v>
      </c>
      <c r="P1290" t="s">
        <v>48</v>
      </c>
      <c r="Q1290">
        <v>4</v>
      </c>
      <c r="R1290" t="s">
        <v>47</v>
      </c>
      <c r="S1290">
        <v>5762</v>
      </c>
      <c r="T1290">
        <v>24442</v>
      </c>
      <c r="U1290">
        <v>2</v>
      </c>
      <c r="V1290" t="s">
        <v>38</v>
      </c>
      <c r="W1290">
        <v>14</v>
      </c>
      <c r="X1290">
        <v>3</v>
      </c>
      <c r="Y1290">
        <v>3</v>
      </c>
      <c r="Z1290">
        <v>1</v>
      </c>
      <c r="AA1290">
        <v>15</v>
      </c>
      <c r="AB1290" t="str">
        <f>IF(Table2[[#This Row],[TotalWorkingYears]]&lt;=5,"Early (0-5)",IF(Table2[[#This Row],[TotalWorkingYears]]&lt;=15,"Mid (6-15)","Senior (16+)"))</f>
        <v>Mid (6-15)</v>
      </c>
      <c r="AC1290">
        <v>6</v>
      </c>
      <c r="AD1290">
        <v>3</v>
      </c>
      <c r="AE1290" t="s">
        <v>62</v>
      </c>
      <c r="AF1290">
        <v>7</v>
      </c>
      <c r="AG1290">
        <v>1</v>
      </c>
      <c r="AH1290">
        <v>7</v>
      </c>
    </row>
    <row r="1291" spans="1:34" x14ac:dyDescent="0.3">
      <c r="A1291" t="s">
        <v>57</v>
      </c>
      <c r="B1291">
        <v>0</v>
      </c>
      <c r="C1291" t="s">
        <v>50</v>
      </c>
      <c r="D1291">
        <v>1336</v>
      </c>
      <c r="E1291" t="s">
        <v>56</v>
      </c>
      <c r="F1291">
        <v>2</v>
      </c>
      <c r="G1291" t="str">
        <f>IF(Table2[[#This Row],[DistanceFromHome]]&lt;=5, "short", IF(Table2[[#This Row],[DistanceFromHome]]&lt;=15, "medium", "long"))</f>
        <v>short</v>
      </c>
      <c r="H1291">
        <v>3</v>
      </c>
      <c r="I1291" t="s">
        <v>56</v>
      </c>
      <c r="J1291">
        <v>1805</v>
      </c>
      <c r="K1291">
        <v>1</v>
      </c>
      <c r="L1291" t="s">
        <v>41</v>
      </c>
      <c r="M1291">
        <v>100</v>
      </c>
      <c r="N1291">
        <v>3</v>
      </c>
      <c r="O1291">
        <v>1</v>
      </c>
      <c r="P1291" t="s">
        <v>56</v>
      </c>
      <c r="Q1291">
        <v>2</v>
      </c>
      <c r="R1291" t="s">
        <v>47</v>
      </c>
      <c r="S1291">
        <v>2592</v>
      </c>
      <c r="T1291">
        <v>7129</v>
      </c>
      <c r="U1291">
        <v>5</v>
      </c>
      <c r="V1291" t="s">
        <v>38</v>
      </c>
      <c r="W1291">
        <v>13</v>
      </c>
      <c r="X1291">
        <v>3</v>
      </c>
      <c r="Y1291">
        <v>4</v>
      </c>
      <c r="Z1291">
        <v>3</v>
      </c>
      <c r="AA1291">
        <v>13</v>
      </c>
      <c r="AB1291" t="str">
        <f>IF(Table2[[#This Row],[TotalWorkingYears]]&lt;=5,"Early (0-5)",IF(Table2[[#This Row],[TotalWorkingYears]]&lt;=15,"Mid (6-15)","Senior (16+)"))</f>
        <v>Mid (6-15)</v>
      </c>
      <c r="AC1291">
        <v>3</v>
      </c>
      <c r="AD1291">
        <v>3</v>
      </c>
      <c r="AE1291" t="s">
        <v>65</v>
      </c>
      <c r="AF1291">
        <v>10</v>
      </c>
      <c r="AG1291">
        <v>3</v>
      </c>
      <c r="AH1291">
        <v>8</v>
      </c>
    </row>
    <row r="1292" spans="1:34" x14ac:dyDescent="0.3">
      <c r="A1292" t="s">
        <v>59</v>
      </c>
      <c r="B1292">
        <v>1</v>
      </c>
      <c r="C1292" t="s">
        <v>39</v>
      </c>
      <c r="D1292">
        <v>234</v>
      </c>
      <c r="E1292" t="s">
        <v>40</v>
      </c>
      <c r="F1292">
        <v>9</v>
      </c>
      <c r="G1292" t="str">
        <f>IF(Table2[[#This Row],[DistanceFromHome]]&lt;=5, "short", IF(Table2[[#This Row],[DistanceFromHome]]&lt;=15, "medium", "long"))</f>
        <v>medium</v>
      </c>
      <c r="H1292">
        <v>4</v>
      </c>
      <c r="I1292" t="s">
        <v>34</v>
      </c>
      <c r="J1292">
        <v>1807</v>
      </c>
      <c r="K1292">
        <v>4</v>
      </c>
      <c r="L1292" t="s">
        <v>41</v>
      </c>
      <c r="M1292">
        <v>93</v>
      </c>
      <c r="N1292">
        <v>3</v>
      </c>
      <c r="O1292">
        <v>2</v>
      </c>
      <c r="P1292" t="s">
        <v>45</v>
      </c>
      <c r="Q1292">
        <v>1</v>
      </c>
      <c r="R1292" t="s">
        <v>43</v>
      </c>
      <c r="S1292">
        <v>5346</v>
      </c>
      <c r="T1292">
        <v>6208</v>
      </c>
      <c r="U1292">
        <v>4</v>
      </c>
      <c r="V1292" t="s">
        <v>38</v>
      </c>
      <c r="W1292">
        <v>17</v>
      </c>
      <c r="X1292">
        <v>3</v>
      </c>
      <c r="Y1292">
        <v>3</v>
      </c>
      <c r="Z1292">
        <v>1</v>
      </c>
      <c r="AA1292">
        <v>11</v>
      </c>
      <c r="AB1292" t="str">
        <f>IF(Table2[[#This Row],[TotalWorkingYears]]&lt;=5,"Early (0-5)",IF(Table2[[#This Row],[TotalWorkingYears]]&lt;=15,"Mid (6-15)","Senior (16+)"))</f>
        <v>Mid (6-15)</v>
      </c>
      <c r="AC1292">
        <v>3</v>
      </c>
      <c r="AD1292">
        <v>2</v>
      </c>
      <c r="AE1292" t="s">
        <v>62</v>
      </c>
      <c r="AF1292">
        <v>1</v>
      </c>
      <c r="AG1292">
        <v>0</v>
      </c>
      <c r="AH1292">
        <v>7</v>
      </c>
    </row>
    <row r="1293" spans="1:34" x14ac:dyDescent="0.3">
      <c r="A1293" t="s">
        <v>57</v>
      </c>
      <c r="B1293">
        <v>1</v>
      </c>
      <c r="C1293" t="s">
        <v>32</v>
      </c>
      <c r="D1293">
        <v>370</v>
      </c>
      <c r="E1293" t="s">
        <v>40</v>
      </c>
      <c r="F1293">
        <v>10</v>
      </c>
      <c r="G1293" t="str">
        <f>IF(Table2[[#This Row],[DistanceFromHome]]&lt;=5, "short", IF(Table2[[#This Row],[DistanceFromHome]]&lt;=15, "medium", "long"))</f>
        <v>medium</v>
      </c>
      <c r="H1293">
        <v>4</v>
      </c>
      <c r="I1293" t="s">
        <v>46</v>
      </c>
      <c r="J1293">
        <v>1809</v>
      </c>
      <c r="K1293">
        <v>4</v>
      </c>
      <c r="L1293" t="s">
        <v>41</v>
      </c>
      <c r="M1293">
        <v>58</v>
      </c>
      <c r="N1293">
        <v>3</v>
      </c>
      <c r="O1293">
        <v>2</v>
      </c>
      <c r="P1293" t="s">
        <v>48</v>
      </c>
      <c r="Q1293">
        <v>1</v>
      </c>
      <c r="R1293" t="s">
        <v>37</v>
      </c>
      <c r="S1293">
        <v>4213</v>
      </c>
      <c r="T1293">
        <v>4992</v>
      </c>
      <c r="U1293">
        <v>1</v>
      </c>
      <c r="V1293" t="s">
        <v>38</v>
      </c>
      <c r="W1293">
        <v>15</v>
      </c>
      <c r="X1293">
        <v>3</v>
      </c>
      <c r="Y1293">
        <v>2</v>
      </c>
      <c r="Z1293">
        <v>0</v>
      </c>
      <c r="AA1293">
        <v>10</v>
      </c>
      <c r="AB1293" t="str">
        <f>IF(Table2[[#This Row],[TotalWorkingYears]]&lt;=5,"Early (0-5)",IF(Table2[[#This Row],[TotalWorkingYears]]&lt;=15,"Mid (6-15)","Senior (16+)"))</f>
        <v>Mid (6-15)</v>
      </c>
      <c r="AC1293">
        <v>4</v>
      </c>
      <c r="AD1293">
        <v>1</v>
      </c>
      <c r="AE1293" t="s">
        <v>62</v>
      </c>
      <c r="AF1293">
        <v>3</v>
      </c>
      <c r="AG1293">
        <v>0</v>
      </c>
      <c r="AH1293">
        <v>8</v>
      </c>
    </row>
    <row r="1294" spans="1:34" x14ac:dyDescent="0.3">
      <c r="A1294" t="s">
        <v>57</v>
      </c>
      <c r="B1294">
        <v>0</v>
      </c>
      <c r="C1294" t="s">
        <v>39</v>
      </c>
      <c r="D1294">
        <v>766</v>
      </c>
      <c r="E1294" t="s">
        <v>33</v>
      </c>
      <c r="F1294">
        <v>20</v>
      </c>
      <c r="G1294" t="str">
        <f>IF(Table2[[#This Row],[DistanceFromHome]]&lt;=5, "short", IF(Table2[[#This Row],[DistanceFromHome]]&lt;=15, "medium", "long"))</f>
        <v>long</v>
      </c>
      <c r="H1294">
        <v>3</v>
      </c>
      <c r="I1294" t="s">
        <v>34</v>
      </c>
      <c r="J1294">
        <v>1812</v>
      </c>
      <c r="K1294">
        <v>3</v>
      </c>
      <c r="L1294" t="s">
        <v>41</v>
      </c>
      <c r="M1294">
        <v>83</v>
      </c>
      <c r="N1294">
        <v>3</v>
      </c>
      <c r="O1294">
        <v>2</v>
      </c>
      <c r="P1294" t="s">
        <v>36</v>
      </c>
      <c r="Q1294">
        <v>4</v>
      </c>
      <c r="R1294" t="s">
        <v>47</v>
      </c>
      <c r="S1294">
        <v>4127</v>
      </c>
      <c r="T1294">
        <v>19188</v>
      </c>
      <c r="U1294">
        <v>2</v>
      </c>
      <c r="V1294" t="s">
        <v>38</v>
      </c>
      <c r="W1294">
        <v>18</v>
      </c>
      <c r="X1294">
        <v>3</v>
      </c>
      <c r="Y1294">
        <v>4</v>
      </c>
      <c r="Z1294">
        <v>1</v>
      </c>
      <c r="AA1294">
        <v>7</v>
      </c>
      <c r="AB1294" t="str">
        <f>IF(Table2[[#This Row],[TotalWorkingYears]]&lt;=5,"Early (0-5)",IF(Table2[[#This Row],[TotalWorkingYears]]&lt;=15,"Mid (6-15)","Senior (16+)"))</f>
        <v>Mid (6-15)</v>
      </c>
      <c r="AC1294">
        <v>6</v>
      </c>
      <c r="AD1294">
        <v>3</v>
      </c>
      <c r="AE1294" t="s">
        <v>63</v>
      </c>
      <c r="AF1294">
        <v>1</v>
      </c>
      <c r="AG1294">
        <v>2</v>
      </c>
      <c r="AH1294">
        <v>2</v>
      </c>
    </row>
    <row r="1295" spans="1:34" x14ac:dyDescent="0.3">
      <c r="A1295" t="s">
        <v>57</v>
      </c>
      <c r="B1295">
        <v>0</v>
      </c>
      <c r="C1295" t="s">
        <v>50</v>
      </c>
      <c r="D1295">
        <v>343</v>
      </c>
      <c r="E1295" t="s">
        <v>40</v>
      </c>
      <c r="F1295">
        <v>9</v>
      </c>
      <c r="G1295" t="str">
        <f>IF(Table2[[#This Row],[DistanceFromHome]]&lt;=5, "short", IF(Table2[[#This Row],[DistanceFromHome]]&lt;=15, "medium", "long"))</f>
        <v>medium</v>
      </c>
      <c r="H1295">
        <v>3</v>
      </c>
      <c r="I1295" t="s">
        <v>34</v>
      </c>
      <c r="J1295">
        <v>1813</v>
      </c>
      <c r="K1295">
        <v>1</v>
      </c>
      <c r="L1295" t="s">
        <v>41</v>
      </c>
      <c r="M1295">
        <v>52</v>
      </c>
      <c r="N1295">
        <v>3</v>
      </c>
      <c r="O1295">
        <v>1</v>
      </c>
      <c r="P1295" t="s">
        <v>42</v>
      </c>
      <c r="Q1295">
        <v>3</v>
      </c>
      <c r="R1295" t="s">
        <v>37</v>
      </c>
      <c r="S1295">
        <v>2438</v>
      </c>
      <c r="T1295">
        <v>24978</v>
      </c>
      <c r="U1295">
        <v>4</v>
      </c>
      <c r="V1295" t="s">
        <v>38</v>
      </c>
      <c r="W1295">
        <v>13</v>
      </c>
      <c r="X1295">
        <v>3</v>
      </c>
      <c r="Y1295">
        <v>3</v>
      </c>
      <c r="Z1295">
        <v>0</v>
      </c>
      <c r="AA1295">
        <v>7</v>
      </c>
      <c r="AB1295" t="str">
        <f>IF(Table2[[#This Row],[TotalWorkingYears]]&lt;=5,"Early (0-5)",IF(Table2[[#This Row],[TotalWorkingYears]]&lt;=15,"Mid (6-15)","Senior (16+)"))</f>
        <v>Mid (6-15)</v>
      </c>
      <c r="AC1295">
        <v>2</v>
      </c>
      <c r="AD1295">
        <v>2</v>
      </c>
      <c r="AE1295" t="s">
        <v>64</v>
      </c>
      <c r="AF1295">
        <v>2</v>
      </c>
      <c r="AG1295">
        <v>1</v>
      </c>
      <c r="AH1295">
        <v>2</v>
      </c>
    </row>
    <row r="1296" spans="1:34" x14ac:dyDescent="0.3">
      <c r="A1296" t="s">
        <v>57</v>
      </c>
      <c r="B1296">
        <v>0</v>
      </c>
      <c r="C1296" t="s">
        <v>32</v>
      </c>
      <c r="D1296">
        <v>447</v>
      </c>
      <c r="E1296" t="s">
        <v>40</v>
      </c>
      <c r="F1296">
        <v>5</v>
      </c>
      <c r="G1296" t="str">
        <f>IF(Table2[[#This Row],[DistanceFromHome]]&lt;=5, "short", IF(Table2[[#This Row],[DistanceFromHome]]&lt;=15, "medium", "long"))</f>
        <v>short</v>
      </c>
      <c r="H1296">
        <v>3</v>
      </c>
      <c r="I1296" t="s">
        <v>34</v>
      </c>
      <c r="J1296">
        <v>1814</v>
      </c>
      <c r="K1296">
        <v>2</v>
      </c>
      <c r="L1296" t="s">
        <v>41</v>
      </c>
      <c r="M1296">
        <v>85</v>
      </c>
      <c r="N1296">
        <v>4</v>
      </c>
      <c r="O1296">
        <v>2</v>
      </c>
      <c r="P1296" t="s">
        <v>49</v>
      </c>
      <c r="Q1296">
        <v>2</v>
      </c>
      <c r="R1296" t="s">
        <v>37</v>
      </c>
      <c r="S1296">
        <v>6870</v>
      </c>
      <c r="T1296">
        <v>15530</v>
      </c>
      <c r="U1296">
        <v>3</v>
      </c>
      <c r="V1296" t="s">
        <v>38</v>
      </c>
      <c r="W1296">
        <v>12</v>
      </c>
      <c r="X1296">
        <v>3</v>
      </c>
      <c r="Y1296">
        <v>1</v>
      </c>
      <c r="Z1296">
        <v>0</v>
      </c>
      <c r="AA1296">
        <v>11</v>
      </c>
      <c r="AB1296" t="str">
        <f>IF(Table2[[#This Row],[TotalWorkingYears]]&lt;=5,"Early (0-5)",IF(Table2[[#This Row],[TotalWorkingYears]]&lt;=15,"Mid (6-15)","Senior (16+)"))</f>
        <v>Mid (6-15)</v>
      </c>
      <c r="AC1296">
        <v>3</v>
      </c>
      <c r="AD1296">
        <v>1</v>
      </c>
      <c r="AE1296" t="s">
        <v>64</v>
      </c>
      <c r="AF1296">
        <v>2</v>
      </c>
      <c r="AG1296">
        <v>1</v>
      </c>
      <c r="AH1296">
        <v>2</v>
      </c>
    </row>
    <row r="1297" spans="1:34" x14ac:dyDescent="0.3">
      <c r="A1297" t="s">
        <v>57</v>
      </c>
      <c r="B1297">
        <v>0</v>
      </c>
      <c r="C1297" t="s">
        <v>32</v>
      </c>
      <c r="D1297">
        <v>796</v>
      </c>
      <c r="E1297" t="s">
        <v>33</v>
      </c>
      <c r="F1297">
        <v>4</v>
      </c>
      <c r="G1297" t="str">
        <f>IF(Table2[[#This Row],[DistanceFromHome]]&lt;=5, "short", IF(Table2[[#This Row],[DistanceFromHome]]&lt;=15, "medium", "long"))</f>
        <v>short</v>
      </c>
      <c r="H1297">
        <v>1</v>
      </c>
      <c r="I1297" t="s">
        <v>54</v>
      </c>
      <c r="J1297">
        <v>1815</v>
      </c>
      <c r="K1297">
        <v>3</v>
      </c>
      <c r="L1297" t="s">
        <v>35</v>
      </c>
      <c r="M1297">
        <v>81</v>
      </c>
      <c r="N1297">
        <v>3</v>
      </c>
      <c r="O1297">
        <v>3</v>
      </c>
      <c r="P1297" t="s">
        <v>36</v>
      </c>
      <c r="Q1297">
        <v>3</v>
      </c>
      <c r="R1297" t="s">
        <v>47</v>
      </c>
      <c r="S1297">
        <v>10447</v>
      </c>
      <c r="T1297">
        <v>26458</v>
      </c>
      <c r="U1297">
        <v>0</v>
      </c>
      <c r="V1297" t="s">
        <v>31</v>
      </c>
      <c r="W1297">
        <v>13</v>
      </c>
      <c r="X1297">
        <v>3</v>
      </c>
      <c r="Y1297">
        <v>4</v>
      </c>
      <c r="Z1297">
        <v>1</v>
      </c>
      <c r="AA1297">
        <v>23</v>
      </c>
      <c r="AB1297" t="str">
        <f>IF(Table2[[#This Row],[TotalWorkingYears]]&lt;=5,"Early (0-5)",IF(Table2[[#This Row],[TotalWorkingYears]]&lt;=15,"Mid (6-15)","Senior (16+)"))</f>
        <v>Senior (16+)</v>
      </c>
      <c r="AC1297">
        <v>3</v>
      </c>
      <c r="AD1297">
        <v>4</v>
      </c>
      <c r="AE1297" t="s">
        <v>65</v>
      </c>
      <c r="AF1297">
        <v>14</v>
      </c>
      <c r="AG1297">
        <v>13</v>
      </c>
      <c r="AH1297">
        <v>5</v>
      </c>
    </row>
    <row r="1298" spans="1:34" x14ac:dyDescent="0.3">
      <c r="A1298" t="s">
        <v>59</v>
      </c>
      <c r="B1298">
        <v>0</v>
      </c>
      <c r="C1298" t="s">
        <v>32</v>
      </c>
      <c r="D1298">
        <v>1092</v>
      </c>
      <c r="E1298" t="s">
        <v>40</v>
      </c>
      <c r="F1298">
        <v>10</v>
      </c>
      <c r="G1298" t="str">
        <f>IF(Table2[[#This Row],[DistanceFromHome]]&lt;=5, "short", IF(Table2[[#This Row],[DistanceFromHome]]&lt;=15, "medium", "long"))</f>
        <v>medium</v>
      </c>
      <c r="H1298">
        <v>3</v>
      </c>
      <c r="I1298" t="s">
        <v>46</v>
      </c>
      <c r="J1298">
        <v>1816</v>
      </c>
      <c r="K1298">
        <v>1</v>
      </c>
      <c r="L1298" t="s">
        <v>35</v>
      </c>
      <c r="M1298">
        <v>64</v>
      </c>
      <c r="N1298">
        <v>3</v>
      </c>
      <c r="O1298">
        <v>3</v>
      </c>
      <c r="P1298" t="s">
        <v>48</v>
      </c>
      <c r="Q1298">
        <v>3</v>
      </c>
      <c r="R1298" t="s">
        <v>37</v>
      </c>
      <c r="S1298">
        <v>9667</v>
      </c>
      <c r="T1298">
        <v>2739</v>
      </c>
      <c r="U1298">
        <v>9</v>
      </c>
      <c r="V1298" t="s">
        <v>38</v>
      </c>
      <c r="W1298">
        <v>14</v>
      </c>
      <c r="X1298">
        <v>3</v>
      </c>
      <c r="Y1298">
        <v>2</v>
      </c>
      <c r="Z1298">
        <v>0</v>
      </c>
      <c r="AA1298">
        <v>9</v>
      </c>
      <c r="AB1298" t="str">
        <f>IF(Table2[[#This Row],[TotalWorkingYears]]&lt;=5,"Early (0-5)",IF(Table2[[#This Row],[TotalWorkingYears]]&lt;=15,"Mid (6-15)","Senior (16+)"))</f>
        <v>Mid (6-15)</v>
      </c>
      <c r="AC1298">
        <v>3</v>
      </c>
      <c r="AD1298">
        <v>3</v>
      </c>
      <c r="AE1298" t="s">
        <v>62</v>
      </c>
      <c r="AF1298">
        <v>7</v>
      </c>
      <c r="AG1298">
        <v>0</v>
      </c>
      <c r="AH1298">
        <v>2</v>
      </c>
    </row>
    <row r="1299" spans="1:34" x14ac:dyDescent="0.3">
      <c r="A1299" t="s">
        <v>59</v>
      </c>
      <c r="B1299">
        <v>1</v>
      </c>
      <c r="C1299" t="s">
        <v>32</v>
      </c>
      <c r="D1299">
        <v>920</v>
      </c>
      <c r="E1299" t="s">
        <v>56</v>
      </c>
      <c r="F1299">
        <v>20</v>
      </c>
      <c r="G1299" t="str">
        <f>IF(Table2[[#This Row],[DistanceFromHome]]&lt;=5, "short", IF(Table2[[#This Row],[DistanceFromHome]]&lt;=15, "medium", "long"))</f>
        <v>long</v>
      </c>
      <c r="H1299">
        <v>2</v>
      </c>
      <c r="I1299" t="s">
        <v>46</v>
      </c>
      <c r="J1299">
        <v>1818</v>
      </c>
      <c r="K1299">
        <v>4</v>
      </c>
      <c r="L1299" t="s">
        <v>35</v>
      </c>
      <c r="M1299">
        <v>69</v>
      </c>
      <c r="N1299">
        <v>3</v>
      </c>
      <c r="O1299">
        <v>1</v>
      </c>
      <c r="P1299" t="s">
        <v>56</v>
      </c>
      <c r="Q1299">
        <v>2</v>
      </c>
      <c r="R1299" t="s">
        <v>43</v>
      </c>
      <c r="S1299">
        <v>2148</v>
      </c>
      <c r="T1299">
        <v>6889</v>
      </c>
      <c r="U1299">
        <v>0</v>
      </c>
      <c r="V1299" t="s">
        <v>31</v>
      </c>
      <c r="W1299">
        <v>11</v>
      </c>
      <c r="X1299">
        <v>3</v>
      </c>
      <c r="Y1299">
        <v>3</v>
      </c>
      <c r="Z1299">
        <v>0</v>
      </c>
      <c r="AA1299">
        <v>6</v>
      </c>
      <c r="AB1299" t="str">
        <f>IF(Table2[[#This Row],[TotalWorkingYears]]&lt;=5,"Early (0-5)",IF(Table2[[#This Row],[TotalWorkingYears]]&lt;=15,"Mid (6-15)","Senior (16+)"))</f>
        <v>Mid (6-15)</v>
      </c>
      <c r="AC1299">
        <v>3</v>
      </c>
      <c r="AD1299">
        <v>3</v>
      </c>
      <c r="AE1299" t="s">
        <v>64</v>
      </c>
      <c r="AF1299">
        <v>1</v>
      </c>
      <c r="AG1299">
        <v>1</v>
      </c>
      <c r="AH1299">
        <v>4</v>
      </c>
    </row>
    <row r="1300" spans="1:34" x14ac:dyDescent="0.3">
      <c r="A1300" t="s">
        <v>58</v>
      </c>
      <c r="B1300">
        <v>1</v>
      </c>
      <c r="C1300" t="s">
        <v>32</v>
      </c>
      <c r="D1300">
        <v>261</v>
      </c>
      <c r="E1300" t="s">
        <v>40</v>
      </c>
      <c r="F1300">
        <v>21</v>
      </c>
      <c r="G1300" t="str">
        <f>IF(Table2[[#This Row],[DistanceFromHome]]&lt;=5, "short", IF(Table2[[#This Row],[DistanceFromHome]]&lt;=15, "medium", "long"))</f>
        <v>long</v>
      </c>
      <c r="H1300">
        <v>2</v>
      </c>
      <c r="I1300" t="s">
        <v>46</v>
      </c>
      <c r="J1300">
        <v>1821</v>
      </c>
      <c r="K1300">
        <v>4</v>
      </c>
      <c r="L1300" t="s">
        <v>35</v>
      </c>
      <c r="M1300">
        <v>66</v>
      </c>
      <c r="N1300">
        <v>3</v>
      </c>
      <c r="O1300">
        <v>2</v>
      </c>
      <c r="P1300" t="s">
        <v>49</v>
      </c>
      <c r="Q1300">
        <v>2</v>
      </c>
      <c r="R1300" t="s">
        <v>43</v>
      </c>
      <c r="S1300">
        <v>8926</v>
      </c>
      <c r="T1300">
        <v>10842</v>
      </c>
      <c r="U1300">
        <v>4</v>
      </c>
      <c r="V1300" t="s">
        <v>38</v>
      </c>
      <c r="W1300">
        <v>22</v>
      </c>
      <c r="X1300">
        <v>4</v>
      </c>
      <c r="Y1300">
        <v>4</v>
      </c>
      <c r="Z1300">
        <v>1</v>
      </c>
      <c r="AA1300">
        <v>13</v>
      </c>
      <c r="AB1300" t="str">
        <f>IF(Table2[[#This Row],[TotalWorkingYears]]&lt;=5,"Early (0-5)",IF(Table2[[#This Row],[TotalWorkingYears]]&lt;=15,"Mid (6-15)","Senior (16+)"))</f>
        <v>Mid (6-15)</v>
      </c>
      <c r="AC1300">
        <v>2</v>
      </c>
      <c r="AD1300">
        <v>4</v>
      </c>
      <c r="AE1300" t="s">
        <v>62</v>
      </c>
      <c r="AF1300">
        <v>7</v>
      </c>
      <c r="AG1300">
        <v>3</v>
      </c>
      <c r="AH1300">
        <v>7</v>
      </c>
    </row>
    <row r="1301" spans="1:34" x14ac:dyDescent="0.3">
      <c r="A1301" t="s">
        <v>57</v>
      </c>
      <c r="B1301">
        <v>0</v>
      </c>
      <c r="C1301" t="s">
        <v>32</v>
      </c>
      <c r="D1301">
        <v>1194</v>
      </c>
      <c r="E1301" t="s">
        <v>40</v>
      </c>
      <c r="F1301">
        <v>1</v>
      </c>
      <c r="G1301" t="str">
        <f>IF(Table2[[#This Row],[DistanceFromHome]]&lt;=5, "short", IF(Table2[[#This Row],[DistanceFromHome]]&lt;=15, "medium", "long"))</f>
        <v>short</v>
      </c>
      <c r="H1301">
        <v>3</v>
      </c>
      <c r="I1301" t="s">
        <v>34</v>
      </c>
      <c r="J1301">
        <v>1822</v>
      </c>
      <c r="K1301">
        <v>3</v>
      </c>
      <c r="L1301" t="s">
        <v>35</v>
      </c>
      <c r="M1301">
        <v>52</v>
      </c>
      <c r="N1301">
        <v>3</v>
      </c>
      <c r="O1301">
        <v>2</v>
      </c>
      <c r="P1301" t="s">
        <v>49</v>
      </c>
      <c r="Q1301">
        <v>4</v>
      </c>
      <c r="R1301" t="s">
        <v>47</v>
      </c>
      <c r="S1301">
        <v>6513</v>
      </c>
      <c r="T1301">
        <v>9060</v>
      </c>
      <c r="U1301">
        <v>4</v>
      </c>
      <c r="V1301" t="s">
        <v>38</v>
      </c>
      <c r="W1301">
        <v>17</v>
      </c>
      <c r="X1301">
        <v>3</v>
      </c>
      <c r="Y1301">
        <v>4</v>
      </c>
      <c r="Z1301">
        <v>1</v>
      </c>
      <c r="AA1301">
        <v>12</v>
      </c>
      <c r="AB1301" t="str">
        <f>IF(Table2[[#This Row],[TotalWorkingYears]]&lt;=5,"Early (0-5)",IF(Table2[[#This Row],[TotalWorkingYears]]&lt;=15,"Mid (6-15)","Senior (16+)"))</f>
        <v>Mid (6-15)</v>
      </c>
      <c r="AC1301">
        <v>3</v>
      </c>
      <c r="AD1301">
        <v>3</v>
      </c>
      <c r="AE1301" t="s">
        <v>64</v>
      </c>
      <c r="AF1301">
        <v>3</v>
      </c>
      <c r="AG1301">
        <v>0</v>
      </c>
      <c r="AH1301">
        <v>3</v>
      </c>
    </row>
    <row r="1302" spans="1:34" x14ac:dyDescent="0.3">
      <c r="A1302" t="s">
        <v>59</v>
      </c>
      <c r="B1302">
        <v>0</v>
      </c>
      <c r="C1302" t="s">
        <v>32</v>
      </c>
      <c r="D1302">
        <v>810</v>
      </c>
      <c r="E1302" t="s">
        <v>33</v>
      </c>
      <c r="F1302">
        <v>8</v>
      </c>
      <c r="G1302" t="str">
        <f>IF(Table2[[#This Row],[DistanceFromHome]]&lt;=5, "short", IF(Table2[[#This Row],[DistanceFromHome]]&lt;=15, "medium", "long"))</f>
        <v>medium</v>
      </c>
      <c r="H1302">
        <v>2</v>
      </c>
      <c r="I1302" t="s">
        <v>55</v>
      </c>
      <c r="J1302">
        <v>1823</v>
      </c>
      <c r="K1302">
        <v>2</v>
      </c>
      <c r="L1302" t="s">
        <v>41</v>
      </c>
      <c r="M1302">
        <v>92</v>
      </c>
      <c r="N1302">
        <v>4</v>
      </c>
      <c r="O1302">
        <v>2</v>
      </c>
      <c r="P1302" t="s">
        <v>36</v>
      </c>
      <c r="Q1302">
        <v>3</v>
      </c>
      <c r="R1302" t="s">
        <v>43</v>
      </c>
      <c r="S1302">
        <v>6799</v>
      </c>
      <c r="T1302">
        <v>22128</v>
      </c>
      <c r="U1302">
        <v>1</v>
      </c>
      <c r="V1302" t="s">
        <v>38</v>
      </c>
      <c r="W1302">
        <v>21</v>
      </c>
      <c r="X1302">
        <v>4</v>
      </c>
      <c r="Y1302">
        <v>3</v>
      </c>
      <c r="Z1302">
        <v>2</v>
      </c>
      <c r="AA1302">
        <v>10</v>
      </c>
      <c r="AB1302" t="str">
        <f>IF(Table2[[#This Row],[TotalWorkingYears]]&lt;=5,"Early (0-5)",IF(Table2[[#This Row],[TotalWorkingYears]]&lt;=15,"Mid (6-15)","Senior (16+)"))</f>
        <v>Mid (6-15)</v>
      </c>
      <c r="AC1302">
        <v>5</v>
      </c>
      <c r="AD1302">
        <v>3</v>
      </c>
      <c r="AE1302" t="s">
        <v>62</v>
      </c>
      <c r="AF1302">
        <v>8</v>
      </c>
      <c r="AG1302">
        <v>4</v>
      </c>
      <c r="AH1302">
        <v>8</v>
      </c>
    </row>
    <row r="1303" spans="1:34" x14ac:dyDescent="0.3">
      <c r="A1303" t="s">
        <v>58</v>
      </c>
      <c r="B1303">
        <v>0</v>
      </c>
      <c r="C1303" t="s">
        <v>50</v>
      </c>
      <c r="D1303">
        <v>350</v>
      </c>
      <c r="E1303" t="s">
        <v>33</v>
      </c>
      <c r="F1303">
        <v>2</v>
      </c>
      <c r="G1303" t="str">
        <f>IF(Table2[[#This Row],[DistanceFromHome]]&lt;=5, "short", IF(Table2[[#This Row],[DistanceFromHome]]&lt;=15, "medium", "long"))</f>
        <v>short</v>
      </c>
      <c r="H1303">
        <v>3</v>
      </c>
      <c r="I1303" t="s">
        <v>46</v>
      </c>
      <c r="J1303">
        <v>1824</v>
      </c>
      <c r="K1303">
        <v>2</v>
      </c>
      <c r="L1303" t="s">
        <v>41</v>
      </c>
      <c r="M1303">
        <v>52</v>
      </c>
      <c r="N1303">
        <v>3</v>
      </c>
      <c r="O1303">
        <v>4</v>
      </c>
      <c r="P1303" t="s">
        <v>51</v>
      </c>
      <c r="Q1303">
        <v>2</v>
      </c>
      <c r="R1303" t="s">
        <v>47</v>
      </c>
      <c r="S1303">
        <v>16291</v>
      </c>
      <c r="T1303">
        <v>22577</v>
      </c>
      <c r="U1303">
        <v>4</v>
      </c>
      <c r="V1303" t="s">
        <v>38</v>
      </c>
      <c r="W1303">
        <v>22</v>
      </c>
      <c r="X1303">
        <v>4</v>
      </c>
      <c r="Y1303">
        <v>4</v>
      </c>
      <c r="Z1303">
        <v>1</v>
      </c>
      <c r="AA1303">
        <v>37</v>
      </c>
      <c r="AB1303" t="str">
        <f>IF(Table2[[#This Row],[TotalWorkingYears]]&lt;=5,"Early (0-5)",IF(Table2[[#This Row],[TotalWorkingYears]]&lt;=15,"Mid (6-15)","Senior (16+)"))</f>
        <v>Senior (16+)</v>
      </c>
      <c r="AC1303">
        <v>0</v>
      </c>
      <c r="AD1303">
        <v>2</v>
      </c>
      <c r="AE1303" t="s">
        <v>65</v>
      </c>
      <c r="AF1303">
        <v>9</v>
      </c>
      <c r="AG1303">
        <v>14</v>
      </c>
      <c r="AH1303">
        <v>14</v>
      </c>
    </row>
    <row r="1304" spans="1:34" x14ac:dyDescent="0.3">
      <c r="A1304" t="s">
        <v>59</v>
      </c>
      <c r="B1304">
        <v>0</v>
      </c>
      <c r="C1304" t="s">
        <v>32</v>
      </c>
      <c r="D1304">
        <v>185</v>
      </c>
      <c r="E1304" t="s">
        <v>40</v>
      </c>
      <c r="F1304">
        <v>23</v>
      </c>
      <c r="G1304" t="str">
        <f>IF(Table2[[#This Row],[DistanceFromHome]]&lt;=5, "short", IF(Table2[[#This Row],[DistanceFromHome]]&lt;=15, "medium", "long"))</f>
        <v>long</v>
      </c>
      <c r="H1304">
        <v>4</v>
      </c>
      <c r="I1304" t="s">
        <v>46</v>
      </c>
      <c r="J1304">
        <v>1826</v>
      </c>
      <c r="K1304">
        <v>2</v>
      </c>
      <c r="L1304" t="s">
        <v>41</v>
      </c>
      <c r="M1304">
        <v>91</v>
      </c>
      <c r="N1304">
        <v>1</v>
      </c>
      <c r="O1304">
        <v>1</v>
      </c>
      <c r="P1304" t="s">
        <v>45</v>
      </c>
      <c r="Q1304">
        <v>3</v>
      </c>
      <c r="R1304" t="s">
        <v>43</v>
      </c>
      <c r="S1304">
        <v>2705</v>
      </c>
      <c r="T1304">
        <v>9696</v>
      </c>
      <c r="U1304">
        <v>0</v>
      </c>
      <c r="V1304" t="s">
        <v>38</v>
      </c>
      <c r="W1304">
        <v>16</v>
      </c>
      <c r="X1304">
        <v>3</v>
      </c>
      <c r="Y1304">
        <v>2</v>
      </c>
      <c r="Z1304">
        <v>1</v>
      </c>
      <c r="AA1304">
        <v>6</v>
      </c>
      <c r="AB1304" t="str">
        <f>IF(Table2[[#This Row],[TotalWorkingYears]]&lt;=5,"Early (0-5)",IF(Table2[[#This Row],[TotalWorkingYears]]&lt;=15,"Mid (6-15)","Senior (16+)"))</f>
        <v>Mid (6-15)</v>
      </c>
      <c r="AC1304">
        <v>2</v>
      </c>
      <c r="AD1304">
        <v>4</v>
      </c>
      <c r="AE1304" t="s">
        <v>64</v>
      </c>
      <c r="AF1304">
        <v>4</v>
      </c>
      <c r="AG1304">
        <v>0</v>
      </c>
      <c r="AH1304">
        <v>3</v>
      </c>
    </row>
    <row r="1305" spans="1:34" x14ac:dyDescent="0.3">
      <c r="A1305" t="s">
        <v>58</v>
      </c>
      <c r="B1305">
        <v>0</v>
      </c>
      <c r="C1305" t="s">
        <v>32</v>
      </c>
      <c r="D1305">
        <v>1001</v>
      </c>
      <c r="E1305" t="s">
        <v>40</v>
      </c>
      <c r="F1305">
        <v>4</v>
      </c>
      <c r="G1305" t="str">
        <f>IF(Table2[[#This Row],[DistanceFromHome]]&lt;=5, "short", IF(Table2[[#This Row],[DistanceFromHome]]&lt;=15, "medium", "long"))</f>
        <v>short</v>
      </c>
      <c r="H1305">
        <v>3</v>
      </c>
      <c r="I1305" t="s">
        <v>34</v>
      </c>
      <c r="J1305">
        <v>1827</v>
      </c>
      <c r="K1305">
        <v>3</v>
      </c>
      <c r="L1305" t="s">
        <v>35</v>
      </c>
      <c r="M1305">
        <v>92</v>
      </c>
      <c r="N1305">
        <v>2</v>
      </c>
      <c r="O1305">
        <v>3</v>
      </c>
      <c r="P1305" t="s">
        <v>48</v>
      </c>
      <c r="Q1305">
        <v>2</v>
      </c>
      <c r="R1305" t="s">
        <v>47</v>
      </c>
      <c r="S1305">
        <v>10333</v>
      </c>
      <c r="T1305">
        <v>19271</v>
      </c>
      <c r="U1305">
        <v>8</v>
      </c>
      <c r="V1305" t="s">
        <v>31</v>
      </c>
      <c r="W1305">
        <v>12</v>
      </c>
      <c r="X1305">
        <v>3</v>
      </c>
      <c r="Y1305">
        <v>3</v>
      </c>
      <c r="Z1305">
        <v>1</v>
      </c>
      <c r="AA1305">
        <v>28</v>
      </c>
      <c r="AB1305" t="str">
        <f>IF(Table2[[#This Row],[TotalWorkingYears]]&lt;=5,"Early (0-5)",IF(Table2[[#This Row],[TotalWorkingYears]]&lt;=15,"Mid (6-15)","Senior (16+)"))</f>
        <v>Senior (16+)</v>
      </c>
      <c r="AC1305">
        <v>4</v>
      </c>
      <c r="AD1305">
        <v>3</v>
      </c>
      <c r="AE1305" t="s">
        <v>65</v>
      </c>
      <c r="AF1305">
        <v>11</v>
      </c>
      <c r="AG1305">
        <v>14</v>
      </c>
      <c r="AH1305">
        <v>10</v>
      </c>
    </row>
    <row r="1306" spans="1:34" x14ac:dyDescent="0.3">
      <c r="A1306" t="s">
        <v>57</v>
      </c>
      <c r="B1306">
        <v>0</v>
      </c>
      <c r="C1306" t="s">
        <v>32</v>
      </c>
      <c r="D1306">
        <v>750</v>
      </c>
      <c r="E1306" t="s">
        <v>40</v>
      </c>
      <c r="F1306">
        <v>12</v>
      </c>
      <c r="G1306" t="str">
        <f>IF(Table2[[#This Row],[DistanceFromHome]]&lt;=5, "short", IF(Table2[[#This Row],[DistanceFromHome]]&lt;=15, "medium", "long"))</f>
        <v>medium</v>
      </c>
      <c r="H1306">
        <v>3</v>
      </c>
      <c r="I1306" t="s">
        <v>34</v>
      </c>
      <c r="J1306">
        <v>1829</v>
      </c>
      <c r="K1306">
        <v>2</v>
      </c>
      <c r="L1306" t="s">
        <v>35</v>
      </c>
      <c r="M1306">
        <v>47</v>
      </c>
      <c r="N1306">
        <v>3</v>
      </c>
      <c r="O1306">
        <v>2</v>
      </c>
      <c r="P1306" t="s">
        <v>49</v>
      </c>
      <c r="Q1306">
        <v>1</v>
      </c>
      <c r="R1306" t="s">
        <v>47</v>
      </c>
      <c r="S1306">
        <v>4448</v>
      </c>
      <c r="T1306">
        <v>10748</v>
      </c>
      <c r="U1306">
        <v>2</v>
      </c>
      <c r="V1306" t="s">
        <v>38</v>
      </c>
      <c r="W1306">
        <v>12</v>
      </c>
      <c r="X1306">
        <v>3</v>
      </c>
      <c r="Y1306">
        <v>2</v>
      </c>
      <c r="Z1306">
        <v>1</v>
      </c>
      <c r="AA1306">
        <v>15</v>
      </c>
      <c r="AB1306" t="str">
        <f>IF(Table2[[#This Row],[TotalWorkingYears]]&lt;=5,"Early (0-5)",IF(Table2[[#This Row],[TotalWorkingYears]]&lt;=15,"Mid (6-15)","Senior (16+)"))</f>
        <v>Mid (6-15)</v>
      </c>
      <c r="AC1306">
        <v>3</v>
      </c>
      <c r="AD1306">
        <v>3</v>
      </c>
      <c r="AE1306" t="s">
        <v>62</v>
      </c>
      <c r="AF1306">
        <v>4</v>
      </c>
      <c r="AG1306">
        <v>7</v>
      </c>
      <c r="AH1306">
        <v>7</v>
      </c>
    </row>
    <row r="1307" spans="1:34" x14ac:dyDescent="0.3">
      <c r="A1307" t="s">
        <v>58</v>
      </c>
      <c r="B1307">
        <v>0</v>
      </c>
      <c r="C1307" t="s">
        <v>32</v>
      </c>
      <c r="D1307">
        <v>431</v>
      </c>
      <c r="E1307" t="s">
        <v>40</v>
      </c>
      <c r="F1307">
        <v>7</v>
      </c>
      <c r="G1307" t="str">
        <f>IF(Table2[[#This Row],[DistanceFromHome]]&lt;=5, "short", IF(Table2[[#This Row],[DistanceFromHome]]&lt;=15, "medium", "long"))</f>
        <v>medium</v>
      </c>
      <c r="H1307">
        <v>4</v>
      </c>
      <c r="I1307" t="s">
        <v>46</v>
      </c>
      <c r="J1307">
        <v>1830</v>
      </c>
      <c r="K1307">
        <v>4</v>
      </c>
      <c r="L1307" t="s">
        <v>35</v>
      </c>
      <c r="M1307">
        <v>68</v>
      </c>
      <c r="N1307">
        <v>3</v>
      </c>
      <c r="O1307">
        <v>2</v>
      </c>
      <c r="P1307" t="s">
        <v>42</v>
      </c>
      <c r="Q1307">
        <v>4</v>
      </c>
      <c r="R1307" t="s">
        <v>43</v>
      </c>
      <c r="S1307">
        <v>6854</v>
      </c>
      <c r="T1307">
        <v>15696</v>
      </c>
      <c r="U1307">
        <v>4</v>
      </c>
      <c r="V1307" t="s">
        <v>38</v>
      </c>
      <c r="W1307">
        <v>15</v>
      </c>
      <c r="X1307">
        <v>3</v>
      </c>
      <c r="Y1307">
        <v>2</v>
      </c>
      <c r="Z1307">
        <v>1</v>
      </c>
      <c r="AA1307">
        <v>14</v>
      </c>
      <c r="AB1307" t="str">
        <f>IF(Table2[[#This Row],[TotalWorkingYears]]&lt;=5,"Early (0-5)",IF(Table2[[#This Row],[TotalWorkingYears]]&lt;=15,"Mid (6-15)","Senior (16+)"))</f>
        <v>Mid (6-15)</v>
      </c>
      <c r="AC1307">
        <v>2</v>
      </c>
      <c r="AD1307">
        <v>2</v>
      </c>
      <c r="AE1307" t="s">
        <v>62</v>
      </c>
      <c r="AF1307">
        <v>1</v>
      </c>
      <c r="AG1307">
        <v>1</v>
      </c>
      <c r="AH1307">
        <v>7</v>
      </c>
    </row>
    <row r="1308" spans="1:34" x14ac:dyDescent="0.3">
      <c r="A1308" t="s">
        <v>59</v>
      </c>
      <c r="B1308">
        <v>0</v>
      </c>
      <c r="C1308" t="s">
        <v>39</v>
      </c>
      <c r="D1308">
        <v>1125</v>
      </c>
      <c r="E1308" t="s">
        <v>33</v>
      </c>
      <c r="F1308">
        <v>7</v>
      </c>
      <c r="G1308" t="str">
        <f>IF(Table2[[#This Row],[DistanceFromHome]]&lt;=5, "short", IF(Table2[[#This Row],[DistanceFromHome]]&lt;=15, "medium", "long"))</f>
        <v>medium</v>
      </c>
      <c r="H1308">
        <v>4</v>
      </c>
      <c r="I1308" t="s">
        <v>54</v>
      </c>
      <c r="J1308">
        <v>1833</v>
      </c>
      <c r="K1308">
        <v>1</v>
      </c>
      <c r="L1308" t="s">
        <v>35</v>
      </c>
      <c r="M1308">
        <v>68</v>
      </c>
      <c r="N1308">
        <v>3</v>
      </c>
      <c r="O1308">
        <v>3</v>
      </c>
      <c r="P1308" t="s">
        <v>36</v>
      </c>
      <c r="Q1308">
        <v>1</v>
      </c>
      <c r="R1308" t="s">
        <v>43</v>
      </c>
      <c r="S1308">
        <v>9637</v>
      </c>
      <c r="T1308">
        <v>8277</v>
      </c>
      <c r="U1308">
        <v>2</v>
      </c>
      <c r="V1308" t="s">
        <v>38</v>
      </c>
      <c r="W1308">
        <v>14</v>
      </c>
      <c r="X1308">
        <v>3</v>
      </c>
      <c r="Y1308">
        <v>4</v>
      </c>
      <c r="Z1308">
        <v>2</v>
      </c>
      <c r="AA1308">
        <v>9</v>
      </c>
      <c r="AB1308" t="str">
        <f>IF(Table2[[#This Row],[TotalWorkingYears]]&lt;=5,"Early (0-5)",IF(Table2[[#This Row],[TotalWorkingYears]]&lt;=15,"Mid (6-15)","Senior (16+)"))</f>
        <v>Mid (6-15)</v>
      </c>
      <c r="AC1308">
        <v>3</v>
      </c>
      <c r="AD1308">
        <v>3</v>
      </c>
      <c r="AE1308" t="s">
        <v>64</v>
      </c>
      <c r="AF1308">
        <v>2</v>
      </c>
      <c r="AG1308">
        <v>2</v>
      </c>
      <c r="AH1308">
        <v>2</v>
      </c>
    </row>
    <row r="1309" spans="1:34" x14ac:dyDescent="0.3">
      <c r="A1309" t="s">
        <v>59</v>
      </c>
      <c r="B1309">
        <v>0</v>
      </c>
      <c r="C1309" t="s">
        <v>32</v>
      </c>
      <c r="D1309">
        <v>1217</v>
      </c>
      <c r="E1309" t="s">
        <v>40</v>
      </c>
      <c r="F1309">
        <v>1</v>
      </c>
      <c r="G1309" t="str">
        <f>IF(Table2[[#This Row],[DistanceFromHome]]&lt;=5, "short", IF(Table2[[#This Row],[DistanceFromHome]]&lt;=15, "medium", "long"))</f>
        <v>short</v>
      </c>
      <c r="H1309">
        <v>3</v>
      </c>
      <c r="I1309" t="s">
        <v>46</v>
      </c>
      <c r="J1309">
        <v>1834</v>
      </c>
      <c r="K1309">
        <v>3</v>
      </c>
      <c r="L1309" t="s">
        <v>35</v>
      </c>
      <c r="M1309">
        <v>67</v>
      </c>
      <c r="N1309">
        <v>3</v>
      </c>
      <c r="O1309">
        <v>1</v>
      </c>
      <c r="P1309" t="s">
        <v>42</v>
      </c>
      <c r="Q1309">
        <v>1</v>
      </c>
      <c r="R1309" t="s">
        <v>43</v>
      </c>
      <c r="S1309">
        <v>3591</v>
      </c>
      <c r="T1309">
        <v>12719</v>
      </c>
      <c r="U1309">
        <v>1</v>
      </c>
      <c r="V1309" t="s">
        <v>38</v>
      </c>
      <c r="W1309">
        <v>25</v>
      </c>
      <c r="X1309">
        <v>4</v>
      </c>
      <c r="Y1309">
        <v>3</v>
      </c>
      <c r="Z1309">
        <v>1</v>
      </c>
      <c r="AA1309">
        <v>3</v>
      </c>
      <c r="AB1309" t="str">
        <f>IF(Table2[[#This Row],[TotalWorkingYears]]&lt;=5,"Early (0-5)",IF(Table2[[#This Row],[TotalWorkingYears]]&lt;=15,"Mid (6-15)","Senior (16+)"))</f>
        <v>Early (0-5)</v>
      </c>
      <c r="AC1309">
        <v>3</v>
      </c>
      <c r="AD1309">
        <v>3</v>
      </c>
      <c r="AE1309" t="s">
        <v>64</v>
      </c>
      <c r="AF1309">
        <v>2</v>
      </c>
      <c r="AG1309">
        <v>1</v>
      </c>
      <c r="AH1309">
        <v>2</v>
      </c>
    </row>
    <row r="1310" spans="1:34" x14ac:dyDescent="0.3">
      <c r="A1310" t="s">
        <v>57</v>
      </c>
      <c r="B1310">
        <v>0</v>
      </c>
      <c r="C1310" t="s">
        <v>32</v>
      </c>
      <c r="D1310">
        <v>723</v>
      </c>
      <c r="E1310" t="s">
        <v>33</v>
      </c>
      <c r="F1310">
        <v>2</v>
      </c>
      <c r="G1310" t="str">
        <f>IF(Table2[[#This Row],[DistanceFromHome]]&lt;=5, "short", IF(Table2[[#This Row],[DistanceFromHome]]&lt;=15, "medium", "long"))</f>
        <v>short</v>
      </c>
      <c r="H1310">
        <v>4</v>
      </c>
      <c r="I1310" t="s">
        <v>54</v>
      </c>
      <c r="J1310">
        <v>1835</v>
      </c>
      <c r="K1310">
        <v>2</v>
      </c>
      <c r="L1310" t="s">
        <v>35</v>
      </c>
      <c r="M1310">
        <v>77</v>
      </c>
      <c r="N1310">
        <v>1</v>
      </c>
      <c r="O1310">
        <v>2</v>
      </c>
      <c r="P1310" t="s">
        <v>52</v>
      </c>
      <c r="Q1310">
        <v>4</v>
      </c>
      <c r="R1310" t="s">
        <v>43</v>
      </c>
      <c r="S1310">
        <v>5405</v>
      </c>
      <c r="T1310">
        <v>4244</v>
      </c>
      <c r="U1310">
        <v>2</v>
      </c>
      <c r="V1310" t="s">
        <v>31</v>
      </c>
      <c r="W1310">
        <v>20</v>
      </c>
      <c r="X1310">
        <v>4</v>
      </c>
      <c r="Y1310">
        <v>1</v>
      </c>
      <c r="Z1310">
        <v>2</v>
      </c>
      <c r="AA1310">
        <v>20</v>
      </c>
      <c r="AB1310" t="str">
        <f>IF(Table2[[#This Row],[TotalWorkingYears]]&lt;=5,"Early (0-5)",IF(Table2[[#This Row],[TotalWorkingYears]]&lt;=15,"Mid (6-15)","Senior (16+)"))</f>
        <v>Senior (16+)</v>
      </c>
      <c r="AC1310">
        <v>4</v>
      </c>
      <c r="AD1310">
        <v>2</v>
      </c>
      <c r="AE1310" t="s">
        <v>64</v>
      </c>
      <c r="AF1310">
        <v>2</v>
      </c>
      <c r="AG1310">
        <v>0</v>
      </c>
      <c r="AH1310">
        <v>3</v>
      </c>
    </row>
    <row r="1311" spans="1:34" x14ac:dyDescent="0.3">
      <c r="A1311" t="s">
        <v>59</v>
      </c>
      <c r="B1311">
        <v>0</v>
      </c>
      <c r="C1311" t="s">
        <v>32</v>
      </c>
      <c r="D1311">
        <v>572</v>
      </c>
      <c r="E1311" t="s">
        <v>33</v>
      </c>
      <c r="F1311">
        <v>10</v>
      </c>
      <c r="G1311" t="str">
        <f>IF(Table2[[#This Row],[DistanceFromHome]]&lt;=5, "short", IF(Table2[[#This Row],[DistanceFromHome]]&lt;=15, "medium", "long"))</f>
        <v>medium</v>
      </c>
      <c r="H1311">
        <v>3</v>
      </c>
      <c r="I1311" t="s">
        <v>46</v>
      </c>
      <c r="J1311">
        <v>1836</v>
      </c>
      <c r="K1311">
        <v>3</v>
      </c>
      <c r="L1311" t="s">
        <v>41</v>
      </c>
      <c r="M1311">
        <v>46</v>
      </c>
      <c r="N1311">
        <v>3</v>
      </c>
      <c r="O1311">
        <v>2</v>
      </c>
      <c r="P1311" t="s">
        <v>36</v>
      </c>
      <c r="Q1311">
        <v>4</v>
      </c>
      <c r="R1311" t="s">
        <v>37</v>
      </c>
      <c r="S1311">
        <v>4684</v>
      </c>
      <c r="T1311">
        <v>9125</v>
      </c>
      <c r="U1311">
        <v>1</v>
      </c>
      <c r="V1311" t="s">
        <v>38</v>
      </c>
      <c r="W1311">
        <v>13</v>
      </c>
      <c r="X1311">
        <v>3</v>
      </c>
      <c r="Y1311">
        <v>1</v>
      </c>
      <c r="Z1311">
        <v>0</v>
      </c>
      <c r="AA1311">
        <v>5</v>
      </c>
      <c r="AB1311" t="str">
        <f>IF(Table2[[#This Row],[TotalWorkingYears]]&lt;=5,"Early (0-5)",IF(Table2[[#This Row],[TotalWorkingYears]]&lt;=15,"Mid (6-15)","Senior (16+)"))</f>
        <v>Early (0-5)</v>
      </c>
      <c r="AC1311">
        <v>4</v>
      </c>
      <c r="AD1311">
        <v>3</v>
      </c>
      <c r="AE1311" t="s">
        <v>64</v>
      </c>
      <c r="AF1311">
        <v>3</v>
      </c>
      <c r="AG1311">
        <v>1</v>
      </c>
      <c r="AH1311">
        <v>2</v>
      </c>
    </row>
    <row r="1312" spans="1:34" x14ac:dyDescent="0.3">
      <c r="A1312" t="s">
        <v>58</v>
      </c>
      <c r="B1312">
        <v>0</v>
      </c>
      <c r="C1312" t="s">
        <v>39</v>
      </c>
      <c r="D1312">
        <v>1216</v>
      </c>
      <c r="E1312" t="s">
        <v>40</v>
      </c>
      <c r="F1312">
        <v>15</v>
      </c>
      <c r="G1312" t="str">
        <f>IF(Table2[[#This Row],[DistanceFromHome]]&lt;=5, "short", IF(Table2[[#This Row],[DistanceFromHome]]&lt;=15, "medium", "long"))</f>
        <v>medium</v>
      </c>
      <c r="H1312">
        <v>4</v>
      </c>
      <c r="I1312" t="s">
        <v>34</v>
      </c>
      <c r="J1312">
        <v>1837</v>
      </c>
      <c r="K1312">
        <v>1</v>
      </c>
      <c r="L1312" t="s">
        <v>41</v>
      </c>
      <c r="M1312">
        <v>87</v>
      </c>
      <c r="N1312">
        <v>3</v>
      </c>
      <c r="O1312">
        <v>4</v>
      </c>
      <c r="P1312" t="s">
        <v>53</v>
      </c>
      <c r="Q1312">
        <v>3</v>
      </c>
      <c r="R1312" t="s">
        <v>43</v>
      </c>
      <c r="S1312">
        <v>15787</v>
      </c>
      <c r="T1312">
        <v>21624</v>
      </c>
      <c r="U1312">
        <v>2</v>
      </c>
      <c r="V1312" t="s">
        <v>31</v>
      </c>
      <c r="W1312">
        <v>14</v>
      </c>
      <c r="X1312">
        <v>3</v>
      </c>
      <c r="Y1312">
        <v>2</v>
      </c>
      <c r="Z1312">
        <v>0</v>
      </c>
      <c r="AA1312">
        <v>23</v>
      </c>
      <c r="AB1312" t="str">
        <f>IF(Table2[[#This Row],[TotalWorkingYears]]&lt;=5,"Early (0-5)",IF(Table2[[#This Row],[TotalWorkingYears]]&lt;=15,"Mid (6-15)","Senior (16+)"))</f>
        <v>Senior (16+)</v>
      </c>
      <c r="AC1312">
        <v>3</v>
      </c>
      <c r="AD1312">
        <v>3</v>
      </c>
      <c r="AE1312" t="s">
        <v>63</v>
      </c>
      <c r="AF1312">
        <v>2</v>
      </c>
      <c r="AG1312">
        <v>2</v>
      </c>
      <c r="AH1312">
        <v>2</v>
      </c>
    </row>
    <row r="1313" spans="1:34" x14ac:dyDescent="0.3">
      <c r="A1313" t="s">
        <v>60</v>
      </c>
      <c r="B1313">
        <v>0</v>
      </c>
      <c r="C1313" t="s">
        <v>50</v>
      </c>
      <c r="D1313">
        <v>1431</v>
      </c>
      <c r="E1313" t="s">
        <v>40</v>
      </c>
      <c r="F1313">
        <v>14</v>
      </c>
      <c r="G1313" t="str">
        <f>IF(Table2[[#This Row],[DistanceFromHome]]&lt;=5, "short", IF(Table2[[#This Row],[DistanceFromHome]]&lt;=15, "medium", "long"))</f>
        <v>medium</v>
      </c>
      <c r="H1313">
        <v>3</v>
      </c>
      <c r="I1313" t="s">
        <v>46</v>
      </c>
      <c r="J1313">
        <v>1839</v>
      </c>
      <c r="K1313">
        <v>2</v>
      </c>
      <c r="L1313" t="s">
        <v>35</v>
      </c>
      <c r="M1313">
        <v>33</v>
      </c>
      <c r="N1313">
        <v>3</v>
      </c>
      <c r="O1313">
        <v>1</v>
      </c>
      <c r="P1313" t="s">
        <v>42</v>
      </c>
      <c r="Q1313">
        <v>3</v>
      </c>
      <c r="R1313" t="s">
        <v>37</v>
      </c>
      <c r="S1313">
        <v>1514</v>
      </c>
      <c r="T1313">
        <v>8018</v>
      </c>
      <c r="U1313">
        <v>1</v>
      </c>
      <c r="V1313" t="s">
        <v>38</v>
      </c>
      <c r="W1313">
        <v>16</v>
      </c>
      <c r="X1313">
        <v>3</v>
      </c>
      <c r="Y1313">
        <v>3</v>
      </c>
      <c r="Z1313">
        <v>0</v>
      </c>
      <c r="AA1313">
        <v>0</v>
      </c>
      <c r="AB1313" t="str">
        <f>IF(Table2[[#This Row],[TotalWorkingYears]]&lt;=5,"Early (0-5)",IF(Table2[[#This Row],[TotalWorkingYears]]&lt;=15,"Mid (6-15)","Senior (16+)"))</f>
        <v>Early (0-5)</v>
      </c>
      <c r="AC1313">
        <v>4</v>
      </c>
      <c r="AD1313">
        <v>1</v>
      </c>
      <c r="AE1313" t="s">
        <v>63</v>
      </c>
      <c r="AF1313">
        <v>0</v>
      </c>
      <c r="AG1313">
        <v>0</v>
      </c>
      <c r="AH1313">
        <v>0</v>
      </c>
    </row>
    <row r="1314" spans="1:34" x14ac:dyDescent="0.3">
      <c r="A1314" t="s">
        <v>59</v>
      </c>
      <c r="B1314">
        <v>1</v>
      </c>
      <c r="C1314" t="s">
        <v>32</v>
      </c>
      <c r="D1314">
        <v>359</v>
      </c>
      <c r="E1314" t="s">
        <v>56</v>
      </c>
      <c r="F1314">
        <v>18</v>
      </c>
      <c r="G1314" t="str">
        <f>IF(Table2[[#This Row],[DistanceFromHome]]&lt;=5, "short", IF(Table2[[#This Row],[DistanceFromHome]]&lt;=15, "medium", "long"))</f>
        <v>long</v>
      </c>
      <c r="H1314">
        <v>5</v>
      </c>
      <c r="I1314" t="s">
        <v>56</v>
      </c>
      <c r="J1314">
        <v>1842</v>
      </c>
      <c r="K1314">
        <v>4</v>
      </c>
      <c r="L1314" t="s">
        <v>41</v>
      </c>
      <c r="M1314">
        <v>89</v>
      </c>
      <c r="N1314">
        <v>4</v>
      </c>
      <c r="O1314">
        <v>1</v>
      </c>
      <c r="P1314" t="s">
        <v>56</v>
      </c>
      <c r="Q1314">
        <v>1</v>
      </c>
      <c r="R1314" t="s">
        <v>43</v>
      </c>
      <c r="S1314">
        <v>2956</v>
      </c>
      <c r="T1314">
        <v>21495</v>
      </c>
      <c r="U1314">
        <v>0</v>
      </c>
      <c r="V1314" t="s">
        <v>38</v>
      </c>
      <c r="W1314">
        <v>17</v>
      </c>
      <c r="X1314">
        <v>3</v>
      </c>
      <c r="Y1314">
        <v>3</v>
      </c>
      <c r="Z1314">
        <v>0</v>
      </c>
      <c r="AA1314">
        <v>2</v>
      </c>
      <c r="AB1314" t="str">
        <f>IF(Table2[[#This Row],[TotalWorkingYears]]&lt;=5,"Early (0-5)",IF(Table2[[#This Row],[TotalWorkingYears]]&lt;=15,"Mid (6-15)","Senior (16+)"))</f>
        <v>Early (0-5)</v>
      </c>
      <c r="AC1314">
        <v>4</v>
      </c>
      <c r="AD1314">
        <v>3</v>
      </c>
      <c r="AE1314" t="s">
        <v>63</v>
      </c>
      <c r="AF1314">
        <v>0</v>
      </c>
      <c r="AG1314">
        <v>0</v>
      </c>
      <c r="AH1314">
        <v>0</v>
      </c>
    </row>
    <row r="1315" spans="1:34" x14ac:dyDescent="0.3">
      <c r="A1315" t="s">
        <v>59</v>
      </c>
      <c r="B1315">
        <v>1</v>
      </c>
      <c r="C1315" t="s">
        <v>32</v>
      </c>
      <c r="D1315">
        <v>350</v>
      </c>
      <c r="E1315" t="s">
        <v>56</v>
      </c>
      <c r="F1315">
        <v>13</v>
      </c>
      <c r="G1315" t="str">
        <f>IF(Table2[[#This Row],[DistanceFromHome]]&lt;=5, "short", IF(Table2[[#This Row],[DistanceFromHome]]&lt;=15, "medium", "long"))</f>
        <v>medium</v>
      </c>
      <c r="H1315">
        <v>3</v>
      </c>
      <c r="I1315" t="s">
        <v>56</v>
      </c>
      <c r="J1315">
        <v>1844</v>
      </c>
      <c r="K1315">
        <v>1</v>
      </c>
      <c r="L1315" t="s">
        <v>41</v>
      </c>
      <c r="M1315">
        <v>56</v>
      </c>
      <c r="N1315">
        <v>2</v>
      </c>
      <c r="O1315">
        <v>1</v>
      </c>
      <c r="P1315" t="s">
        <v>56</v>
      </c>
      <c r="Q1315">
        <v>1</v>
      </c>
      <c r="R1315" t="s">
        <v>47</v>
      </c>
      <c r="S1315">
        <v>2335</v>
      </c>
      <c r="T1315">
        <v>3157</v>
      </c>
      <c r="U1315">
        <v>4</v>
      </c>
      <c r="V1315" t="s">
        <v>31</v>
      </c>
      <c r="W1315">
        <v>15</v>
      </c>
      <c r="X1315">
        <v>3</v>
      </c>
      <c r="Y1315">
        <v>4</v>
      </c>
      <c r="Z1315">
        <v>3</v>
      </c>
      <c r="AA1315">
        <v>4</v>
      </c>
      <c r="AB1315" t="str">
        <f>IF(Table2[[#This Row],[TotalWorkingYears]]&lt;=5,"Early (0-5)",IF(Table2[[#This Row],[TotalWorkingYears]]&lt;=15,"Mid (6-15)","Senior (16+)"))</f>
        <v>Early (0-5)</v>
      </c>
      <c r="AC1315">
        <v>3</v>
      </c>
      <c r="AD1315">
        <v>3</v>
      </c>
      <c r="AE1315" t="s">
        <v>63</v>
      </c>
      <c r="AF1315">
        <v>2</v>
      </c>
      <c r="AG1315">
        <v>2</v>
      </c>
      <c r="AH1315">
        <v>0</v>
      </c>
    </row>
    <row r="1316" spans="1:34" x14ac:dyDescent="0.3">
      <c r="A1316" t="s">
        <v>57</v>
      </c>
      <c r="B1316">
        <v>0</v>
      </c>
      <c r="C1316" t="s">
        <v>50</v>
      </c>
      <c r="D1316">
        <v>589</v>
      </c>
      <c r="E1316" t="s">
        <v>33</v>
      </c>
      <c r="F1316">
        <v>2</v>
      </c>
      <c r="G1316" t="str">
        <f>IF(Table2[[#This Row],[DistanceFromHome]]&lt;=5, "short", IF(Table2[[#This Row],[DistanceFromHome]]&lt;=15, "medium", "long"))</f>
        <v>short</v>
      </c>
      <c r="H1316">
        <v>4</v>
      </c>
      <c r="I1316" t="s">
        <v>34</v>
      </c>
      <c r="J1316">
        <v>1845</v>
      </c>
      <c r="K1316">
        <v>3</v>
      </c>
      <c r="L1316" t="s">
        <v>35</v>
      </c>
      <c r="M1316">
        <v>67</v>
      </c>
      <c r="N1316">
        <v>3</v>
      </c>
      <c r="O1316">
        <v>2</v>
      </c>
      <c r="P1316" t="s">
        <v>36</v>
      </c>
      <c r="Q1316">
        <v>3</v>
      </c>
      <c r="R1316" t="s">
        <v>43</v>
      </c>
      <c r="S1316">
        <v>5154</v>
      </c>
      <c r="T1316">
        <v>19665</v>
      </c>
      <c r="U1316">
        <v>4</v>
      </c>
      <c r="V1316" t="s">
        <v>38</v>
      </c>
      <c r="W1316">
        <v>22</v>
      </c>
      <c r="X1316">
        <v>4</v>
      </c>
      <c r="Y1316">
        <v>2</v>
      </c>
      <c r="Z1316">
        <v>2</v>
      </c>
      <c r="AA1316">
        <v>10</v>
      </c>
      <c r="AB1316" t="str">
        <f>IF(Table2[[#This Row],[TotalWorkingYears]]&lt;=5,"Early (0-5)",IF(Table2[[#This Row],[TotalWorkingYears]]&lt;=15,"Mid (6-15)","Senior (16+)"))</f>
        <v>Mid (6-15)</v>
      </c>
      <c r="AC1316">
        <v>3</v>
      </c>
      <c r="AD1316">
        <v>4</v>
      </c>
      <c r="AE1316" t="s">
        <v>62</v>
      </c>
      <c r="AF1316">
        <v>7</v>
      </c>
      <c r="AG1316">
        <v>5</v>
      </c>
      <c r="AH1316">
        <v>7</v>
      </c>
    </row>
    <row r="1317" spans="1:34" x14ac:dyDescent="0.3">
      <c r="A1317" t="s">
        <v>57</v>
      </c>
      <c r="B1317">
        <v>0</v>
      </c>
      <c r="C1317" t="s">
        <v>32</v>
      </c>
      <c r="D1317">
        <v>430</v>
      </c>
      <c r="E1317" t="s">
        <v>40</v>
      </c>
      <c r="F1317">
        <v>2</v>
      </c>
      <c r="G1317" t="str">
        <f>IF(Table2[[#This Row],[DistanceFromHome]]&lt;=5, "short", IF(Table2[[#This Row],[DistanceFromHome]]&lt;=15, "medium", "long"))</f>
        <v>short</v>
      </c>
      <c r="H1317">
        <v>4</v>
      </c>
      <c r="I1317" t="s">
        <v>44</v>
      </c>
      <c r="J1317">
        <v>1847</v>
      </c>
      <c r="K1317">
        <v>4</v>
      </c>
      <c r="L1317" t="s">
        <v>35</v>
      </c>
      <c r="M1317">
        <v>73</v>
      </c>
      <c r="N1317">
        <v>3</v>
      </c>
      <c r="O1317">
        <v>2</v>
      </c>
      <c r="P1317" t="s">
        <v>42</v>
      </c>
      <c r="Q1317">
        <v>2</v>
      </c>
      <c r="R1317" t="s">
        <v>43</v>
      </c>
      <c r="S1317">
        <v>6962</v>
      </c>
      <c r="T1317">
        <v>19573</v>
      </c>
      <c r="U1317">
        <v>4</v>
      </c>
      <c r="V1317" t="s">
        <v>31</v>
      </c>
      <c r="W1317">
        <v>22</v>
      </c>
      <c r="X1317">
        <v>4</v>
      </c>
      <c r="Y1317">
        <v>4</v>
      </c>
      <c r="Z1317">
        <v>1</v>
      </c>
      <c r="AA1317">
        <v>15</v>
      </c>
      <c r="AB1317" t="str">
        <f>IF(Table2[[#This Row],[TotalWorkingYears]]&lt;=5,"Early (0-5)",IF(Table2[[#This Row],[TotalWorkingYears]]&lt;=15,"Mid (6-15)","Senior (16+)"))</f>
        <v>Mid (6-15)</v>
      </c>
      <c r="AC1317">
        <v>2</v>
      </c>
      <c r="AD1317">
        <v>3</v>
      </c>
      <c r="AE1317" t="s">
        <v>63</v>
      </c>
      <c r="AF1317">
        <v>0</v>
      </c>
      <c r="AG1317">
        <v>0</v>
      </c>
      <c r="AH1317">
        <v>0</v>
      </c>
    </row>
    <row r="1318" spans="1:34" x14ac:dyDescent="0.3">
      <c r="A1318" t="s">
        <v>57</v>
      </c>
      <c r="B1318">
        <v>0</v>
      </c>
      <c r="C1318" t="s">
        <v>39</v>
      </c>
      <c r="D1318">
        <v>1422</v>
      </c>
      <c r="E1318" t="s">
        <v>33</v>
      </c>
      <c r="F1318">
        <v>2</v>
      </c>
      <c r="G1318" t="str">
        <f>IF(Table2[[#This Row],[DistanceFromHome]]&lt;=5, "short", IF(Table2[[#This Row],[DistanceFromHome]]&lt;=15, "medium", "long"))</f>
        <v>short</v>
      </c>
      <c r="H1318">
        <v>4</v>
      </c>
      <c r="I1318" t="s">
        <v>34</v>
      </c>
      <c r="J1318">
        <v>1849</v>
      </c>
      <c r="K1318">
        <v>1</v>
      </c>
      <c r="L1318" t="s">
        <v>41</v>
      </c>
      <c r="M1318">
        <v>92</v>
      </c>
      <c r="N1318">
        <v>3</v>
      </c>
      <c r="O1318">
        <v>2</v>
      </c>
      <c r="P1318" t="s">
        <v>36</v>
      </c>
      <c r="Q1318">
        <v>4</v>
      </c>
      <c r="R1318" t="s">
        <v>43</v>
      </c>
      <c r="S1318">
        <v>5675</v>
      </c>
      <c r="T1318">
        <v>19246</v>
      </c>
      <c r="U1318">
        <v>1</v>
      </c>
      <c r="V1318" t="s">
        <v>38</v>
      </c>
      <c r="W1318">
        <v>20</v>
      </c>
      <c r="X1318">
        <v>4</v>
      </c>
      <c r="Y1318">
        <v>3</v>
      </c>
      <c r="Z1318">
        <v>1</v>
      </c>
      <c r="AA1318">
        <v>7</v>
      </c>
      <c r="AB1318" t="str">
        <f>IF(Table2[[#This Row],[TotalWorkingYears]]&lt;=5,"Early (0-5)",IF(Table2[[#This Row],[TotalWorkingYears]]&lt;=15,"Mid (6-15)","Senior (16+)"))</f>
        <v>Mid (6-15)</v>
      </c>
      <c r="AC1318">
        <v>5</v>
      </c>
      <c r="AD1318">
        <v>3</v>
      </c>
      <c r="AE1318" t="s">
        <v>62</v>
      </c>
      <c r="AF1318">
        <v>7</v>
      </c>
      <c r="AG1318">
        <v>7</v>
      </c>
      <c r="AH1318">
        <v>7</v>
      </c>
    </row>
    <row r="1319" spans="1:34" x14ac:dyDescent="0.3">
      <c r="A1319" t="s">
        <v>59</v>
      </c>
      <c r="B1319">
        <v>0</v>
      </c>
      <c r="C1319" t="s">
        <v>39</v>
      </c>
      <c r="D1319">
        <v>1297</v>
      </c>
      <c r="E1319" t="s">
        <v>40</v>
      </c>
      <c r="F1319">
        <v>5</v>
      </c>
      <c r="G1319" t="str">
        <f>IF(Table2[[#This Row],[DistanceFromHome]]&lt;=5, "short", IF(Table2[[#This Row],[DistanceFromHome]]&lt;=15, "medium", "long"))</f>
        <v>short</v>
      </c>
      <c r="H1319">
        <v>2</v>
      </c>
      <c r="I1319" t="s">
        <v>34</v>
      </c>
      <c r="J1319">
        <v>1850</v>
      </c>
      <c r="K1319">
        <v>4</v>
      </c>
      <c r="L1319" t="s">
        <v>35</v>
      </c>
      <c r="M1319">
        <v>53</v>
      </c>
      <c r="N1319">
        <v>3</v>
      </c>
      <c r="O1319">
        <v>1</v>
      </c>
      <c r="P1319" t="s">
        <v>45</v>
      </c>
      <c r="Q1319">
        <v>4</v>
      </c>
      <c r="R1319" t="s">
        <v>37</v>
      </c>
      <c r="S1319">
        <v>2379</v>
      </c>
      <c r="T1319">
        <v>19826</v>
      </c>
      <c r="U1319">
        <v>0</v>
      </c>
      <c r="V1319" t="s">
        <v>31</v>
      </c>
      <c r="W1319">
        <v>14</v>
      </c>
      <c r="X1319">
        <v>3</v>
      </c>
      <c r="Y1319">
        <v>3</v>
      </c>
      <c r="Z1319">
        <v>0</v>
      </c>
      <c r="AA1319">
        <v>6</v>
      </c>
      <c r="AB1319" t="str">
        <f>IF(Table2[[#This Row],[TotalWorkingYears]]&lt;=5,"Early (0-5)",IF(Table2[[#This Row],[TotalWorkingYears]]&lt;=15,"Mid (6-15)","Senior (16+)"))</f>
        <v>Mid (6-15)</v>
      </c>
      <c r="AC1319">
        <v>3</v>
      </c>
      <c r="AD1319">
        <v>2</v>
      </c>
      <c r="AE1319" t="s">
        <v>64</v>
      </c>
      <c r="AF1319">
        <v>4</v>
      </c>
      <c r="AG1319">
        <v>0</v>
      </c>
      <c r="AH1319">
        <v>2</v>
      </c>
    </row>
    <row r="1320" spans="1:34" x14ac:dyDescent="0.3">
      <c r="A1320" t="s">
        <v>59</v>
      </c>
      <c r="B1320">
        <v>0</v>
      </c>
      <c r="C1320" t="s">
        <v>39</v>
      </c>
      <c r="D1320">
        <v>574</v>
      </c>
      <c r="E1320" t="s">
        <v>40</v>
      </c>
      <c r="F1320">
        <v>20</v>
      </c>
      <c r="G1320" t="str">
        <f>IF(Table2[[#This Row],[DistanceFromHome]]&lt;=5, "short", IF(Table2[[#This Row],[DistanceFromHome]]&lt;=15, "medium", "long"))</f>
        <v>long</v>
      </c>
      <c r="H1320">
        <v>1</v>
      </c>
      <c r="I1320" t="s">
        <v>46</v>
      </c>
      <c r="J1320">
        <v>1852</v>
      </c>
      <c r="K1320">
        <v>4</v>
      </c>
      <c r="L1320" t="s">
        <v>41</v>
      </c>
      <c r="M1320">
        <v>40</v>
      </c>
      <c r="N1320">
        <v>3</v>
      </c>
      <c r="O1320">
        <v>1</v>
      </c>
      <c r="P1320" t="s">
        <v>45</v>
      </c>
      <c r="Q1320">
        <v>4</v>
      </c>
      <c r="R1320" t="s">
        <v>43</v>
      </c>
      <c r="S1320">
        <v>3812</v>
      </c>
      <c r="T1320">
        <v>7003</v>
      </c>
      <c r="U1320">
        <v>1</v>
      </c>
      <c r="V1320" t="s">
        <v>38</v>
      </c>
      <c r="W1320">
        <v>13</v>
      </c>
      <c r="X1320">
        <v>3</v>
      </c>
      <c r="Y1320">
        <v>2</v>
      </c>
      <c r="Z1320">
        <v>0</v>
      </c>
      <c r="AA1320">
        <v>11</v>
      </c>
      <c r="AB1320" t="str">
        <f>IF(Table2[[#This Row],[TotalWorkingYears]]&lt;=5,"Early (0-5)",IF(Table2[[#This Row],[TotalWorkingYears]]&lt;=15,"Mid (6-15)","Senior (16+)"))</f>
        <v>Mid (6-15)</v>
      </c>
      <c r="AC1320">
        <v>3</v>
      </c>
      <c r="AD1320">
        <v>4</v>
      </c>
      <c r="AE1320" t="s">
        <v>65</v>
      </c>
      <c r="AF1320">
        <v>8</v>
      </c>
      <c r="AG1320">
        <v>3</v>
      </c>
      <c r="AH1320">
        <v>10</v>
      </c>
    </row>
    <row r="1321" spans="1:34" x14ac:dyDescent="0.3">
      <c r="A1321" t="s">
        <v>59</v>
      </c>
      <c r="B1321">
        <v>0</v>
      </c>
      <c r="C1321" t="s">
        <v>39</v>
      </c>
      <c r="D1321">
        <v>1318</v>
      </c>
      <c r="E1321" t="s">
        <v>33</v>
      </c>
      <c r="F1321">
        <v>10</v>
      </c>
      <c r="G1321" t="str">
        <f>IF(Table2[[#This Row],[DistanceFromHome]]&lt;=5, "short", IF(Table2[[#This Row],[DistanceFromHome]]&lt;=15, "medium", "long"))</f>
        <v>medium</v>
      </c>
      <c r="H1321">
        <v>4</v>
      </c>
      <c r="I1321" t="s">
        <v>54</v>
      </c>
      <c r="J1321">
        <v>1853</v>
      </c>
      <c r="K1321">
        <v>4</v>
      </c>
      <c r="L1321" t="s">
        <v>41</v>
      </c>
      <c r="M1321">
        <v>79</v>
      </c>
      <c r="N1321">
        <v>3</v>
      </c>
      <c r="O1321">
        <v>2</v>
      </c>
      <c r="P1321" t="s">
        <v>36</v>
      </c>
      <c r="Q1321">
        <v>4</v>
      </c>
      <c r="R1321" t="s">
        <v>37</v>
      </c>
      <c r="S1321">
        <v>4648</v>
      </c>
      <c r="T1321">
        <v>26075</v>
      </c>
      <c r="U1321">
        <v>8</v>
      </c>
      <c r="V1321" t="s">
        <v>38</v>
      </c>
      <c r="W1321">
        <v>13</v>
      </c>
      <c r="X1321">
        <v>3</v>
      </c>
      <c r="Y1321">
        <v>3</v>
      </c>
      <c r="Z1321">
        <v>0</v>
      </c>
      <c r="AA1321">
        <v>4</v>
      </c>
      <c r="AB1321" t="str">
        <f>IF(Table2[[#This Row],[TotalWorkingYears]]&lt;=5,"Early (0-5)",IF(Table2[[#This Row],[TotalWorkingYears]]&lt;=15,"Mid (6-15)","Senior (16+)"))</f>
        <v>Early (0-5)</v>
      </c>
      <c r="AC1321">
        <v>2</v>
      </c>
      <c r="AD1321">
        <v>4</v>
      </c>
      <c r="AE1321" t="s">
        <v>63</v>
      </c>
      <c r="AF1321">
        <v>0</v>
      </c>
      <c r="AG1321">
        <v>0</v>
      </c>
      <c r="AH1321">
        <v>0</v>
      </c>
    </row>
    <row r="1322" spans="1:34" x14ac:dyDescent="0.3">
      <c r="A1322" t="s">
        <v>57</v>
      </c>
      <c r="B1322">
        <v>0</v>
      </c>
      <c r="C1322" t="s">
        <v>50</v>
      </c>
      <c r="D1322">
        <v>355</v>
      </c>
      <c r="E1322" t="s">
        <v>40</v>
      </c>
      <c r="F1322">
        <v>10</v>
      </c>
      <c r="G1322" t="str">
        <f>IF(Table2[[#This Row],[DistanceFromHome]]&lt;=5, "short", IF(Table2[[#This Row],[DistanceFromHome]]&lt;=15, "medium", "long"))</f>
        <v>medium</v>
      </c>
      <c r="H1322">
        <v>4</v>
      </c>
      <c r="I1322" t="s">
        <v>55</v>
      </c>
      <c r="J1322">
        <v>1854</v>
      </c>
      <c r="K1322">
        <v>3</v>
      </c>
      <c r="L1322" t="s">
        <v>41</v>
      </c>
      <c r="M1322">
        <v>38</v>
      </c>
      <c r="N1322">
        <v>3</v>
      </c>
      <c r="O1322">
        <v>1</v>
      </c>
      <c r="P1322" t="s">
        <v>42</v>
      </c>
      <c r="Q1322">
        <v>3</v>
      </c>
      <c r="R1322" t="s">
        <v>43</v>
      </c>
      <c r="S1322">
        <v>2936</v>
      </c>
      <c r="T1322">
        <v>6161</v>
      </c>
      <c r="U1322">
        <v>3</v>
      </c>
      <c r="V1322" t="s">
        <v>38</v>
      </c>
      <c r="W1322">
        <v>22</v>
      </c>
      <c r="X1322">
        <v>4</v>
      </c>
      <c r="Y1322">
        <v>2</v>
      </c>
      <c r="Z1322">
        <v>2</v>
      </c>
      <c r="AA1322">
        <v>10</v>
      </c>
      <c r="AB1322" t="str">
        <f>IF(Table2[[#This Row],[TotalWorkingYears]]&lt;=5,"Early (0-5)",IF(Table2[[#This Row],[TotalWorkingYears]]&lt;=15,"Mid (6-15)","Senior (16+)"))</f>
        <v>Mid (6-15)</v>
      </c>
      <c r="AC1322">
        <v>1</v>
      </c>
      <c r="AD1322">
        <v>2</v>
      </c>
      <c r="AE1322" t="s">
        <v>62</v>
      </c>
      <c r="AF1322">
        <v>3</v>
      </c>
      <c r="AG1322">
        <v>3</v>
      </c>
      <c r="AH1322">
        <v>3</v>
      </c>
    </row>
    <row r="1323" spans="1:34" x14ac:dyDescent="0.3">
      <c r="A1323" t="s">
        <v>58</v>
      </c>
      <c r="B1323">
        <v>0</v>
      </c>
      <c r="C1323" t="s">
        <v>32</v>
      </c>
      <c r="D1323">
        <v>207</v>
      </c>
      <c r="E1323" t="s">
        <v>40</v>
      </c>
      <c r="F1323">
        <v>9</v>
      </c>
      <c r="G1323" t="str">
        <f>IF(Table2[[#This Row],[DistanceFromHome]]&lt;=5, "short", IF(Table2[[#This Row],[DistanceFromHome]]&lt;=15, "medium", "long"))</f>
        <v>medium</v>
      </c>
      <c r="H1323">
        <v>4</v>
      </c>
      <c r="I1323" t="s">
        <v>34</v>
      </c>
      <c r="J1323">
        <v>1856</v>
      </c>
      <c r="K1323">
        <v>2</v>
      </c>
      <c r="L1323" t="s">
        <v>35</v>
      </c>
      <c r="M1323">
        <v>64</v>
      </c>
      <c r="N1323">
        <v>3</v>
      </c>
      <c r="O1323">
        <v>1</v>
      </c>
      <c r="P1323" t="s">
        <v>45</v>
      </c>
      <c r="Q1323">
        <v>3</v>
      </c>
      <c r="R1323" t="s">
        <v>37</v>
      </c>
      <c r="S1323">
        <v>2105</v>
      </c>
      <c r="T1323">
        <v>5411</v>
      </c>
      <c r="U1323">
        <v>4</v>
      </c>
      <c r="V1323" t="s">
        <v>38</v>
      </c>
      <c r="W1323">
        <v>12</v>
      </c>
      <c r="X1323">
        <v>3</v>
      </c>
      <c r="Y1323">
        <v>3</v>
      </c>
      <c r="Z1323">
        <v>0</v>
      </c>
      <c r="AA1323">
        <v>7</v>
      </c>
      <c r="AB1323" t="str">
        <f>IF(Table2[[#This Row],[TotalWorkingYears]]&lt;=5,"Early (0-5)",IF(Table2[[#This Row],[TotalWorkingYears]]&lt;=15,"Mid (6-15)","Senior (16+)"))</f>
        <v>Mid (6-15)</v>
      </c>
      <c r="AC1323">
        <v>2</v>
      </c>
      <c r="AD1323">
        <v>3</v>
      </c>
      <c r="AE1323" t="s">
        <v>63</v>
      </c>
      <c r="AF1323">
        <v>2</v>
      </c>
      <c r="AG1323">
        <v>2</v>
      </c>
      <c r="AH1323">
        <v>0</v>
      </c>
    </row>
    <row r="1324" spans="1:34" x14ac:dyDescent="0.3">
      <c r="A1324" t="s">
        <v>58</v>
      </c>
      <c r="B1324">
        <v>0</v>
      </c>
      <c r="C1324" t="s">
        <v>32</v>
      </c>
      <c r="D1324">
        <v>706</v>
      </c>
      <c r="E1324" t="s">
        <v>40</v>
      </c>
      <c r="F1324">
        <v>2</v>
      </c>
      <c r="G1324" t="str">
        <f>IF(Table2[[#This Row],[DistanceFromHome]]&lt;=5, "short", IF(Table2[[#This Row],[DistanceFromHome]]&lt;=15, "medium", "long"))</f>
        <v>short</v>
      </c>
      <c r="H1324">
        <v>2</v>
      </c>
      <c r="I1324" t="s">
        <v>34</v>
      </c>
      <c r="J1324">
        <v>1857</v>
      </c>
      <c r="K1324">
        <v>4</v>
      </c>
      <c r="L1324" t="s">
        <v>41</v>
      </c>
      <c r="M1324">
        <v>82</v>
      </c>
      <c r="N1324">
        <v>3</v>
      </c>
      <c r="O1324">
        <v>3</v>
      </c>
      <c r="P1324" t="s">
        <v>48</v>
      </c>
      <c r="Q1324">
        <v>4</v>
      </c>
      <c r="R1324" t="s">
        <v>47</v>
      </c>
      <c r="S1324">
        <v>8578</v>
      </c>
      <c r="T1324">
        <v>19989</v>
      </c>
      <c r="U1324">
        <v>3</v>
      </c>
      <c r="V1324" t="s">
        <v>38</v>
      </c>
      <c r="W1324">
        <v>14</v>
      </c>
      <c r="X1324">
        <v>3</v>
      </c>
      <c r="Y1324">
        <v>3</v>
      </c>
      <c r="Z1324">
        <v>1</v>
      </c>
      <c r="AA1324">
        <v>12</v>
      </c>
      <c r="AB1324" t="str">
        <f>IF(Table2[[#This Row],[TotalWorkingYears]]&lt;=5,"Early (0-5)",IF(Table2[[#This Row],[TotalWorkingYears]]&lt;=15,"Mid (6-15)","Senior (16+)"))</f>
        <v>Mid (6-15)</v>
      </c>
      <c r="AC1324">
        <v>4</v>
      </c>
      <c r="AD1324">
        <v>2</v>
      </c>
      <c r="AE1324" t="s">
        <v>62</v>
      </c>
      <c r="AF1324">
        <v>8</v>
      </c>
      <c r="AG1324">
        <v>4</v>
      </c>
      <c r="AH1324">
        <v>7</v>
      </c>
    </row>
    <row r="1325" spans="1:34" x14ac:dyDescent="0.3">
      <c r="A1325" t="s">
        <v>59</v>
      </c>
      <c r="B1325">
        <v>0</v>
      </c>
      <c r="C1325" t="s">
        <v>50</v>
      </c>
      <c r="D1325">
        <v>280</v>
      </c>
      <c r="E1325" t="s">
        <v>56</v>
      </c>
      <c r="F1325">
        <v>1</v>
      </c>
      <c r="G1325" t="str">
        <f>IF(Table2[[#This Row],[DistanceFromHome]]&lt;=5, "short", IF(Table2[[#This Row],[DistanceFromHome]]&lt;=15, "medium", "long"))</f>
        <v>short</v>
      </c>
      <c r="H1325">
        <v>2</v>
      </c>
      <c r="I1325" t="s">
        <v>34</v>
      </c>
      <c r="J1325">
        <v>1858</v>
      </c>
      <c r="K1325">
        <v>3</v>
      </c>
      <c r="L1325" t="s">
        <v>41</v>
      </c>
      <c r="M1325">
        <v>43</v>
      </c>
      <c r="N1325">
        <v>3</v>
      </c>
      <c r="O1325">
        <v>1</v>
      </c>
      <c r="P1325" t="s">
        <v>56</v>
      </c>
      <c r="Q1325">
        <v>4</v>
      </c>
      <c r="R1325" t="s">
        <v>47</v>
      </c>
      <c r="S1325">
        <v>2706</v>
      </c>
      <c r="T1325">
        <v>10494</v>
      </c>
      <c r="U1325">
        <v>1</v>
      </c>
      <c r="V1325" t="s">
        <v>38</v>
      </c>
      <c r="W1325">
        <v>15</v>
      </c>
      <c r="X1325">
        <v>3</v>
      </c>
      <c r="Y1325">
        <v>2</v>
      </c>
      <c r="Z1325">
        <v>1</v>
      </c>
      <c r="AA1325">
        <v>3</v>
      </c>
      <c r="AB1325" t="str">
        <f>IF(Table2[[#This Row],[TotalWorkingYears]]&lt;=5,"Early (0-5)",IF(Table2[[#This Row],[TotalWorkingYears]]&lt;=15,"Mid (6-15)","Senior (16+)"))</f>
        <v>Early (0-5)</v>
      </c>
      <c r="AC1325">
        <v>2</v>
      </c>
      <c r="AD1325">
        <v>3</v>
      </c>
      <c r="AE1325" t="s">
        <v>64</v>
      </c>
      <c r="AF1325">
        <v>2</v>
      </c>
      <c r="AG1325">
        <v>2</v>
      </c>
      <c r="AH1325">
        <v>2</v>
      </c>
    </row>
    <row r="1326" spans="1:34" x14ac:dyDescent="0.3">
      <c r="A1326" t="s">
        <v>59</v>
      </c>
      <c r="B1326">
        <v>0</v>
      </c>
      <c r="C1326" t="s">
        <v>32</v>
      </c>
      <c r="D1326">
        <v>726</v>
      </c>
      <c r="E1326" t="s">
        <v>40</v>
      </c>
      <c r="F1326">
        <v>29</v>
      </c>
      <c r="G1326" t="str">
        <f>IF(Table2[[#This Row],[DistanceFromHome]]&lt;=5, "short", IF(Table2[[#This Row],[DistanceFromHome]]&lt;=15, "medium", "long"))</f>
        <v>long</v>
      </c>
      <c r="H1326">
        <v>1</v>
      </c>
      <c r="I1326" t="s">
        <v>34</v>
      </c>
      <c r="J1326">
        <v>1859</v>
      </c>
      <c r="K1326">
        <v>4</v>
      </c>
      <c r="L1326" t="s">
        <v>41</v>
      </c>
      <c r="M1326">
        <v>93</v>
      </c>
      <c r="N1326">
        <v>1</v>
      </c>
      <c r="O1326">
        <v>2</v>
      </c>
      <c r="P1326" t="s">
        <v>49</v>
      </c>
      <c r="Q1326">
        <v>3</v>
      </c>
      <c r="R1326" t="s">
        <v>47</v>
      </c>
      <c r="S1326">
        <v>6384</v>
      </c>
      <c r="T1326">
        <v>21143</v>
      </c>
      <c r="U1326">
        <v>8</v>
      </c>
      <c r="V1326" t="s">
        <v>38</v>
      </c>
      <c r="W1326">
        <v>17</v>
      </c>
      <c r="X1326">
        <v>3</v>
      </c>
      <c r="Y1326">
        <v>4</v>
      </c>
      <c r="Z1326">
        <v>2</v>
      </c>
      <c r="AA1326">
        <v>11</v>
      </c>
      <c r="AB1326" t="str">
        <f>IF(Table2[[#This Row],[TotalWorkingYears]]&lt;=5,"Early (0-5)",IF(Table2[[#This Row],[TotalWorkingYears]]&lt;=15,"Mid (6-15)","Senior (16+)"))</f>
        <v>Mid (6-15)</v>
      </c>
      <c r="AC1326">
        <v>3</v>
      </c>
      <c r="AD1326">
        <v>3</v>
      </c>
      <c r="AE1326" t="s">
        <v>62</v>
      </c>
      <c r="AF1326">
        <v>0</v>
      </c>
      <c r="AG1326">
        <v>1</v>
      </c>
      <c r="AH1326">
        <v>6</v>
      </c>
    </row>
    <row r="1327" spans="1:34" x14ac:dyDescent="0.3">
      <c r="A1327" t="s">
        <v>57</v>
      </c>
      <c r="B1327">
        <v>0</v>
      </c>
      <c r="C1327" t="s">
        <v>32</v>
      </c>
      <c r="D1327">
        <v>1142</v>
      </c>
      <c r="E1327" t="s">
        <v>40</v>
      </c>
      <c r="F1327">
        <v>8</v>
      </c>
      <c r="G1327" t="str">
        <f>IF(Table2[[#This Row],[DistanceFromHome]]&lt;=5, "short", IF(Table2[[#This Row],[DistanceFromHome]]&lt;=15, "medium", "long"))</f>
        <v>medium</v>
      </c>
      <c r="H1327">
        <v>3</v>
      </c>
      <c r="I1327" t="s">
        <v>34</v>
      </c>
      <c r="J1327">
        <v>1860</v>
      </c>
      <c r="K1327">
        <v>4</v>
      </c>
      <c r="L1327" t="s">
        <v>41</v>
      </c>
      <c r="M1327">
        <v>81</v>
      </c>
      <c r="N1327">
        <v>3</v>
      </c>
      <c r="O1327">
        <v>1</v>
      </c>
      <c r="P1327" t="s">
        <v>45</v>
      </c>
      <c r="Q1327">
        <v>3</v>
      </c>
      <c r="R1327" t="s">
        <v>37</v>
      </c>
      <c r="S1327">
        <v>3968</v>
      </c>
      <c r="T1327">
        <v>13624</v>
      </c>
      <c r="U1327">
        <v>4</v>
      </c>
      <c r="V1327" t="s">
        <v>38</v>
      </c>
      <c r="W1327">
        <v>13</v>
      </c>
      <c r="X1327">
        <v>3</v>
      </c>
      <c r="Y1327">
        <v>4</v>
      </c>
      <c r="Z1327">
        <v>0</v>
      </c>
      <c r="AA1327">
        <v>8</v>
      </c>
      <c r="AB1327" t="str">
        <f>IF(Table2[[#This Row],[TotalWorkingYears]]&lt;=5,"Early (0-5)",IF(Table2[[#This Row],[TotalWorkingYears]]&lt;=15,"Mid (6-15)","Senior (16+)"))</f>
        <v>Mid (6-15)</v>
      </c>
      <c r="AC1327">
        <v>3</v>
      </c>
      <c r="AD1327">
        <v>3</v>
      </c>
      <c r="AE1327" t="s">
        <v>63</v>
      </c>
      <c r="AF1327">
        <v>0</v>
      </c>
      <c r="AG1327">
        <v>0</v>
      </c>
      <c r="AH1327">
        <v>0</v>
      </c>
    </row>
    <row r="1328" spans="1:34" x14ac:dyDescent="0.3">
      <c r="A1328" t="s">
        <v>59</v>
      </c>
      <c r="B1328">
        <v>1</v>
      </c>
      <c r="C1328" t="s">
        <v>32</v>
      </c>
      <c r="D1328">
        <v>414</v>
      </c>
      <c r="E1328" t="s">
        <v>33</v>
      </c>
      <c r="F1328">
        <v>2</v>
      </c>
      <c r="G1328" t="str">
        <f>IF(Table2[[#This Row],[DistanceFromHome]]&lt;=5, "short", IF(Table2[[#This Row],[DistanceFromHome]]&lt;=15, "medium", "long"))</f>
        <v>short</v>
      </c>
      <c r="H1328">
        <v>4</v>
      </c>
      <c r="I1328" t="s">
        <v>54</v>
      </c>
      <c r="J1328">
        <v>1862</v>
      </c>
      <c r="K1328">
        <v>3</v>
      </c>
      <c r="L1328" t="s">
        <v>41</v>
      </c>
      <c r="M1328">
        <v>82</v>
      </c>
      <c r="N1328">
        <v>2</v>
      </c>
      <c r="O1328">
        <v>2</v>
      </c>
      <c r="P1328" t="s">
        <v>36</v>
      </c>
      <c r="Q1328">
        <v>2</v>
      </c>
      <c r="R1328" t="s">
        <v>37</v>
      </c>
      <c r="S1328">
        <v>9907</v>
      </c>
      <c r="T1328">
        <v>26186</v>
      </c>
      <c r="U1328">
        <v>7</v>
      </c>
      <c r="V1328" t="s">
        <v>31</v>
      </c>
      <c r="W1328">
        <v>12</v>
      </c>
      <c r="X1328">
        <v>3</v>
      </c>
      <c r="Y1328">
        <v>3</v>
      </c>
      <c r="Z1328">
        <v>0</v>
      </c>
      <c r="AA1328">
        <v>7</v>
      </c>
      <c r="AB1328" t="str">
        <f>IF(Table2[[#This Row],[TotalWorkingYears]]&lt;=5,"Early (0-5)",IF(Table2[[#This Row],[TotalWorkingYears]]&lt;=15,"Mid (6-15)","Senior (16+)"))</f>
        <v>Mid (6-15)</v>
      </c>
      <c r="AC1328">
        <v>3</v>
      </c>
      <c r="AD1328">
        <v>2</v>
      </c>
      <c r="AE1328" t="s">
        <v>63</v>
      </c>
      <c r="AF1328">
        <v>2</v>
      </c>
      <c r="AG1328">
        <v>2</v>
      </c>
      <c r="AH1328">
        <v>2</v>
      </c>
    </row>
    <row r="1329" spans="1:34" x14ac:dyDescent="0.3">
      <c r="A1329" t="s">
        <v>58</v>
      </c>
      <c r="B1329">
        <v>0</v>
      </c>
      <c r="C1329" t="s">
        <v>32</v>
      </c>
      <c r="D1329">
        <v>1319</v>
      </c>
      <c r="E1329" t="s">
        <v>33</v>
      </c>
      <c r="F1329">
        <v>3</v>
      </c>
      <c r="G1329" t="str">
        <f>IF(Table2[[#This Row],[DistanceFromHome]]&lt;=5, "short", IF(Table2[[#This Row],[DistanceFromHome]]&lt;=15, "medium", "long"))</f>
        <v>short</v>
      </c>
      <c r="H1329">
        <v>3</v>
      </c>
      <c r="I1329" t="s">
        <v>55</v>
      </c>
      <c r="J1329">
        <v>1863</v>
      </c>
      <c r="K1329">
        <v>1</v>
      </c>
      <c r="L1329" t="s">
        <v>35</v>
      </c>
      <c r="M1329">
        <v>45</v>
      </c>
      <c r="N1329">
        <v>4</v>
      </c>
      <c r="O1329">
        <v>4</v>
      </c>
      <c r="P1329" t="s">
        <v>36</v>
      </c>
      <c r="Q1329">
        <v>1</v>
      </c>
      <c r="R1329" t="s">
        <v>47</v>
      </c>
      <c r="S1329">
        <v>13225</v>
      </c>
      <c r="T1329">
        <v>7739</v>
      </c>
      <c r="U1329">
        <v>2</v>
      </c>
      <c r="V1329" t="s">
        <v>38</v>
      </c>
      <c r="W1329">
        <v>12</v>
      </c>
      <c r="X1329">
        <v>3</v>
      </c>
      <c r="Y1329">
        <v>4</v>
      </c>
      <c r="Z1329">
        <v>1</v>
      </c>
      <c r="AA1329">
        <v>25</v>
      </c>
      <c r="AB1329" t="str">
        <f>IF(Table2[[#This Row],[TotalWorkingYears]]&lt;=5,"Early (0-5)",IF(Table2[[#This Row],[TotalWorkingYears]]&lt;=15,"Mid (6-15)","Senior (16+)"))</f>
        <v>Senior (16+)</v>
      </c>
      <c r="AC1329">
        <v>5</v>
      </c>
      <c r="AD1329">
        <v>3</v>
      </c>
      <c r="AE1329" t="s">
        <v>65</v>
      </c>
      <c r="AF1329">
        <v>17</v>
      </c>
      <c r="AG1329">
        <v>2</v>
      </c>
      <c r="AH1329">
        <v>8</v>
      </c>
    </row>
    <row r="1330" spans="1:34" x14ac:dyDescent="0.3">
      <c r="A1330" t="s">
        <v>59</v>
      </c>
      <c r="B1330">
        <v>0</v>
      </c>
      <c r="C1330" t="s">
        <v>32</v>
      </c>
      <c r="D1330">
        <v>728</v>
      </c>
      <c r="E1330" t="s">
        <v>33</v>
      </c>
      <c r="F1330">
        <v>23</v>
      </c>
      <c r="G1330" t="str">
        <f>IF(Table2[[#This Row],[DistanceFromHome]]&lt;=5, "short", IF(Table2[[#This Row],[DistanceFromHome]]&lt;=15, "medium", "long"))</f>
        <v>long</v>
      </c>
      <c r="H1330">
        <v>1</v>
      </c>
      <c r="I1330" t="s">
        <v>46</v>
      </c>
      <c r="J1330">
        <v>1864</v>
      </c>
      <c r="K1330">
        <v>2</v>
      </c>
      <c r="L1330" t="s">
        <v>35</v>
      </c>
      <c r="M1330">
        <v>36</v>
      </c>
      <c r="N1330">
        <v>2</v>
      </c>
      <c r="O1330">
        <v>2</v>
      </c>
      <c r="P1330" t="s">
        <v>52</v>
      </c>
      <c r="Q1330">
        <v>3</v>
      </c>
      <c r="R1330" t="s">
        <v>43</v>
      </c>
      <c r="S1330">
        <v>3540</v>
      </c>
      <c r="T1330">
        <v>7018</v>
      </c>
      <c r="U1330">
        <v>1</v>
      </c>
      <c r="V1330" t="s">
        <v>38</v>
      </c>
      <c r="W1330">
        <v>21</v>
      </c>
      <c r="X1330">
        <v>4</v>
      </c>
      <c r="Y1330">
        <v>4</v>
      </c>
      <c r="Z1330">
        <v>1</v>
      </c>
      <c r="AA1330">
        <v>9</v>
      </c>
      <c r="AB1330" t="str">
        <f>IF(Table2[[#This Row],[TotalWorkingYears]]&lt;=5,"Early (0-5)",IF(Table2[[#This Row],[TotalWorkingYears]]&lt;=15,"Mid (6-15)","Senior (16+)"))</f>
        <v>Mid (6-15)</v>
      </c>
      <c r="AC1330">
        <v>5</v>
      </c>
      <c r="AD1330">
        <v>3</v>
      </c>
      <c r="AE1330" t="s">
        <v>62</v>
      </c>
      <c r="AF1330">
        <v>8</v>
      </c>
      <c r="AG1330">
        <v>5</v>
      </c>
      <c r="AH1330">
        <v>8</v>
      </c>
    </row>
    <row r="1331" spans="1:34" x14ac:dyDescent="0.3">
      <c r="A1331" t="s">
        <v>59</v>
      </c>
      <c r="B1331">
        <v>0</v>
      </c>
      <c r="C1331" t="s">
        <v>32</v>
      </c>
      <c r="D1331">
        <v>352</v>
      </c>
      <c r="E1331" t="s">
        <v>56</v>
      </c>
      <c r="F1331">
        <v>6</v>
      </c>
      <c r="G1331" t="str">
        <f>IF(Table2[[#This Row],[DistanceFromHome]]&lt;=5, "short", IF(Table2[[#This Row],[DistanceFromHome]]&lt;=15, "medium", "long"))</f>
        <v>medium</v>
      </c>
      <c r="H1331">
        <v>1</v>
      </c>
      <c r="I1331" t="s">
        <v>46</v>
      </c>
      <c r="J1331">
        <v>1865</v>
      </c>
      <c r="K1331">
        <v>4</v>
      </c>
      <c r="L1331" t="s">
        <v>41</v>
      </c>
      <c r="M1331">
        <v>87</v>
      </c>
      <c r="N1331">
        <v>2</v>
      </c>
      <c r="O1331">
        <v>1</v>
      </c>
      <c r="P1331" t="s">
        <v>56</v>
      </c>
      <c r="Q1331">
        <v>2</v>
      </c>
      <c r="R1331" t="s">
        <v>43</v>
      </c>
      <c r="S1331">
        <v>2804</v>
      </c>
      <c r="T1331">
        <v>15434</v>
      </c>
      <c r="U1331">
        <v>1</v>
      </c>
      <c r="V1331" t="s">
        <v>38</v>
      </c>
      <c r="W1331">
        <v>11</v>
      </c>
      <c r="X1331">
        <v>3</v>
      </c>
      <c r="Y1331">
        <v>4</v>
      </c>
      <c r="Z1331">
        <v>0</v>
      </c>
      <c r="AA1331">
        <v>1</v>
      </c>
      <c r="AB1331" t="str">
        <f>IF(Table2[[#This Row],[TotalWorkingYears]]&lt;=5,"Early (0-5)",IF(Table2[[#This Row],[TotalWorkingYears]]&lt;=15,"Mid (6-15)","Senior (16+)"))</f>
        <v>Early (0-5)</v>
      </c>
      <c r="AC1331">
        <v>3</v>
      </c>
      <c r="AD1331">
        <v>3</v>
      </c>
      <c r="AE1331" t="s">
        <v>63</v>
      </c>
      <c r="AF1331">
        <v>0</v>
      </c>
      <c r="AG1331">
        <v>0</v>
      </c>
      <c r="AH1331">
        <v>0</v>
      </c>
    </row>
    <row r="1332" spans="1:34" x14ac:dyDescent="0.3">
      <c r="A1332" t="s">
        <v>57</v>
      </c>
      <c r="B1332">
        <v>0</v>
      </c>
      <c r="C1332" t="s">
        <v>32</v>
      </c>
      <c r="D1332">
        <v>823</v>
      </c>
      <c r="E1332" t="s">
        <v>40</v>
      </c>
      <c r="F1332">
        <v>6</v>
      </c>
      <c r="G1332" t="str">
        <f>IF(Table2[[#This Row],[DistanceFromHome]]&lt;=5, "short", IF(Table2[[#This Row],[DistanceFromHome]]&lt;=15, "medium", "long"))</f>
        <v>medium</v>
      </c>
      <c r="H1332">
        <v>3</v>
      </c>
      <c r="I1332" t="s">
        <v>46</v>
      </c>
      <c r="J1332">
        <v>1866</v>
      </c>
      <c r="K1332">
        <v>1</v>
      </c>
      <c r="L1332" t="s">
        <v>35</v>
      </c>
      <c r="M1332">
        <v>81</v>
      </c>
      <c r="N1332">
        <v>2</v>
      </c>
      <c r="O1332">
        <v>5</v>
      </c>
      <c r="P1332" t="s">
        <v>51</v>
      </c>
      <c r="Q1332">
        <v>3</v>
      </c>
      <c r="R1332" t="s">
        <v>43</v>
      </c>
      <c r="S1332">
        <v>19392</v>
      </c>
      <c r="T1332">
        <v>22539</v>
      </c>
      <c r="U1332">
        <v>7</v>
      </c>
      <c r="V1332" t="s">
        <v>38</v>
      </c>
      <c r="W1332">
        <v>13</v>
      </c>
      <c r="X1332">
        <v>3</v>
      </c>
      <c r="Y1332">
        <v>4</v>
      </c>
      <c r="Z1332">
        <v>0</v>
      </c>
      <c r="AA1332">
        <v>21</v>
      </c>
      <c r="AB1332" t="str">
        <f>IF(Table2[[#This Row],[TotalWorkingYears]]&lt;=5,"Early (0-5)",IF(Table2[[#This Row],[TotalWorkingYears]]&lt;=15,"Mid (6-15)","Senior (16+)"))</f>
        <v>Senior (16+)</v>
      </c>
      <c r="AC1332">
        <v>2</v>
      </c>
      <c r="AD1332">
        <v>3</v>
      </c>
      <c r="AE1332" t="s">
        <v>65</v>
      </c>
      <c r="AF1332">
        <v>12</v>
      </c>
      <c r="AG1332">
        <v>6</v>
      </c>
      <c r="AH1332">
        <v>14</v>
      </c>
    </row>
    <row r="1333" spans="1:34" x14ac:dyDescent="0.3">
      <c r="A1333" t="s">
        <v>58</v>
      </c>
      <c r="B1333">
        <v>0</v>
      </c>
      <c r="C1333" t="s">
        <v>32</v>
      </c>
      <c r="D1333">
        <v>1224</v>
      </c>
      <c r="E1333" t="s">
        <v>40</v>
      </c>
      <c r="F1333">
        <v>10</v>
      </c>
      <c r="G1333" t="str">
        <f>IF(Table2[[#This Row],[DistanceFromHome]]&lt;=5, "short", IF(Table2[[#This Row],[DistanceFromHome]]&lt;=15, "medium", "long"))</f>
        <v>medium</v>
      </c>
      <c r="H1333">
        <v>3</v>
      </c>
      <c r="I1333" t="s">
        <v>34</v>
      </c>
      <c r="J1333">
        <v>1867</v>
      </c>
      <c r="K1333">
        <v>4</v>
      </c>
      <c r="L1333" t="s">
        <v>41</v>
      </c>
      <c r="M1333">
        <v>91</v>
      </c>
      <c r="N1333">
        <v>2</v>
      </c>
      <c r="O1333">
        <v>5</v>
      </c>
      <c r="P1333" t="s">
        <v>53</v>
      </c>
      <c r="Q1333">
        <v>2</v>
      </c>
      <c r="R1333" t="s">
        <v>43</v>
      </c>
      <c r="S1333">
        <v>19665</v>
      </c>
      <c r="T1333">
        <v>13583</v>
      </c>
      <c r="U1333">
        <v>4</v>
      </c>
      <c r="V1333" t="s">
        <v>38</v>
      </c>
      <c r="W1333">
        <v>12</v>
      </c>
      <c r="X1333">
        <v>3</v>
      </c>
      <c r="Y1333">
        <v>4</v>
      </c>
      <c r="Z1333">
        <v>0</v>
      </c>
      <c r="AA1333">
        <v>29</v>
      </c>
      <c r="AB1333" t="str">
        <f>IF(Table2[[#This Row],[TotalWorkingYears]]&lt;=5,"Early (0-5)",IF(Table2[[#This Row],[TotalWorkingYears]]&lt;=15,"Mid (6-15)","Senior (16+)"))</f>
        <v>Senior (16+)</v>
      </c>
      <c r="AC1333">
        <v>3</v>
      </c>
      <c r="AD1333">
        <v>3</v>
      </c>
      <c r="AE1333" t="s">
        <v>65</v>
      </c>
      <c r="AF1333">
        <v>10</v>
      </c>
      <c r="AG1333">
        <v>12</v>
      </c>
      <c r="AH1333">
        <v>9</v>
      </c>
    </row>
    <row r="1334" spans="1:34" x14ac:dyDescent="0.3">
      <c r="A1334" t="s">
        <v>59</v>
      </c>
      <c r="B1334">
        <v>1</v>
      </c>
      <c r="C1334" t="s">
        <v>39</v>
      </c>
      <c r="D1334">
        <v>459</v>
      </c>
      <c r="E1334" t="s">
        <v>40</v>
      </c>
      <c r="F1334">
        <v>24</v>
      </c>
      <c r="G1334" t="str">
        <f>IF(Table2[[#This Row],[DistanceFromHome]]&lt;=5, "short", IF(Table2[[#This Row],[DistanceFromHome]]&lt;=15, "medium", "long"))</f>
        <v>long</v>
      </c>
      <c r="H1334">
        <v>2</v>
      </c>
      <c r="I1334" t="s">
        <v>34</v>
      </c>
      <c r="J1334">
        <v>1868</v>
      </c>
      <c r="K1334">
        <v>4</v>
      </c>
      <c r="L1334" t="s">
        <v>41</v>
      </c>
      <c r="M1334">
        <v>73</v>
      </c>
      <c r="N1334">
        <v>2</v>
      </c>
      <c r="O1334">
        <v>1</v>
      </c>
      <c r="P1334" t="s">
        <v>42</v>
      </c>
      <c r="Q1334">
        <v>4</v>
      </c>
      <c r="R1334" t="s">
        <v>37</v>
      </c>
      <c r="S1334">
        <v>2439</v>
      </c>
      <c r="T1334">
        <v>14753</v>
      </c>
      <c r="U1334">
        <v>1</v>
      </c>
      <c r="V1334" t="s">
        <v>31</v>
      </c>
      <c r="W1334">
        <v>24</v>
      </c>
      <c r="X1334">
        <v>4</v>
      </c>
      <c r="Y1334">
        <v>2</v>
      </c>
      <c r="Z1334">
        <v>0</v>
      </c>
      <c r="AA1334">
        <v>1</v>
      </c>
      <c r="AB1334" t="str">
        <f>IF(Table2[[#This Row],[TotalWorkingYears]]&lt;=5,"Early (0-5)",IF(Table2[[#This Row],[TotalWorkingYears]]&lt;=15,"Mid (6-15)","Senior (16+)"))</f>
        <v>Early (0-5)</v>
      </c>
      <c r="AC1334">
        <v>3</v>
      </c>
      <c r="AD1334">
        <v>2</v>
      </c>
      <c r="AE1334" t="s">
        <v>63</v>
      </c>
      <c r="AF1334">
        <v>0</v>
      </c>
      <c r="AG1334">
        <v>1</v>
      </c>
      <c r="AH1334">
        <v>0</v>
      </c>
    </row>
    <row r="1335" spans="1:34" x14ac:dyDescent="0.3">
      <c r="A1335" t="s">
        <v>58</v>
      </c>
      <c r="B1335">
        <v>1</v>
      </c>
      <c r="C1335" t="s">
        <v>32</v>
      </c>
      <c r="D1335">
        <v>1254</v>
      </c>
      <c r="E1335" t="s">
        <v>33</v>
      </c>
      <c r="F1335">
        <v>10</v>
      </c>
      <c r="G1335" t="str">
        <f>IF(Table2[[#This Row],[DistanceFromHome]]&lt;=5, "short", IF(Table2[[#This Row],[DistanceFromHome]]&lt;=15, "medium", "long"))</f>
        <v>medium</v>
      </c>
      <c r="H1335">
        <v>3</v>
      </c>
      <c r="I1335" t="s">
        <v>34</v>
      </c>
      <c r="J1335">
        <v>1869</v>
      </c>
      <c r="K1335">
        <v>3</v>
      </c>
      <c r="L1335" t="s">
        <v>35</v>
      </c>
      <c r="M1335">
        <v>64</v>
      </c>
      <c r="N1335">
        <v>3</v>
      </c>
      <c r="O1335">
        <v>3</v>
      </c>
      <c r="P1335" t="s">
        <v>36</v>
      </c>
      <c r="Q1335">
        <v>2</v>
      </c>
      <c r="R1335" t="s">
        <v>43</v>
      </c>
      <c r="S1335">
        <v>7314</v>
      </c>
      <c r="T1335">
        <v>14011</v>
      </c>
      <c r="U1335">
        <v>5</v>
      </c>
      <c r="V1335" t="s">
        <v>38</v>
      </c>
      <c r="W1335">
        <v>21</v>
      </c>
      <c r="X1335">
        <v>4</v>
      </c>
      <c r="Y1335">
        <v>3</v>
      </c>
      <c r="Z1335">
        <v>3</v>
      </c>
      <c r="AA1335">
        <v>14</v>
      </c>
      <c r="AB1335" t="str">
        <f>IF(Table2[[#This Row],[TotalWorkingYears]]&lt;=5,"Early (0-5)",IF(Table2[[#This Row],[TotalWorkingYears]]&lt;=15,"Mid (6-15)","Senior (16+)"))</f>
        <v>Mid (6-15)</v>
      </c>
      <c r="AC1335">
        <v>2</v>
      </c>
      <c r="AD1335">
        <v>3</v>
      </c>
      <c r="AE1335" t="s">
        <v>62</v>
      </c>
      <c r="AF1335">
        <v>7</v>
      </c>
      <c r="AG1335">
        <v>0</v>
      </c>
      <c r="AH1335">
        <v>7</v>
      </c>
    </row>
    <row r="1336" spans="1:34" x14ac:dyDescent="0.3">
      <c r="A1336" t="s">
        <v>59</v>
      </c>
      <c r="B1336">
        <v>0</v>
      </c>
      <c r="C1336" t="s">
        <v>39</v>
      </c>
      <c r="D1336">
        <v>1131</v>
      </c>
      <c r="E1336" t="s">
        <v>40</v>
      </c>
      <c r="F1336">
        <v>15</v>
      </c>
      <c r="G1336" t="str">
        <f>IF(Table2[[#This Row],[DistanceFromHome]]&lt;=5, "short", IF(Table2[[#This Row],[DistanceFromHome]]&lt;=15, "medium", "long"))</f>
        <v>medium</v>
      </c>
      <c r="H1336">
        <v>3</v>
      </c>
      <c r="I1336" t="s">
        <v>34</v>
      </c>
      <c r="J1336">
        <v>1870</v>
      </c>
      <c r="K1336">
        <v>4</v>
      </c>
      <c r="L1336" t="s">
        <v>35</v>
      </c>
      <c r="M1336">
        <v>77</v>
      </c>
      <c r="N1336">
        <v>2</v>
      </c>
      <c r="O1336">
        <v>1</v>
      </c>
      <c r="P1336" t="s">
        <v>42</v>
      </c>
      <c r="Q1336">
        <v>1</v>
      </c>
      <c r="R1336" t="s">
        <v>43</v>
      </c>
      <c r="S1336">
        <v>4774</v>
      </c>
      <c r="T1336">
        <v>23844</v>
      </c>
      <c r="U1336">
        <v>0</v>
      </c>
      <c r="V1336" t="s">
        <v>38</v>
      </c>
      <c r="W1336">
        <v>19</v>
      </c>
      <c r="X1336">
        <v>3</v>
      </c>
      <c r="Y1336">
        <v>4</v>
      </c>
      <c r="Z1336">
        <v>1</v>
      </c>
      <c r="AA1336">
        <v>8</v>
      </c>
      <c r="AB1336" t="str">
        <f>IF(Table2[[#This Row],[TotalWorkingYears]]&lt;=5,"Early (0-5)",IF(Table2[[#This Row],[TotalWorkingYears]]&lt;=15,"Mid (6-15)","Senior (16+)"))</f>
        <v>Mid (6-15)</v>
      </c>
      <c r="AC1336">
        <v>2</v>
      </c>
      <c r="AD1336">
        <v>2</v>
      </c>
      <c r="AE1336" t="s">
        <v>62</v>
      </c>
      <c r="AF1336">
        <v>6</v>
      </c>
      <c r="AG1336">
        <v>7</v>
      </c>
      <c r="AH1336">
        <v>3</v>
      </c>
    </row>
    <row r="1337" spans="1:34" x14ac:dyDescent="0.3">
      <c r="A1337" t="s">
        <v>57</v>
      </c>
      <c r="B1337">
        <v>0</v>
      </c>
      <c r="C1337" t="s">
        <v>32</v>
      </c>
      <c r="D1337">
        <v>835</v>
      </c>
      <c r="E1337" t="s">
        <v>40</v>
      </c>
      <c r="F1337">
        <v>19</v>
      </c>
      <c r="G1337" t="str">
        <f>IF(Table2[[#This Row],[DistanceFromHome]]&lt;=5, "short", IF(Table2[[#This Row],[DistanceFromHome]]&lt;=15, "medium", "long"))</f>
        <v>long</v>
      </c>
      <c r="H1337">
        <v>4</v>
      </c>
      <c r="I1337" t="s">
        <v>44</v>
      </c>
      <c r="J1337">
        <v>1871</v>
      </c>
      <c r="K1337">
        <v>4</v>
      </c>
      <c r="L1337" t="s">
        <v>41</v>
      </c>
      <c r="M1337">
        <v>41</v>
      </c>
      <c r="N1337">
        <v>3</v>
      </c>
      <c r="O1337">
        <v>2</v>
      </c>
      <c r="P1337" t="s">
        <v>42</v>
      </c>
      <c r="Q1337">
        <v>4</v>
      </c>
      <c r="R1337" t="s">
        <v>47</v>
      </c>
      <c r="S1337">
        <v>3902</v>
      </c>
      <c r="T1337">
        <v>5141</v>
      </c>
      <c r="U1337">
        <v>8</v>
      </c>
      <c r="V1337" t="s">
        <v>38</v>
      </c>
      <c r="W1337">
        <v>14</v>
      </c>
      <c r="X1337">
        <v>3</v>
      </c>
      <c r="Y1337">
        <v>2</v>
      </c>
      <c r="Z1337">
        <v>3</v>
      </c>
      <c r="AA1337">
        <v>7</v>
      </c>
      <c r="AB1337" t="str">
        <f>IF(Table2[[#This Row],[TotalWorkingYears]]&lt;=5,"Early (0-5)",IF(Table2[[#This Row],[TotalWorkingYears]]&lt;=15,"Mid (6-15)","Senior (16+)"))</f>
        <v>Mid (6-15)</v>
      </c>
      <c r="AC1337">
        <v>2</v>
      </c>
      <c r="AD1337">
        <v>3</v>
      </c>
      <c r="AE1337" t="s">
        <v>63</v>
      </c>
      <c r="AF1337">
        <v>2</v>
      </c>
      <c r="AG1337">
        <v>2</v>
      </c>
      <c r="AH1337">
        <v>2</v>
      </c>
    </row>
    <row r="1338" spans="1:34" x14ac:dyDescent="0.3">
      <c r="A1338" t="s">
        <v>58</v>
      </c>
      <c r="B1338">
        <v>0</v>
      </c>
      <c r="C1338" t="s">
        <v>32</v>
      </c>
      <c r="D1338">
        <v>836</v>
      </c>
      <c r="E1338" t="s">
        <v>40</v>
      </c>
      <c r="F1338">
        <v>2</v>
      </c>
      <c r="G1338" t="str">
        <f>IF(Table2[[#This Row],[DistanceFromHome]]&lt;=5, "short", IF(Table2[[#This Row],[DistanceFromHome]]&lt;=15, "medium", "long"))</f>
        <v>short</v>
      </c>
      <c r="H1338">
        <v>4</v>
      </c>
      <c r="I1338" t="s">
        <v>55</v>
      </c>
      <c r="J1338">
        <v>1873</v>
      </c>
      <c r="K1338">
        <v>2</v>
      </c>
      <c r="L1338" t="s">
        <v>41</v>
      </c>
      <c r="M1338">
        <v>98</v>
      </c>
      <c r="N1338">
        <v>2</v>
      </c>
      <c r="O1338">
        <v>1</v>
      </c>
      <c r="P1338" t="s">
        <v>42</v>
      </c>
      <c r="Q1338">
        <v>4</v>
      </c>
      <c r="R1338" t="s">
        <v>43</v>
      </c>
      <c r="S1338">
        <v>2662</v>
      </c>
      <c r="T1338">
        <v>7975</v>
      </c>
      <c r="U1338">
        <v>8</v>
      </c>
      <c r="V1338" t="s">
        <v>38</v>
      </c>
      <c r="W1338">
        <v>20</v>
      </c>
      <c r="X1338">
        <v>4</v>
      </c>
      <c r="Y1338">
        <v>2</v>
      </c>
      <c r="Z1338">
        <v>1</v>
      </c>
      <c r="AA1338">
        <v>19</v>
      </c>
      <c r="AB1338" t="str">
        <f>IF(Table2[[#This Row],[TotalWorkingYears]]&lt;=5,"Early (0-5)",IF(Table2[[#This Row],[TotalWorkingYears]]&lt;=15,"Mid (6-15)","Senior (16+)"))</f>
        <v>Senior (16+)</v>
      </c>
      <c r="AC1338">
        <v>2</v>
      </c>
      <c r="AD1338">
        <v>4</v>
      </c>
      <c r="AE1338" t="s">
        <v>64</v>
      </c>
      <c r="AF1338">
        <v>2</v>
      </c>
      <c r="AG1338">
        <v>0</v>
      </c>
      <c r="AH1338">
        <v>4</v>
      </c>
    </row>
    <row r="1339" spans="1:34" x14ac:dyDescent="0.3">
      <c r="A1339" t="s">
        <v>59</v>
      </c>
      <c r="B1339">
        <v>0</v>
      </c>
      <c r="C1339" t="s">
        <v>32</v>
      </c>
      <c r="D1339">
        <v>1172</v>
      </c>
      <c r="E1339" t="s">
        <v>33</v>
      </c>
      <c r="F1339">
        <v>3</v>
      </c>
      <c r="G1339" t="str">
        <f>IF(Table2[[#This Row],[DistanceFromHome]]&lt;=5, "short", IF(Table2[[#This Row],[DistanceFromHome]]&lt;=15, "medium", "long"))</f>
        <v>short</v>
      </c>
      <c r="H1339">
        <v>3</v>
      </c>
      <c r="I1339" t="s">
        <v>46</v>
      </c>
      <c r="J1339">
        <v>1875</v>
      </c>
      <c r="K1339">
        <v>2</v>
      </c>
      <c r="L1339" t="s">
        <v>35</v>
      </c>
      <c r="M1339">
        <v>78</v>
      </c>
      <c r="N1339">
        <v>3</v>
      </c>
      <c r="O1339">
        <v>1</v>
      </c>
      <c r="P1339" t="s">
        <v>52</v>
      </c>
      <c r="Q1339">
        <v>2</v>
      </c>
      <c r="R1339" t="s">
        <v>43</v>
      </c>
      <c r="S1339">
        <v>2856</v>
      </c>
      <c r="T1339">
        <v>3692</v>
      </c>
      <c r="U1339">
        <v>1</v>
      </c>
      <c r="V1339" t="s">
        <v>38</v>
      </c>
      <c r="W1339">
        <v>19</v>
      </c>
      <c r="X1339">
        <v>3</v>
      </c>
      <c r="Y1339">
        <v>4</v>
      </c>
      <c r="Z1339">
        <v>1</v>
      </c>
      <c r="AA1339">
        <v>1</v>
      </c>
      <c r="AB1339" t="str">
        <f>IF(Table2[[#This Row],[TotalWorkingYears]]&lt;=5,"Early (0-5)",IF(Table2[[#This Row],[TotalWorkingYears]]&lt;=15,"Mid (6-15)","Senior (16+)"))</f>
        <v>Early (0-5)</v>
      </c>
      <c r="AC1339">
        <v>3</v>
      </c>
      <c r="AD1339">
        <v>3</v>
      </c>
      <c r="AE1339" t="s">
        <v>63</v>
      </c>
      <c r="AF1339">
        <v>0</v>
      </c>
      <c r="AG1339">
        <v>0</v>
      </c>
      <c r="AH1339">
        <v>0</v>
      </c>
    </row>
    <row r="1340" spans="1:34" x14ac:dyDescent="0.3">
      <c r="A1340" t="s">
        <v>59</v>
      </c>
      <c r="B1340">
        <v>1</v>
      </c>
      <c r="C1340" t="s">
        <v>32</v>
      </c>
      <c r="D1340">
        <v>945</v>
      </c>
      <c r="E1340" t="s">
        <v>33</v>
      </c>
      <c r="F1340">
        <v>9</v>
      </c>
      <c r="G1340" t="str">
        <f>IF(Table2[[#This Row],[DistanceFromHome]]&lt;=5, "short", IF(Table2[[#This Row],[DistanceFromHome]]&lt;=15, "medium", "long"))</f>
        <v>medium</v>
      </c>
      <c r="H1340">
        <v>3</v>
      </c>
      <c r="I1340" t="s">
        <v>46</v>
      </c>
      <c r="J1340">
        <v>1876</v>
      </c>
      <c r="K1340">
        <v>2</v>
      </c>
      <c r="L1340" t="s">
        <v>41</v>
      </c>
      <c r="M1340">
        <v>89</v>
      </c>
      <c r="N1340">
        <v>3</v>
      </c>
      <c r="O1340">
        <v>1</v>
      </c>
      <c r="P1340" t="s">
        <v>52</v>
      </c>
      <c r="Q1340">
        <v>4</v>
      </c>
      <c r="R1340" t="s">
        <v>37</v>
      </c>
      <c r="S1340">
        <v>1081</v>
      </c>
      <c r="T1340">
        <v>16019</v>
      </c>
      <c r="U1340">
        <v>1</v>
      </c>
      <c r="V1340" t="s">
        <v>38</v>
      </c>
      <c r="W1340">
        <v>13</v>
      </c>
      <c r="X1340">
        <v>3</v>
      </c>
      <c r="Y1340">
        <v>3</v>
      </c>
      <c r="Z1340">
        <v>0</v>
      </c>
      <c r="AA1340">
        <v>1</v>
      </c>
      <c r="AB1340" t="str">
        <f>IF(Table2[[#This Row],[TotalWorkingYears]]&lt;=5,"Early (0-5)",IF(Table2[[#This Row],[TotalWorkingYears]]&lt;=15,"Mid (6-15)","Senior (16+)"))</f>
        <v>Early (0-5)</v>
      </c>
      <c r="AC1340">
        <v>3</v>
      </c>
      <c r="AD1340">
        <v>2</v>
      </c>
      <c r="AE1340" t="s">
        <v>63</v>
      </c>
      <c r="AF1340">
        <v>0</v>
      </c>
      <c r="AG1340">
        <v>0</v>
      </c>
      <c r="AH1340">
        <v>0</v>
      </c>
    </row>
    <row r="1341" spans="1:34" x14ac:dyDescent="0.3">
      <c r="A1341" t="s">
        <v>60</v>
      </c>
      <c r="B1341">
        <v>1</v>
      </c>
      <c r="C1341" t="s">
        <v>32</v>
      </c>
      <c r="D1341">
        <v>391</v>
      </c>
      <c r="E1341" t="s">
        <v>40</v>
      </c>
      <c r="F1341">
        <v>7</v>
      </c>
      <c r="G1341" t="str">
        <f>IF(Table2[[#This Row],[DistanceFromHome]]&lt;=5, "short", IF(Table2[[#This Row],[DistanceFromHome]]&lt;=15, "medium", "long"))</f>
        <v>medium</v>
      </c>
      <c r="H1341">
        <v>1</v>
      </c>
      <c r="I1341" t="s">
        <v>34</v>
      </c>
      <c r="J1341">
        <v>1878</v>
      </c>
      <c r="K1341">
        <v>4</v>
      </c>
      <c r="L1341" t="s">
        <v>41</v>
      </c>
      <c r="M1341">
        <v>75</v>
      </c>
      <c r="N1341">
        <v>3</v>
      </c>
      <c r="O1341">
        <v>1</v>
      </c>
      <c r="P1341" t="s">
        <v>42</v>
      </c>
      <c r="Q1341">
        <v>2</v>
      </c>
      <c r="R1341" t="s">
        <v>37</v>
      </c>
      <c r="S1341">
        <v>2472</v>
      </c>
      <c r="T1341">
        <v>26092</v>
      </c>
      <c r="U1341">
        <v>1</v>
      </c>
      <c r="V1341" t="s">
        <v>31</v>
      </c>
      <c r="W1341">
        <v>23</v>
      </c>
      <c r="X1341">
        <v>4</v>
      </c>
      <c r="Y1341">
        <v>1</v>
      </c>
      <c r="Z1341">
        <v>0</v>
      </c>
      <c r="AA1341">
        <v>1</v>
      </c>
      <c r="AB1341" t="str">
        <f>IF(Table2[[#This Row],[TotalWorkingYears]]&lt;=5,"Early (0-5)",IF(Table2[[#This Row],[TotalWorkingYears]]&lt;=15,"Mid (6-15)","Senior (16+)"))</f>
        <v>Early (0-5)</v>
      </c>
      <c r="AC1341">
        <v>2</v>
      </c>
      <c r="AD1341">
        <v>3</v>
      </c>
      <c r="AE1341" t="s">
        <v>63</v>
      </c>
      <c r="AF1341">
        <v>0</v>
      </c>
      <c r="AG1341">
        <v>0</v>
      </c>
      <c r="AH1341">
        <v>0</v>
      </c>
    </row>
    <row r="1342" spans="1:34" x14ac:dyDescent="0.3">
      <c r="A1342" t="s">
        <v>57</v>
      </c>
      <c r="B1342">
        <v>0</v>
      </c>
      <c r="C1342" t="s">
        <v>32</v>
      </c>
      <c r="D1342">
        <v>1266</v>
      </c>
      <c r="E1342" t="s">
        <v>33</v>
      </c>
      <c r="F1342">
        <v>10</v>
      </c>
      <c r="G1342" t="str">
        <f>IF(Table2[[#This Row],[DistanceFromHome]]&lt;=5, "short", IF(Table2[[#This Row],[DistanceFromHome]]&lt;=15, "medium", "long"))</f>
        <v>medium</v>
      </c>
      <c r="H1342">
        <v>4</v>
      </c>
      <c r="I1342" t="s">
        <v>55</v>
      </c>
      <c r="J1342">
        <v>1880</v>
      </c>
      <c r="K1342">
        <v>2</v>
      </c>
      <c r="L1342" t="s">
        <v>35</v>
      </c>
      <c r="M1342">
        <v>63</v>
      </c>
      <c r="N1342">
        <v>2</v>
      </c>
      <c r="O1342">
        <v>2</v>
      </c>
      <c r="P1342" t="s">
        <v>36</v>
      </c>
      <c r="Q1342">
        <v>3</v>
      </c>
      <c r="R1342" t="s">
        <v>43</v>
      </c>
      <c r="S1342">
        <v>5673</v>
      </c>
      <c r="T1342">
        <v>6060</v>
      </c>
      <c r="U1342">
        <v>1</v>
      </c>
      <c r="V1342" t="s">
        <v>31</v>
      </c>
      <c r="W1342">
        <v>13</v>
      </c>
      <c r="X1342">
        <v>3</v>
      </c>
      <c r="Y1342">
        <v>1</v>
      </c>
      <c r="Z1342">
        <v>1</v>
      </c>
      <c r="AA1342">
        <v>10</v>
      </c>
      <c r="AB1342" t="str">
        <f>IF(Table2[[#This Row],[TotalWorkingYears]]&lt;=5,"Early (0-5)",IF(Table2[[#This Row],[TotalWorkingYears]]&lt;=15,"Mid (6-15)","Senior (16+)"))</f>
        <v>Mid (6-15)</v>
      </c>
      <c r="AC1342">
        <v>4</v>
      </c>
      <c r="AD1342">
        <v>3</v>
      </c>
      <c r="AE1342" t="s">
        <v>62</v>
      </c>
      <c r="AF1342">
        <v>9</v>
      </c>
      <c r="AG1342">
        <v>1</v>
      </c>
      <c r="AH1342">
        <v>7</v>
      </c>
    </row>
    <row r="1343" spans="1:34" x14ac:dyDescent="0.3">
      <c r="A1343" t="s">
        <v>59</v>
      </c>
      <c r="B1343">
        <v>0</v>
      </c>
      <c r="C1343" t="s">
        <v>32</v>
      </c>
      <c r="D1343">
        <v>311</v>
      </c>
      <c r="E1343" t="s">
        <v>40</v>
      </c>
      <c r="F1343">
        <v>20</v>
      </c>
      <c r="G1343" t="str">
        <f>IF(Table2[[#This Row],[DistanceFromHome]]&lt;=5, "short", IF(Table2[[#This Row],[DistanceFromHome]]&lt;=15, "medium", "long"))</f>
        <v>long</v>
      </c>
      <c r="H1343">
        <v>3</v>
      </c>
      <c r="I1343" t="s">
        <v>34</v>
      </c>
      <c r="J1343">
        <v>1881</v>
      </c>
      <c r="K1343">
        <v>2</v>
      </c>
      <c r="L1343" t="s">
        <v>41</v>
      </c>
      <c r="M1343">
        <v>89</v>
      </c>
      <c r="N1343">
        <v>3</v>
      </c>
      <c r="O1343">
        <v>2</v>
      </c>
      <c r="P1343" t="s">
        <v>45</v>
      </c>
      <c r="Q1343">
        <v>3</v>
      </c>
      <c r="R1343" t="s">
        <v>47</v>
      </c>
      <c r="S1343">
        <v>4197</v>
      </c>
      <c r="T1343">
        <v>18624</v>
      </c>
      <c r="U1343">
        <v>1</v>
      </c>
      <c r="V1343" t="s">
        <v>38</v>
      </c>
      <c r="W1343">
        <v>11</v>
      </c>
      <c r="X1343">
        <v>3</v>
      </c>
      <c r="Y1343">
        <v>1</v>
      </c>
      <c r="Z1343">
        <v>1</v>
      </c>
      <c r="AA1343">
        <v>10</v>
      </c>
      <c r="AB1343" t="str">
        <f>IF(Table2[[#This Row],[TotalWorkingYears]]&lt;=5,"Early (0-5)",IF(Table2[[#This Row],[TotalWorkingYears]]&lt;=15,"Mid (6-15)","Senior (16+)"))</f>
        <v>Mid (6-15)</v>
      </c>
      <c r="AC1343">
        <v>2</v>
      </c>
      <c r="AD1343">
        <v>3</v>
      </c>
      <c r="AE1343" t="s">
        <v>62</v>
      </c>
      <c r="AF1343">
        <v>8</v>
      </c>
      <c r="AG1343">
        <v>0</v>
      </c>
      <c r="AH1343">
        <v>2</v>
      </c>
    </row>
    <row r="1344" spans="1:34" x14ac:dyDescent="0.3">
      <c r="A1344" t="s">
        <v>59</v>
      </c>
      <c r="B1344">
        <v>0</v>
      </c>
      <c r="C1344" t="s">
        <v>32</v>
      </c>
      <c r="D1344">
        <v>1480</v>
      </c>
      <c r="E1344" t="s">
        <v>33</v>
      </c>
      <c r="F1344">
        <v>4</v>
      </c>
      <c r="G1344" t="str">
        <f>IF(Table2[[#This Row],[DistanceFromHome]]&lt;=5, "short", IF(Table2[[#This Row],[DistanceFromHome]]&lt;=15, "medium", "long"))</f>
        <v>short</v>
      </c>
      <c r="H1344">
        <v>3</v>
      </c>
      <c r="I1344" t="s">
        <v>34</v>
      </c>
      <c r="J1344">
        <v>1882</v>
      </c>
      <c r="K1344">
        <v>3</v>
      </c>
      <c r="L1344" t="s">
        <v>41</v>
      </c>
      <c r="M1344">
        <v>64</v>
      </c>
      <c r="N1344">
        <v>3</v>
      </c>
      <c r="O1344">
        <v>3</v>
      </c>
      <c r="P1344" t="s">
        <v>36</v>
      </c>
      <c r="Q1344">
        <v>4</v>
      </c>
      <c r="R1344" t="s">
        <v>43</v>
      </c>
      <c r="S1344">
        <v>9713</v>
      </c>
      <c r="T1344">
        <v>24444</v>
      </c>
      <c r="U1344">
        <v>2</v>
      </c>
      <c r="V1344" t="s">
        <v>31</v>
      </c>
      <c r="W1344">
        <v>13</v>
      </c>
      <c r="X1344">
        <v>3</v>
      </c>
      <c r="Y1344">
        <v>4</v>
      </c>
      <c r="Z1344">
        <v>3</v>
      </c>
      <c r="AA1344">
        <v>9</v>
      </c>
      <c r="AB1344" t="str">
        <f>IF(Table2[[#This Row],[TotalWorkingYears]]&lt;=5,"Early (0-5)",IF(Table2[[#This Row],[TotalWorkingYears]]&lt;=15,"Mid (6-15)","Senior (16+)"))</f>
        <v>Mid (6-15)</v>
      </c>
      <c r="AC1344">
        <v>3</v>
      </c>
      <c r="AD1344">
        <v>3</v>
      </c>
      <c r="AE1344" t="s">
        <v>64</v>
      </c>
      <c r="AF1344">
        <v>3</v>
      </c>
      <c r="AG1344">
        <v>1</v>
      </c>
      <c r="AH1344">
        <v>0</v>
      </c>
    </row>
    <row r="1345" spans="1:34" x14ac:dyDescent="0.3">
      <c r="A1345" t="s">
        <v>59</v>
      </c>
      <c r="B1345">
        <v>0</v>
      </c>
      <c r="C1345" t="s">
        <v>32</v>
      </c>
      <c r="D1345">
        <v>592</v>
      </c>
      <c r="E1345" t="s">
        <v>40</v>
      </c>
      <c r="F1345">
        <v>7</v>
      </c>
      <c r="G1345" t="str">
        <f>IF(Table2[[#This Row],[DistanceFromHome]]&lt;=5, "short", IF(Table2[[#This Row],[DistanceFromHome]]&lt;=15, "medium", "long"))</f>
        <v>medium</v>
      </c>
      <c r="H1345">
        <v>3</v>
      </c>
      <c r="I1345" t="s">
        <v>34</v>
      </c>
      <c r="J1345">
        <v>1883</v>
      </c>
      <c r="K1345">
        <v>4</v>
      </c>
      <c r="L1345" t="s">
        <v>41</v>
      </c>
      <c r="M1345">
        <v>59</v>
      </c>
      <c r="N1345">
        <v>3</v>
      </c>
      <c r="O1345">
        <v>1</v>
      </c>
      <c r="P1345" t="s">
        <v>45</v>
      </c>
      <c r="Q1345">
        <v>1</v>
      </c>
      <c r="R1345" t="s">
        <v>37</v>
      </c>
      <c r="S1345">
        <v>2062</v>
      </c>
      <c r="T1345">
        <v>19384</v>
      </c>
      <c r="U1345">
        <v>3</v>
      </c>
      <c r="V1345" t="s">
        <v>38</v>
      </c>
      <c r="W1345">
        <v>14</v>
      </c>
      <c r="X1345">
        <v>3</v>
      </c>
      <c r="Y1345">
        <v>2</v>
      </c>
      <c r="Z1345">
        <v>0</v>
      </c>
      <c r="AA1345">
        <v>11</v>
      </c>
      <c r="AB1345" t="str">
        <f>IF(Table2[[#This Row],[TotalWorkingYears]]&lt;=5,"Early (0-5)",IF(Table2[[#This Row],[TotalWorkingYears]]&lt;=15,"Mid (6-15)","Senior (16+)"))</f>
        <v>Mid (6-15)</v>
      </c>
      <c r="AC1345">
        <v>2</v>
      </c>
      <c r="AD1345">
        <v>3</v>
      </c>
      <c r="AE1345" t="s">
        <v>64</v>
      </c>
      <c r="AF1345">
        <v>2</v>
      </c>
      <c r="AG1345">
        <v>1</v>
      </c>
      <c r="AH1345">
        <v>2</v>
      </c>
    </row>
    <row r="1346" spans="1:34" x14ac:dyDescent="0.3">
      <c r="A1346" t="s">
        <v>57</v>
      </c>
      <c r="B1346">
        <v>0</v>
      </c>
      <c r="C1346" t="s">
        <v>32</v>
      </c>
      <c r="D1346">
        <v>783</v>
      </c>
      <c r="E1346" t="s">
        <v>40</v>
      </c>
      <c r="F1346">
        <v>7</v>
      </c>
      <c r="G1346" t="str">
        <f>IF(Table2[[#This Row],[DistanceFromHome]]&lt;=5, "short", IF(Table2[[#This Row],[DistanceFromHome]]&lt;=15, "medium", "long"))</f>
        <v>medium</v>
      </c>
      <c r="H1346">
        <v>4</v>
      </c>
      <c r="I1346" t="s">
        <v>46</v>
      </c>
      <c r="J1346">
        <v>1885</v>
      </c>
      <c r="K1346">
        <v>4</v>
      </c>
      <c r="L1346" t="s">
        <v>41</v>
      </c>
      <c r="M1346">
        <v>78</v>
      </c>
      <c r="N1346">
        <v>3</v>
      </c>
      <c r="O1346">
        <v>2</v>
      </c>
      <c r="P1346" t="s">
        <v>42</v>
      </c>
      <c r="Q1346">
        <v>1</v>
      </c>
      <c r="R1346" t="s">
        <v>43</v>
      </c>
      <c r="S1346">
        <v>4284</v>
      </c>
      <c r="T1346">
        <v>13588</v>
      </c>
      <c r="U1346">
        <v>5</v>
      </c>
      <c r="V1346" t="s">
        <v>31</v>
      </c>
      <c r="W1346">
        <v>22</v>
      </c>
      <c r="X1346">
        <v>4</v>
      </c>
      <c r="Y1346">
        <v>3</v>
      </c>
      <c r="Z1346">
        <v>1</v>
      </c>
      <c r="AA1346">
        <v>16</v>
      </c>
      <c r="AB1346" t="str">
        <f>IF(Table2[[#This Row],[TotalWorkingYears]]&lt;=5,"Early (0-5)",IF(Table2[[#This Row],[TotalWorkingYears]]&lt;=15,"Mid (6-15)","Senior (16+)"))</f>
        <v>Senior (16+)</v>
      </c>
      <c r="AC1346">
        <v>2</v>
      </c>
      <c r="AD1346">
        <v>3</v>
      </c>
      <c r="AE1346" t="s">
        <v>64</v>
      </c>
      <c r="AF1346">
        <v>3</v>
      </c>
      <c r="AG1346">
        <v>0</v>
      </c>
      <c r="AH1346">
        <v>4</v>
      </c>
    </row>
    <row r="1347" spans="1:34" x14ac:dyDescent="0.3">
      <c r="A1347" t="s">
        <v>59</v>
      </c>
      <c r="B1347">
        <v>0</v>
      </c>
      <c r="C1347" t="s">
        <v>32</v>
      </c>
      <c r="D1347">
        <v>219</v>
      </c>
      <c r="E1347" t="s">
        <v>40</v>
      </c>
      <c r="F1347">
        <v>16</v>
      </c>
      <c r="G1347" t="str">
        <f>IF(Table2[[#This Row],[DistanceFromHome]]&lt;=5, "short", IF(Table2[[#This Row],[DistanceFromHome]]&lt;=15, "medium", "long"))</f>
        <v>long</v>
      </c>
      <c r="H1347">
        <v>2</v>
      </c>
      <c r="I1347" t="s">
        <v>44</v>
      </c>
      <c r="J1347">
        <v>1886</v>
      </c>
      <c r="K1347">
        <v>4</v>
      </c>
      <c r="L1347" t="s">
        <v>35</v>
      </c>
      <c r="M1347">
        <v>44</v>
      </c>
      <c r="N1347">
        <v>2</v>
      </c>
      <c r="O1347">
        <v>2</v>
      </c>
      <c r="P1347" t="s">
        <v>48</v>
      </c>
      <c r="Q1347">
        <v>2</v>
      </c>
      <c r="R1347" t="s">
        <v>43</v>
      </c>
      <c r="S1347">
        <v>4788</v>
      </c>
      <c r="T1347">
        <v>25388</v>
      </c>
      <c r="U1347">
        <v>0</v>
      </c>
      <c r="V1347" t="s">
        <v>31</v>
      </c>
      <c r="W1347">
        <v>11</v>
      </c>
      <c r="X1347">
        <v>3</v>
      </c>
      <c r="Y1347">
        <v>4</v>
      </c>
      <c r="Z1347">
        <v>0</v>
      </c>
      <c r="AA1347">
        <v>4</v>
      </c>
      <c r="AB1347" t="str">
        <f>IF(Table2[[#This Row],[TotalWorkingYears]]&lt;=5,"Early (0-5)",IF(Table2[[#This Row],[TotalWorkingYears]]&lt;=15,"Mid (6-15)","Senior (16+)"))</f>
        <v>Early (0-5)</v>
      </c>
      <c r="AC1347">
        <v>2</v>
      </c>
      <c r="AD1347">
        <v>3</v>
      </c>
      <c r="AE1347" t="s">
        <v>64</v>
      </c>
      <c r="AF1347">
        <v>2</v>
      </c>
      <c r="AG1347">
        <v>0</v>
      </c>
      <c r="AH1347">
        <v>2</v>
      </c>
    </row>
    <row r="1348" spans="1:34" x14ac:dyDescent="0.3">
      <c r="A1348" t="s">
        <v>57</v>
      </c>
      <c r="B1348">
        <v>0</v>
      </c>
      <c r="C1348" t="s">
        <v>32</v>
      </c>
      <c r="D1348">
        <v>556</v>
      </c>
      <c r="E1348" t="s">
        <v>40</v>
      </c>
      <c r="F1348">
        <v>25</v>
      </c>
      <c r="G1348" t="str">
        <f>IF(Table2[[#This Row],[DistanceFromHome]]&lt;=5, "short", IF(Table2[[#This Row],[DistanceFromHome]]&lt;=15, "medium", "long"))</f>
        <v>long</v>
      </c>
      <c r="H1348">
        <v>2</v>
      </c>
      <c r="I1348" t="s">
        <v>34</v>
      </c>
      <c r="J1348">
        <v>1888</v>
      </c>
      <c r="K1348">
        <v>2</v>
      </c>
      <c r="L1348" t="s">
        <v>35</v>
      </c>
      <c r="M1348">
        <v>93</v>
      </c>
      <c r="N1348">
        <v>2</v>
      </c>
      <c r="O1348">
        <v>2</v>
      </c>
      <c r="P1348" t="s">
        <v>48</v>
      </c>
      <c r="Q1348">
        <v>4</v>
      </c>
      <c r="R1348" t="s">
        <v>43</v>
      </c>
      <c r="S1348">
        <v>5906</v>
      </c>
      <c r="T1348">
        <v>23888</v>
      </c>
      <c r="U1348">
        <v>0</v>
      </c>
      <c r="V1348" t="s">
        <v>38</v>
      </c>
      <c r="W1348">
        <v>13</v>
      </c>
      <c r="X1348">
        <v>3</v>
      </c>
      <c r="Y1348">
        <v>4</v>
      </c>
      <c r="Z1348">
        <v>2</v>
      </c>
      <c r="AA1348">
        <v>10</v>
      </c>
      <c r="AB1348" t="str">
        <f>IF(Table2[[#This Row],[TotalWorkingYears]]&lt;=5,"Early (0-5)",IF(Table2[[#This Row],[TotalWorkingYears]]&lt;=15,"Mid (6-15)","Senior (16+)"))</f>
        <v>Mid (6-15)</v>
      </c>
      <c r="AC1348">
        <v>2</v>
      </c>
      <c r="AD1348">
        <v>2</v>
      </c>
      <c r="AE1348" t="s">
        <v>62</v>
      </c>
      <c r="AF1348">
        <v>8</v>
      </c>
      <c r="AG1348">
        <v>3</v>
      </c>
      <c r="AH1348">
        <v>8</v>
      </c>
    </row>
    <row r="1349" spans="1:34" x14ac:dyDescent="0.3">
      <c r="A1349" t="s">
        <v>57</v>
      </c>
      <c r="B1349">
        <v>0</v>
      </c>
      <c r="C1349" t="s">
        <v>39</v>
      </c>
      <c r="D1349">
        <v>1213</v>
      </c>
      <c r="E1349" t="s">
        <v>56</v>
      </c>
      <c r="F1349">
        <v>2</v>
      </c>
      <c r="G1349" t="str">
        <f>IF(Table2[[#This Row],[DistanceFromHome]]&lt;=5, "short", IF(Table2[[#This Row],[DistanceFromHome]]&lt;=15, "medium", "long"))</f>
        <v>short</v>
      </c>
      <c r="H1349">
        <v>1</v>
      </c>
      <c r="I1349" t="s">
        <v>56</v>
      </c>
      <c r="J1349">
        <v>1890</v>
      </c>
      <c r="K1349">
        <v>2</v>
      </c>
      <c r="L1349" t="s">
        <v>41</v>
      </c>
      <c r="M1349">
        <v>94</v>
      </c>
      <c r="N1349">
        <v>2</v>
      </c>
      <c r="O1349">
        <v>2</v>
      </c>
      <c r="P1349" t="s">
        <v>56</v>
      </c>
      <c r="Q1349">
        <v>4</v>
      </c>
      <c r="R1349" t="s">
        <v>37</v>
      </c>
      <c r="S1349">
        <v>3886</v>
      </c>
      <c r="T1349">
        <v>4223</v>
      </c>
      <c r="U1349">
        <v>1</v>
      </c>
      <c r="V1349" t="s">
        <v>38</v>
      </c>
      <c r="W1349">
        <v>21</v>
      </c>
      <c r="X1349">
        <v>4</v>
      </c>
      <c r="Y1349">
        <v>4</v>
      </c>
      <c r="Z1349">
        <v>0</v>
      </c>
      <c r="AA1349">
        <v>10</v>
      </c>
      <c r="AB1349" t="str">
        <f>IF(Table2[[#This Row],[TotalWorkingYears]]&lt;=5,"Early (0-5)",IF(Table2[[#This Row],[TotalWorkingYears]]&lt;=15,"Mid (6-15)","Senior (16+)"))</f>
        <v>Mid (6-15)</v>
      </c>
      <c r="AC1349">
        <v>2</v>
      </c>
      <c r="AD1349">
        <v>2</v>
      </c>
      <c r="AE1349" t="s">
        <v>62</v>
      </c>
      <c r="AF1349">
        <v>1</v>
      </c>
      <c r="AG1349">
        <v>0</v>
      </c>
      <c r="AH1349">
        <v>8</v>
      </c>
    </row>
    <row r="1350" spans="1:34" x14ac:dyDescent="0.3">
      <c r="A1350" t="s">
        <v>57</v>
      </c>
      <c r="B1350">
        <v>0</v>
      </c>
      <c r="C1350" t="s">
        <v>32</v>
      </c>
      <c r="D1350">
        <v>1137</v>
      </c>
      <c r="E1350" t="s">
        <v>40</v>
      </c>
      <c r="F1350">
        <v>1</v>
      </c>
      <c r="G1350" t="str">
        <f>IF(Table2[[#This Row],[DistanceFromHome]]&lt;=5, "short", IF(Table2[[#This Row],[DistanceFromHome]]&lt;=15, "medium", "long"))</f>
        <v>short</v>
      </c>
      <c r="H1350">
        <v>4</v>
      </c>
      <c r="I1350" t="s">
        <v>34</v>
      </c>
      <c r="J1350">
        <v>1892</v>
      </c>
      <c r="K1350">
        <v>1</v>
      </c>
      <c r="L1350" t="s">
        <v>41</v>
      </c>
      <c r="M1350">
        <v>98</v>
      </c>
      <c r="N1350">
        <v>3</v>
      </c>
      <c r="O1350">
        <v>4</v>
      </c>
      <c r="P1350" t="s">
        <v>51</v>
      </c>
      <c r="Q1350">
        <v>1</v>
      </c>
      <c r="R1350" t="s">
        <v>47</v>
      </c>
      <c r="S1350">
        <v>16823</v>
      </c>
      <c r="T1350">
        <v>18991</v>
      </c>
      <c r="U1350">
        <v>2</v>
      </c>
      <c r="V1350" t="s">
        <v>38</v>
      </c>
      <c r="W1350">
        <v>11</v>
      </c>
      <c r="X1350">
        <v>3</v>
      </c>
      <c r="Y1350">
        <v>1</v>
      </c>
      <c r="Z1350">
        <v>1</v>
      </c>
      <c r="AA1350">
        <v>22</v>
      </c>
      <c r="AB1350" t="str">
        <f>IF(Table2[[#This Row],[TotalWorkingYears]]&lt;=5,"Early (0-5)",IF(Table2[[#This Row],[TotalWorkingYears]]&lt;=15,"Mid (6-15)","Senior (16+)"))</f>
        <v>Senior (16+)</v>
      </c>
      <c r="AC1350">
        <v>3</v>
      </c>
      <c r="AD1350">
        <v>3</v>
      </c>
      <c r="AE1350" t="s">
        <v>65</v>
      </c>
      <c r="AF1350">
        <v>7</v>
      </c>
      <c r="AG1350">
        <v>11</v>
      </c>
      <c r="AH1350">
        <v>16</v>
      </c>
    </row>
    <row r="1351" spans="1:34" x14ac:dyDescent="0.3">
      <c r="A1351" t="s">
        <v>59</v>
      </c>
      <c r="B1351">
        <v>0</v>
      </c>
      <c r="C1351" t="s">
        <v>32</v>
      </c>
      <c r="D1351">
        <v>482</v>
      </c>
      <c r="E1351" t="s">
        <v>40</v>
      </c>
      <c r="F1351">
        <v>1</v>
      </c>
      <c r="G1351" t="str">
        <f>IF(Table2[[#This Row],[DistanceFromHome]]&lt;=5, "short", IF(Table2[[#This Row],[DistanceFromHome]]&lt;=15, "medium", "long"))</f>
        <v>short</v>
      </c>
      <c r="H1351">
        <v>2</v>
      </c>
      <c r="I1351" t="s">
        <v>34</v>
      </c>
      <c r="J1351">
        <v>1893</v>
      </c>
      <c r="K1351">
        <v>2</v>
      </c>
      <c r="L1351" t="s">
        <v>35</v>
      </c>
      <c r="M1351">
        <v>90</v>
      </c>
      <c r="N1351">
        <v>2</v>
      </c>
      <c r="O1351">
        <v>1</v>
      </c>
      <c r="P1351" t="s">
        <v>42</v>
      </c>
      <c r="Q1351">
        <v>3</v>
      </c>
      <c r="R1351" t="s">
        <v>43</v>
      </c>
      <c r="S1351">
        <v>2933</v>
      </c>
      <c r="T1351">
        <v>14908</v>
      </c>
      <c r="U1351">
        <v>1</v>
      </c>
      <c r="V1351" t="s">
        <v>31</v>
      </c>
      <c r="W1351">
        <v>13</v>
      </c>
      <c r="X1351">
        <v>3</v>
      </c>
      <c r="Y1351">
        <v>3</v>
      </c>
      <c r="Z1351">
        <v>1</v>
      </c>
      <c r="AA1351">
        <v>1</v>
      </c>
      <c r="AB1351" t="str">
        <f>IF(Table2[[#This Row],[TotalWorkingYears]]&lt;=5,"Early (0-5)",IF(Table2[[#This Row],[TotalWorkingYears]]&lt;=15,"Mid (6-15)","Senior (16+)"))</f>
        <v>Early (0-5)</v>
      </c>
      <c r="AC1351">
        <v>3</v>
      </c>
      <c r="AD1351">
        <v>2</v>
      </c>
      <c r="AE1351" t="s">
        <v>63</v>
      </c>
      <c r="AF1351">
        <v>0</v>
      </c>
      <c r="AG1351">
        <v>1</v>
      </c>
      <c r="AH1351">
        <v>0</v>
      </c>
    </row>
    <row r="1352" spans="1:34" x14ac:dyDescent="0.3">
      <c r="A1352" t="s">
        <v>59</v>
      </c>
      <c r="B1352">
        <v>0</v>
      </c>
      <c r="C1352" t="s">
        <v>32</v>
      </c>
      <c r="D1352">
        <v>511</v>
      </c>
      <c r="E1352" t="s">
        <v>33</v>
      </c>
      <c r="F1352">
        <v>2</v>
      </c>
      <c r="G1352" t="str">
        <f>IF(Table2[[#This Row],[DistanceFromHome]]&lt;=5, "short", IF(Table2[[#This Row],[DistanceFromHome]]&lt;=15, "medium", "long"))</f>
        <v>short</v>
      </c>
      <c r="H1352">
        <v>2</v>
      </c>
      <c r="I1352" t="s">
        <v>46</v>
      </c>
      <c r="J1352">
        <v>1898</v>
      </c>
      <c r="K1352">
        <v>1</v>
      </c>
      <c r="L1352" t="s">
        <v>35</v>
      </c>
      <c r="M1352">
        <v>89</v>
      </c>
      <c r="N1352">
        <v>4</v>
      </c>
      <c r="O1352">
        <v>2</v>
      </c>
      <c r="P1352" t="s">
        <v>36</v>
      </c>
      <c r="Q1352">
        <v>3</v>
      </c>
      <c r="R1352" t="s">
        <v>37</v>
      </c>
      <c r="S1352">
        <v>6500</v>
      </c>
      <c r="T1352">
        <v>26997</v>
      </c>
      <c r="U1352">
        <v>0</v>
      </c>
      <c r="V1352" t="s">
        <v>38</v>
      </c>
      <c r="W1352">
        <v>14</v>
      </c>
      <c r="X1352">
        <v>3</v>
      </c>
      <c r="Y1352">
        <v>2</v>
      </c>
      <c r="Z1352">
        <v>0</v>
      </c>
      <c r="AA1352">
        <v>9</v>
      </c>
      <c r="AB1352" t="str">
        <f>IF(Table2[[#This Row],[TotalWorkingYears]]&lt;=5,"Early (0-5)",IF(Table2[[#This Row],[TotalWorkingYears]]&lt;=15,"Mid (6-15)","Senior (16+)"))</f>
        <v>Mid (6-15)</v>
      </c>
      <c r="AC1352">
        <v>5</v>
      </c>
      <c r="AD1352">
        <v>2</v>
      </c>
      <c r="AE1352" t="s">
        <v>62</v>
      </c>
      <c r="AF1352">
        <v>7</v>
      </c>
      <c r="AG1352">
        <v>0</v>
      </c>
      <c r="AH1352">
        <v>7</v>
      </c>
    </row>
    <row r="1353" spans="1:34" x14ac:dyDescent="0.3">
      <c r="A1353" t="s">
        <v>58</v>
      </c>
      <c r="B1353">
        <v>0</v>
      </c>
      <c r="C1353" t="s">
        <v>39</v>
      </c>
      <c r="D1353">
        <v>117</v>
      </c>
      <c r="E1353" t="s">
        <v>40</v>
      </c>
      <c r="F1353">
        <v>22</v>
      </c>
      <c r="G1353" t="str">
        <f>IF(Table2[[#This Row],[DistanceFromHome]]&lt;=5, "short", IF(Table2[[#This Row],[DistanceFromHome]]&lt;=15, "medium", "long"))</f>
        <v>long</v>
      </c>
      <c r="H1353">
        <v>3</v>
      </c>
      <c r="I1353" t="s">
        <v>46</v>
      </c>
      <c r="J1353">
        <v>1900</v>
      </c>
      <c r="K1353">
        <v>4</v>
      </c>
      <c r="L1353" t="s">
        <v>35</v>
      </c>
      <c r="M1353">
        <v>58</v>
      </c>
      <c r="N1353">
        <v>3</v>
      </c>
      <c r="O1353">
        <v>4</v>
      </c>
      <c r="P1353" t="s">
        <v>51</v>
      </c>
      <c r="Q1353">
        <v>4</v>
      </c>
      <c r="R1353" t="s">
        <v>47</v>
      </c>
      <c r="S1353">
        <v>17174</v>
      </c>
      <c r="T1353">
        <v>2437</v>
      </c>
      <c r="U1353">
        <v>3</v>
      </c>
      <c r="V1353" t="s">
        <v>38</v>
      </c>
      <c r="W1353">
        <v>11</v>
      </c>
      <c r="X1353">
        <v>3</v>
      </c>
      <c r="Y1353">
        <v>2</v>
      </c>
      <c r="Z1353">
        <v>1</v>
      </c>
      <c r="AA1353">
        <v>24</v>
      </c>
      <c r="AB1353" t="str">
        <f>IF(Table2[[#This Row],[TotalWorkingYears]]&lt;=5,"Early (0-5)",IF(Table2[[#This Row],[TotalWorkingYears]]&lt;=15,"Mid (6-15)","Senior (16+)"))</f>
        <v>Senior (16+)</v>
      </c>
      <c r="AC1353">
        <v>3</v>
      </c>
      <c r="AD1353">
        <v>3</v>
      </c>
      <c r="AE1353" t="s">
        <v>65</v>
      </c>
      <c r="AF1353">
        <v>17</v>
      </c>
      <c r="AG1353">
        <v>4</v>
      </c>
      <c r="AH1353">
        <v>7</v>
      </c>
    </row>
    <row r="1354" spans="1:34" x14ac:dyDescent="0.3">
      <c r="A1354" t="s">
        <v>57</v>
      </c>
      <c r="B1354">
        <v>0</v>
      </c>
      <c r="C1354" t="s">
        <v>32</v>
      </c>
      <c r="D1354">
        <v>170</v>
      </c>
      <c r="E1354" t="s">
        <v>40</v>
      </c>
      <c r="F1354">
        <v>1</v>
      </c>
      <c r="G1354" t="str">
        <f>IF(Table2[[#This Row],[DistanceFromHome]]&lt;=5, "short", IF(Table2[[#This Row],[DistanceFromHome]]&lt;=15, "medium", "long"))</f>
        <v>short</v>
      </c>
      <c r="H1354">
        <v>4</v>
      </c>
      <c r="I1354" t="s">
        <v>34</v>
      </c>
      <c r="J1354">
        <v>1903</v>
      </c>
      <c r="K1354">
        <v>2</v>
      </c>
      <c r="L1354" t="s">
        <v>41</v>
      </c>
      <c r="M1354">
        <v>78</v>
      </c>
      <c r="N1354">
        <v>4</v>
      </c>
      <c r="O1354">
        <v>2</v>
      </c>
      <c r="P1354" t="s">
        <v>49</v>
      </c>
      <c r="Q1354">
        <v>1</v>
      </c>
      <c r="R1354" t="s">
        <v>43</v>
      </c>
      <c r="S1354">
        <v>5033</v>
      </c>
      <c r="T1354">
        <v>9364</v>
      </c>
      <c r="U1354">
        <v>2</v>
      </c>
      <c r="V1354" t="s">
        <v>38</v>
      </c>
      <c r="W1354">
        <v>15</v>
      </c>
      <c r="X1354">
        <v>3</v>
      </c>
      <c r="Y1354">
        <v>4</v>
      </c>
      <c r="Z1354">
        <v>1</v>
      </c>
      <c r="AA1354">
        <v>10</v>
      </c>
      <c r="AB1354" t="str">
        <f>IF(Table2[[#This Row],[TotalWorkingYears]]&lt;=5,"Early (0-5)",IF(Table2[[#This Row],[TotalWorkingYears]]&lt;=15,"Mid (6-15)","Senior (16+)"))</f>
        <v>Mid (6-15)</v>
      </c>
      <c r="AC1354">
        <v>5</v>
      </c>
      <c r="AD1354">
        <v>3</v>
      </c>
      <c r="AE1354" t="s">
        <v>63</v>
      </c>
      <c r="AF1354">
        <v>0</v>
      </c>
      <c r="AG1354">
        <v>2</v>
      </c>
      <c r="AH1354">
        <v>2</v>
      </c>
    </row>
    <row r="1355" spans="1:34" x14ac:dyDescent="0.3">
      <c r="A1355" t="s">
        <v>59</v>
      </c>
      <c r="B1355">
        <v>1</v>
      </c>
      <c r="C1355" t="s">
        <v>50</v>
      </c>
      <c r="D1355">
        <v>967</v>
      </c>
      <c r="E1355" t="s">
        <v>40</v>
      </c>
      <c r="F1355">
        <v>16</v>
      </c>
      <c r="G1355" t="str">
        <f>IF(Table2[[#This Row],[DistanceFromHome]]&lt;=5, "short", IF(Table2[[#This Row],[DistanceFromHome]]&lt;=15, "medium", "long"))</f>
        <v>long</v>
      </c>
      <c r="H1355">
        <v>4</v>
      </c>
      <c r="I1355" t="s">
        <v>55</v>
      </c>
      <c r="J1355">
        <v>1905</v>
      </c>
      <c r="K1355">
        <v>4</v>
      </c>
      <c r="L1355" t="s">
        <v>41</v>
      </c>
      <c r="M1355">
        <v>85</v>
      </c>
      <c r="N1355">
        <v>1</v>
      </c>
      <c r="O1355">
        <v>1</v>
      </c>
      <c r="P1355" t="s">
        <v>42</v>
      </c>
      <c r="Q1355">
        <v>1</v>
      </c>
      <c r="R1355" t="s">
        <v>43</v>
      </c>
      <c r="S1355">
        <v>2307</v>
      </c>
      <c r="T1355">
        <v>14460</v>
      </c>
      <c r="U1355">
        <v>1</v>
      </c>
      <c r="V1355" t="s">
        <v>31</v>
      </c>
      <c r="W1355">
        <v>23</v>
      </c>
      <c r="X1355">
        <v>4</v>
      </c>
      <c r="Y1355">
        <v>2</v>
      </c>
      <c r="Z1355">
        <v>1</v>
      </c>
      <c r="AA1355">
        <v>5</v>
      </c>
      <c r="AB1355" t="str">
        <f>IF(Table2[[#This Row],[TotalWorkingYears]]&lt;=5,"Early (0-5)",IF(Table2[[#This Row],[TotalWorkingYears]]&lt;=15,"Mid (6-15)","Senior (16+)"))</f>
        <v>Early (0-5)</v>
      </c>
      <c r="AC1355">
        <v>2</v>
      </c>
      <c r="AD1355">
        <v>3</v>
      </c>
      <c r="AE1355" t="s">
        <v>64</v>
      </c>
      <c r="AF1355">
        <v>2</v>
      </c>
      <c r="AG1355">
        <v>3</v>
      </c>
      <c r="AH1355">
        <v>0</v>
      </c>
    </row>
    <row r="1356" spans="1:34" x14ac:dyDescent="0.3">
      <c r="A1356" t="s">
        <v>58</v>
      </c>
      <c r="B1356">
        <v>1</v>
      </c>
      <c r="C1356" t="s">
        <v>32</v>
      </c>
      <c r="D1356">
        <v>1162</v>
      </c>
      <c r="E1356" t="s">
        <v>40</v>
      </c>
      <c r="F1356">
        <v>24</v>
      </c>
      <c r="G1356" t="str">
        <f>IF(Table2[[#This Row],[DistanceFromHome]]&lt;=5, "short", IF(Table2[[#This Row],[DistanceFromHome]]&lt;=15, "medium", "long"))</f>
        <v>long</v>
      </c>
      <c r="H1356">
        <v>2</v>
      </c>
      <c r="I1356" t="s">
        <v>34</v>
      </c>
      <c r="J1356">
        <v>1907</v>
      </c>
      <c r="K1356">
        <v>1</v>
      </c>
      <c r="L1356" t="s">
        <v>41</v>
      </c>
      <c r="M1356">
        <v>97</v>
      </c>
      <c r="N1356">
        <v>3</v>
      </c>
      <c r="O1356">
        <v>1</v>
      </c>
      <c r="P1356" t="s">
        <v>45</v>
      </c>
      <c r="Q1356">
        <v>4</v>
      </c>
      <c r="R1356" t="s">
        <v>37</v>
      </c>
      <c r="S1356">
        <v>2587</v>
      </c>
      <c r="T1356">
        <v>10261</v>
      </c>
      <c r="U1356">
        <v>1</v>
      </c>
      <c r="V1356" t="s">
        <v>38</v>
      </c>
      <c r="W1356">
        <v>16</v>
      </c>
      <c r="X1356">
        <v>3</v>
      </c>
      <c r="Y1356">
        <v>4</v>
      </c>
      <c r="Z1356">
        <v>0</v>
      </c>
      <c r="AA1356">
        <v>5</v>
      </c>
      <c r="AB1356" t="str">
        <f>IF(Table2[[#This Row],[TotalWorkingYears]]&lt;=5,"Early (0-5)",IF(Table2[[#This Row],[TotalWorkingYears]]&lt;=15,"Mid (6-15)","Senior (16+)"))</f>
        <v>Early (0-5)</v>
      </c>
      <c r="AC1356">
        <v>3</v>
      </c>
      <c r="AD1356">
        <v>3</v>
      </c>
      <c r="AE1356" t="s">
        <v>64</v>
      </c>
      <c r="AF1356">
        <v>2</v>
      </c>
      <c r="AG1356">
        <v>1</v>
      </c>
      <c r="AH1356">
        <v>0</v>
      </c>
    </row>
    <row r="1357" spans="1:34" x14ac:dyDescent="0.3">
      <c r="A1357" t="s">
        <v>57</v>
      </c>
      <c r="B1357">
        <v>0</v>
      </c>
      <c r="C1357" t="s">
        <v>32</v>
      </c>
      <c r="D1357">
        <v>335</v>
      </c>
      <c r="E1357" t="s">
        <v>33</v>
      </c>
      <c r="F1357">
        <v>17</v>
      </c>
      <c r="G1357" t="str">
        <f>IF(Table2[[#This Row],[DistanceFromHome]]&lt;=5, "short", IF(Table2[[#This Row],[DistanceFromHome]]&lt;=15, "medium", "long"))</f>
        <v>long</v>
      </c>
      <c r="H1357">
        <v>2</v>
      </c>
      <c r="I1357" t="s">
        <v>54</v>
      </c>
      <c r="J1357">
        <v>1908</v>
      </c>
      <c r="K1357">
        <v>3</v>
      </c>
      <c r="L1357" t="s">
        <v>41</v>
      </c>
      <c r="M1357">
        <v>33</v>
      </c>
      <c r="N1357">
        <v>2</v>
      </c>
      <c r="O1357">
        <v>2</v>
      </c>
      <c r="P1357" t="s">
        <v>36</v>
      </c>
      <c r="Q1357">
        <v>2</v>
      </c>
      <c r="R1357" t="s">
        <v>43</v>
      </c>
      <c r="S1357">
        <v>5507</v>
      </c>
      <c r="T1357">
        <v>16822</v>
      </c>
      <c r="U1357">
        <v>2</v>
      </c>
      <c r="V1357" t="s">
        <v>38</v>
      </c>
      <c r="W1357">
        <v>16</v>
      </c>
      <c r="X1357">
        <v>3</v>
      </c>
      <c r="Y1357">
        <v>3</v>
      </c>
      <c r="Z1357">
        <v>2</v>
      </c>
      <c r="AA1357">
        <v>12</v>
      </c>
      <c r="AB1357" t="str">
        <f>IF(Table2[[#This Row],[TotalWorkingYears]]&lt;=5,"Early (0-5)",IF(Table2[[#This Row],[TotalWorkingYears]]&lt;=15,"Mid (6-15)","Senior (16+)"))</f>
        <v>Mid (6-15)</v>
      </c>
      <c r="AC1357">
        <v>1</v>
      </c>
      <c r="AD1357">
        <v>1</v>
      </c>
      <c r="AE1357" t="s">
        <v>64</v>
      </c>
      <c r="AF1357">
        <v>2</v>
      </c>
      <c r="AG1357">
        <v>1</v>
      </c>
      <c r="AH1357">
        <v>3</v>
      </c>
    </row>
    <row r="1358" spans="1:34" x14ac:dyDescent="0.3">
      <c r="A1358" t="s">
        <v>57</v>
      </c>
      <c r="B1358">
        <v>0</v>
      </c>
      <c r="C1358" t="s">
        <v>32</v>
      </c>
      <c r="D1358">
        <v>337</v>
      </c>
      <c r="E1358" t="s">
        <v>33</v>
      </c>
      <c r="F1358">
        <v>8</v>
      </c>
      <c r="G1358" t="str">
        <f>IF(Table2[[#This Row],[DistanceFromHome]]&lt;=5, "short", IF(Table2[[#This Row],[DistanceFromHome]]&lt;=15, "medium", "long"))</f>
        <v>medium</v>
      </c>
      <c r="H1358">
        <v>3</v>
      </c>
      <c r="I1358" t="s">
        <v>54</v>
      </c>
      <c r="J1358">
        <v>1909</v>
      </c>
      <c r="K1358">
        <v>3</v>
      </c>
      <c r="L1358" t="s">
        <v>35</v>
      </c>
      <c r="M1358">
        <v>54</v>
      </c>
      <c r="N1358">
        <v>3</v>
      </c>
      <c r="O1358">
        <v>2</v>
      </c>
      <c r="P1358" t="s">
        <v>36</v>
      </c>
      <c r="Q1358">
        <v>2</v>
      </c>
      <c r="R1358" t="s">
        <v>43</v>
      </c>
      <c r="S1358">
        <v>4393</v>
      </c>
      <c r="T1358">
        <v>26841</v>
      </c>
      <c r="U1358">
        <v>5</v>
      </c>
      <c r="V1358" t="s">
        <v>38</v>
      </c>
      <c r="W1358">
        <v>21</v>
      </c>
      <c r="X1358">
        <v>4</v>
      </c>
      <c r="Y1358">
        <v>3</v>
      </c>
      <c r="Z1358">
        <v>1</v>
      </c>
      <c r="AA1358">
        <v>14</v>
      </c>
      <c r="AB1358" t="str">
        <f>IF(Table2[[#This Row],[TotalWorkingYears]]&lt;=5,"Early (0-5)",IF(Table2[[#This Row],[TotalWorkingYears]]&lt;=15,"Mid (6-15)","Senior (16+)"))</f>
        <v>Mid (6-15)</v>
      </c>
      <c r="AC1358">
        <v>3</v>
      </c>
      <c r="AD1358">
        <v>3</v>
      </c>
      <c r="AE1358" t="s">
        <v>64</v>
      </c>
      <c r="AF1358">
        <v>4</v>
      </c>
      <c r="AG1358">
        <v>1</v>
      </c>
      <c r="AH1358">
        <v>4</v>
      </c>
    </row>
    <row r="1359" spans="1:34" x14ac:dyDescent="0.3">
      <c r="A1359" t="s">
        <v>57</v>
      </c>
      <c r="B1359">
        <v>0</v>
      </c>
      <c r="C1359" t="s">
        <v>32</v>
      </c>
      <c r="D1359">
        <v>1396</v>
      </c>
      <c r="E1359" t="s">
        <v>40</v>
      </c>
      <c r="F1359">
        <v>6</v>
      </c>
      <c r="G1359" t="str">
        <f>IF(Table2[[#This Row],[DistanceFromHome]]&lt;=5, "short", IF(Table2[[#This Row],[DistanceFromHome]]&lt;=15, "medium", "long"))</f>
        <v>medium</v>
      </c>
      <c r="H1359">
        <v>3</v>
      </c>
      <c r="I1359" t="s">
        <v>46</v>
      </c>
      <c r="J1359">
        <v>1911</v>
      </c>
      <c r="K1359">
        <v>3</v>
      </c>
      <c r="L1359" t="s">
        <v>41</v>
      </c>
      <c r="M1359">
        <v>83</v>
      </c>
      <c r="N1359">
        <v>3</v>
      </c>
      <c r="O1359">
        <v>3</v>
      </c>
      <c r="P1359" t="s">
        <v>53</v>
      </c>
      <c r="Q1359">
        <v>1</v>
      </c>
      <c r="R1359" t="s">
        <v>43</v>
      </c>
      <c r="S1359">
        <v>13348</v>
      </c>
      <c r="T1359">
        <v>14842</v>
      </c>
      <c r="U1359">
        <v>9</v>
      </c>
      <c r="V1359" t="s">
        <v>38</v>
      </c>
      <c r="W1359">
        <v>13</v>
      </c>
      <c r="X1359">
        <v>3</v>
      </c>
      <c r="Y1359">
        <v>2</v>
      </c>
      <c r="Z1359">
        <v>1</v>
      </c>
      <c r="AA1359">
        <v>18</v>
      </c>
      <c r="AB1359" t="str">
        <f>IF(Table2[[#This Row],[TotalWorkingYears]]&lt;=5,"Early (0-5)",IF(Table2[[#This Row],[TotalWorkingYears]]&lt;=15,"Mid (6-15)","Senior (16+)"))</f>
        <v>Senior (16+)</v>
      </c>
      <c r="AC1359">
        <v>3</v>
      </c>
      <c r="AD1359">
        <v>4</v>
      </c>
      <c r="AE1359" t="s">
        <v>65</v>
      </c>
      <c r="AF1359">
        <v>7</v>
      </c>
      <c r="AG1359">
        <v>5</v>
      </c>
      <c r="AH1359">
        <v>7</v>
      </c>
    </row>
    <row r="1360" spans="1:34" x14ac:dyDescent="0.3">
      <c r="A1360" t="s">
        <v>59</v>
      </c>
      <c r="B1360">
        <v>0</v>
      </c>
      <c r="C1360" t="s">
        <v>32</v>
      </c>
      <c r="D1360">
        <v>1079</v>
      </c>
      <c r="E1360" t="s">
        <v>33</v>
      </c>
      <c r="F1360">
        <v>10</v>
      </c>
      <c r="G1360" t="str">
        <f>IF(Table2[[#This Row],[DistanceFromHome]]&lt;=5, "short", IF(Table2[[#This Row],[DistanceFromHome]]&lt;=15, "medium", "long"))</f>
        <v>medium</v>
      </c>
      <c r="H1360">
        <v>2</v>
      </c>
      <c r="I1360" t="s">
        <v>46</v>
      </c>
      <c r="J1360">
        <v>1912</v>
      </c>
      <c r="K1360">
        <v>3</v>
      </c>
      <c r="L1360" t="s">
        <v>35</v>
      </c>
      <c r="M1360">
        <v>86</v>
      </c>
      <c r="N1360">
        <v>3</v>
      </c>
      <c r="O1360">
        <v>2</v>
      </c>
      <c r="P1360" t="s">
        <v>36</v>
      </c>
      <c r="Q1360">
        <v>4</v>
      </c>
      <c r="R1360" t="s">
        <v>47</v>
      </c>
      <c r="S1360">
        <v>6583</v>
      </c>
      <c r="T1360">
        <v>20115</v>
      </c>
      <c r="U1360">
        <v>2</v>
      </c>
      <c r="V1360" t="s">
        <v>31</v>
      </c>
      <c r="W1360">
        <v>11</v>
      </c>
      <c r="X1360">
        <v>3</v>
      </c>
      <c r="Y1360">
        <v>4</v>
      </c>
      <c r="Z1360">
        <v>1</v>
      </c>
      <c r="AA1360">
        <v>8</v>
      </c>
      <c r="AB1360" t="str">
        <f>IF(Table2[[#This Row],[TotalWorkingYears]]&lt;=5,"Early (0-5)",IF(Table2[[#This Row],[TotalWorkingYears]]&lt;=15,"Mid (6-15)","Senior (16+)"))</f>
        <v>Mid (6-15)</v>
      </c>
      <c r="AC1360">
        <v>2</v>
      </c>
      <c r="AD1360">
        <v>3</v>
      </c>
      <c r="AE1360" t="s">
        <v>64</v>
      </c>
      <c r="AF1360">
        <v>2</v>
      </c>
      <c r="AG1360">
        <v>1</v>
      </c>
      <c r="AH1360">
        <v>4</v>
      </c>
    </row>
    <row r="1361" spans="1:34" x14ac:dyDescent="0.3">
      <c r="A1361" t="s">
        <v>59</v>
      </c>
      <c r="B1361">
        <v>0</v>
      </c>
      <c r="C1361" t="s">
        <v>32</v>
      </c>
      <c r="D1361">
        <v>735</v>
      </c>
      <c r="E1361" t="s">
        <v>33</v>
      </c>
      <c r="F1361">
        <v>3</v>
      </c>
      <c r="G1361" t="str">
        <f>IF(Table2[[#This Row],[DistanceFromHome]]&lt;=5, "short", IF(Table2[[#This Row],[DistanceFromHome]]&lt;=15, "medium", "long"))</f>
        <v>short</v>
      </c>
      <c r="H1361">
        <v>1</v>
      </c>
      <c r="I1361" t="s">
        <v>46</v>
      </c>
      <c r="J1361">
        <v>1915</v>
      </c>
      <c r="K1361">
        <v>4</v>
      </c>
      <c r="L1361" t="s">
        <v>35</v>
      </c>
      <c r="M1361">
        <v>75</v>
      </c>
      <c r="N1361">
        <v>2</v>
      </c>
      <c r="O1361">
        <v>2</v>
      </c>
      <c r="P1361" t="s">
        <v>36</v>
      </c>
      <c r="Q1361">
        <v>4</v>
      </c>
      <c r="R1361" t="s">
        <v>43</v>
      </c>
      <c r="S1361">
        <v>8103</v>
      </c>
      <c r="T1361">
        <v>16495</v>
      </c>
      <c r="U1361">
        <v>3</v>
      </c>
      <c r="V1361" t="s">
        <v>31</v>
      </c>
      <c r="W1361">
        <v>12</v>
      </c>
      <c r="X1361">
        <v>3</v>
      </c>
      <c r="Y1361">
        <v>3</v>
      </c>
      <c r="Z1361">
        <v>0</v>
      </c>
      <c r="AA1361">
        <v>9</v>
      </c>
      <c r="AB1361" t="str">
        <f>IF(Table2[[#This Row],[TotalWorkingYears]]&lt;=5,"Early (0-5)",IF(Table2[[#This Row],[TotalWorkingYears]]&lt;=15,"Mid (6-15)","Senior (16+)"))</f>
        <v>Mid (6-15)</v>
      </c>
      <c r="AC1361">
        <v>3</v>
      </c>
      <c r="AD1361">
        <v>2</v>
      </c>
      <c r="AE1361" t="s">
        <v>64</v>
      </c>
      <c r="AF1361">
        <v>2</v>
      </c>
      <c r="AG1361">
        <v>0</v>
      </c>
      <c r="AH1361">
        <v>1</v>
      </c>
    </row>
    <row r="1362" spans="1:34" x14ac:dyDescent="0.3">
      <c r="A1362" t="s">
        <v>59</v>
      </c>
      <c r="B1362">
        <v>0</v>
      </c>
      <c r="C1362" t="s">
        <v>32</v>
      </c>
      <c r="D1362">
        <v>471</v>
      </c>
      <c r="E1362" t="s">
        <v>40</v>
      </c>
      <c r="F1362">
        <v>4</v>
      </c>
      <c r="G1362" t="str">
        <f>IF(Table2[[#This Row],[DistanceFromHome]]&lt;=5, "short", IF(Table2[[#This Row],[DistanceFromHome]]&lt;=15, "medium", "long"))</f>
        <v>short</v>
      </c>
      <c r="H1362">
        <v>3</v>
      </c>
      <c r="I1362" t="s">
        <v>46</v>
      </c>
      <c r="J1362">
        <v>1916</v>
      </c>
      <c r="K1362">
        <v>1</v>
      </c>
      <c r="L1362" t="s">
        <v>35</v>
      </c>
      <c r="M1362">
        <v>62</v>
      </c>
      <c r="N1362">
        <v>4</v>
      </c>
      <c r="O1362">
        <v>1</v>
      </c>
      <c r="P1362" t="s">
        <v>45</v>
      </c>
      <c r="Q1362">
        <v>3</v>
      </c>
      <c r="R1362" t="s">
        <v>47</v>
      </c>
      <c r="S1362">
        <v>3978</v>
      </c>
      <c r="T1362">
        <v>16031</v>
      </c>
      <c r="U1362">
        <v>8</v>
      </c>
      <c r="V1362" t="s">
        <v>38</v>
      </c>
      <c r="W1362">
        <v>12</v>
      </c>
      <c r="X1362">
        <v>3</v>
      </c>
      <c r="Y1362">
        <v>2</v>
      </c>
      <c r="Z1362">
        <v>1</v>
      </c>
      <c r="AA1362">
        <v>4</v>
      </c>
      <c r="AB1362" t="str">
        <f>IF(Table2[[#This Row],[TotalWorkingYears]]&lt;=5,"Early (0-5)",IF(Table2[[#This Row],[TotalWorkingYears]]&lt;=15,"Mid (6-15)","Senior (16+)"))</f>
        <v>Early (0-5)</v>
      </c>
      <c r="AC1362">
        <v>0</v>
      </c>
      <c r="AD1362">
        <v>2</v>
      </c>
      <c r="AE1362" t="s">
        <v>63</v>
      </c>
      <c r="AF1362">
        <v>2</v>
      </c>
      <c r="AG1362">
        <v>2</v>
      </c>
      <c r="AH1362">
        <v>2</v>
      </c>
    </row>
    <row r="1363" spans="1:34" x14ac:dyDescent="0.3">
      <c r="A1363" t="s">
        <v>59</v>
      </c>
      <c r="B1363">
        <v>0</v>
      </c>
      <c r="C1363" t="s">
        <v>39</v>
      </c>
      <c r="D1363">
        <v>1096</v>
      </c>
      <c r="E1363" t="s">
        <v>40</v>
      </c>
      <c r="F1363">
        <v>6</v>
      </c>
      <c r="G1363" t="str">
        <f>IF(Table2[[#This Row],[DistanceFromHome]]&lt;=5, "short", IF(Table2[[#This Row],[DistanceFromHome]]&lt;=15, "medium", "long"))</f>
        <v>medium</v>
      </c>
      <c r="H1363">
        <v>3</v>
      </c>
      <c r="I1363" t="s">
        <v>44</v>
      </c>
      <c r="J1363">
        <v>1918</v>
      </c>
      <c r="K1363">
        <v>3</v>
      </c>
      <c r="L1363" t="s">
        <v>41</v>
      </c>
      <c r="M1363">
        <v>61</v>
      </c>
      <c r="N1363">
        <v>4</v>
      </c>
      <c r="O1363">
        <v>1</v>
      </c>
      <c r="P1363" t="s">
        <v>45</v>
      </c>
      <c r="Q1363">
        <v>4</v>
      </c>
      <c r="R1363" t="s">
        <v>43</v>
      </c>
      <c r="S1363">
        <v>2544</v>
      </c>
      <c r="T1363">
        <v>7102</v>
      </c>
      <c r="U1363">
        <v>0</v>
      </c>
      <c r="V1363" t="s">
        <v>38</v>
      </c>
      <c r="W1363">
        <v>18</v>
      </c>
      <c r="X1363">
        <v>3</v>
      </c>
      <c r="Y1363">
        <v>1</v>
      </c>
      <c r="Z1363">
        <v>1</v>
      </c>
      <c r="AA1363">
        <v>8</v>
      </c>
      <c r="AB1363" t="str">
        <f>IF(Table2[[#This Row],[TotalWorkingYears]]&lt;=5,"Early (0-5)",IF(Table2[[#This Row],[TotalWorkingYears]]&lt;=15,"Mid (6-15)","Senior (16+)"))</f>
        <v>Mid (6-15)</v>
      </c>
      <c r="AC1363">
        <v>3</v>
      </c>
      <c r="AD1363">
        <v>3</v>
      </c>
      <c r="AE1363" t="s">
        <v>62</v>
      </c>
      <c r="AF1363">
        <v>7</v>
      </c>
      <c r="AG1363">
        <v>7</v>
      </c>
      <c r="AH1363">
        <v>7</v>
      </c>
    </row>
    <row r="1364" spans="1:34" x14ac:dyDescent="0.3">
      <c r="A1364" t="s">
        <v>57</v>
      </c>
      <c r="B1364">
        <v>0</v>
      </c>
      <c r="C1364" t="s">
        <v>39</v>
      </c>
      <c r="D1364">
        <v>1297</v>
      </c>
      <c r="E1364" t="s">
        <v>40</v>
      </c>
      <c r="F1364">
        <v>1</v>
      </c>
      <c r="G1364" t="str">
        <f>IF(Table2[[#This Row],[DistanceFromHome]]&lt;=5, "short", IF(Table2[[#This Row],[DistanceFromHome]]&lt;=15, "medium", "long"))</f>
        <v>short</v>
      </c>
      <c r="H1364">
        <v>4</v>
      </c>
      <c r="I1364" t="s">
        <v>46</v>
      </c>
      <c r="J1364">
        <v>1922</v>
      </c>
      <c r="K1364">
        <v>2</v>
      </c>
      <c r="L1364" t="s">
        <v>41</v>
      </c>
      <c r="M1364">
        <v>44</v>
      </c>
      <c r="N1364">
        <v>3</v>
      </c>
      <c r="O1364">
        <v>2</v>
      </c>
      <c r="P1364" t="s">
        <v>49</v>
      </c>
      <c r="Q1364">
        <v>3</v>
      </c>
      <c r="R1364" t="s">
        <v>37</v>
      </c>
      <c r="S1364">
        <v>5399</v>
      </c>
      <c r="T1364">
        <v>14511</v>
      </c>
      <c r="U1364">
        <v>4</v>
      </c>
      <c r="V1364" t="s">
        <v>38</v>
      </c>
      <c r="W1364">
        <v>12</v>
      </c>
      <c r="X1364">
        <v>3</v>
      </c>
      <c r="Y1364">
        <v>3</v>
      </c>
      <c r="Z1364">
        <v>0</v>
      </c>
      <c r="AA1364">
        <v>12</v>
      </c>
      <c r="AB1364" t="str">
        <f>IF(Table2[[#This Row],[TotalWorkingYears]]&lt;=5,"Early (0-5)",IF(Table2[[#This Row],[TotalWorkingYears]]&lt;=15,"Mid (6-15)","Senior (16+)"))</f>
        <v>Mid (6-15)</v>
      </c>
      <c r="AC1364">
        <v>3</v>
      </c>
      <c r="AD1364">
        <v>3</v>
      </c>
      <c r="AE1364" t="s">
        <v>64</v>
      </c>
      <c r="AF1364">
        <v>2</v>
      </c>
      <c r="AG1364">
        <v>0</v>
      </c>
      <c r="AH1364">
        <v>3</v>
      </c>
    </row>
    <row r="1365" spans="1:34" x14ac:dyDescent="0.3">
      <c r="A1365" t="s">
        <v>59</v>
      </c>
      <c r="B1365">
        <v>0</v>
      </c>
      <c r="C1365" t="s">
        <v>32</v>
      </c>
      <c r="D1365">
        <v>217</v>
      </c>
      <c r="E1365" t="s">
        <v>33</v>
      </c>
      <c r="F1365">
        <v>10</v>
      </c>
      <c r="G1365" t="str">
        <f>IF(Table2[[#This Row],[DistanceFromHome]]&lt;=5, "short", IF(Table2[[#This Row],[DistanceFromHome]]&lt;=15, "medium", "long"))</f>
        <v>medium</v>
      </c>
      <c r="H1365">
        <v>4</v>
      </c>
      <c r="I1365" t="s">
        <v>54</v>
      </c>
      <c r="J1365">
        <v>1924</v>
      </c>
      <c r="K1365">
        <v>2</v>
      </c>
      <c r="L1365" t="s">
        <v>41</v>
      </c>
      <c r="M1365">
        <v>43</v>
      </c>
      <c r="N1365">
        <v>3</v>
      </c>
      <c r="O1365">
        <v>2</v>
      </c>
      <c r="P1365" t="s">
        <v>36</v>
      </c>
      <c r="Q1365">
        <v>3</v>
      </c>
      <c r="R1365" t="s">
        <v>37</v>
      </c>
      <c r="S1365">
        <v>5487</v>
      </c>
      <c r="T1365">
        <v>10410</v>
      </c>
      <c r="U1365">
        <v>1</v>
      </c>
      <c r="V1365" t="s">
        <v>38</v>
      </c>
      <c r="W1365">
        <v>14</v>
      </c>
      <c r="X1365">
        <v>3</v>
      </c>
      <c r="Y1365">
        <v>2</v>
      </c>
      <c r="Z1365">
        <v>0</v>
      </c>
      <c r="AA1365">
        <v>10</v>
      </c>
      <c r="AB1365" t="str">
        <f>IF(Table2[[#This Row],[TotalWorkingYears]]&lt;=5,"Early (0-5)",IF(Table2[[#This Row],[TotalWorkingYears]]&lt;=15,"Mid (6-15)","Senior (16+)"))</f>
        <v>Mid (6-15)</v>
      </c>
      <c r="AC1365">
        <v>2</v>
      </c>
      <c r="AD1365">
        <v>2</v>
      </c>
      <c r="AE1365" t="s">
        <v>62</v>
      </c>
      <c r="AF1365">
        <v>4</v>
      </c>
      <c r="AG1365">
        <v>0</v>
      </c>
      <c r="AH1365">
        <v>9</v>
      </c>
    </row>
    <row r="1366" spans="1:34" x14ac:dyDescent="0.3">
      <c r="A1366" t="s">
        <v>59</v>
      </c>
      <c r="B1366">
        <v>0</v>
      </c>
      <c r="C1366" t="s">
        <v>39</v>
      </c>
      <c r="D1366">
        <v>783</v>
      </c>
      <c r="E1366" t="s">
        <v>33</v>
      </c>
      <c r="F1366">
        <v>1</v>
      </c>
      <c r="G1366" t="str">
        <f>IF(Table2[[#This Row],[DistanceFromHome]]&lt;=5, "short", IF(Table2[[#This Row],[DistanceFromHome]]&lt;=15, "medium", "long"))</f>
        <v>short</v>
      </c>
      <c r="H1366">
        <v>2</v>
      </c>
      <c r="I1366" t="s">
        <v>34</v>
      </c>
      <c r="J1366">
        <v>1927</v>
      </c>
      <c r="K1366">
        <v>3</v>
      </c>
      <c r="L1366" t="s">
        <v>41</v>
      </c>
      <c r="M1366">
        <v>42</v>
      </c>
      <c r="N1366">
        <v>2</v>
      </c>
      <c r="O1366">
        <v>2</v>
      </c>
      <c r="P1366" t="s">
        <v>36</v>
      </c>
      <c r="Q1366">
        <v>4</v>
      </c>
      <c r="R1366" t="s">
        <v>43</v>
      </c>
      <c r="S1366">
        <v>6834</v>
      </c>
      <c r="T1366">
        <v>19255</v>
      </c>
      <c r="U1366">
        <v>1</v>
      </c>
      <c r="V1366" t="s">
        <v>31</v>
      </c>
      <c r="W1366">
        <v>12</v>
      </c>
      <c r="X1366">
        <v>3</v>
      </c>
      <c r="Y1366">
        <v>3</v>
      </c>
      <c r="Z1366">
        <v>1</v>
      </c>
      <c r="AA1366">
        <v>7</v>
      </c>
      <c r="AB1366" t="str">
        <f>IF(Table2[[#This Row],[TotalWorkingYears]]&lt;=5,"Early (0-5)",IF(Table2[[#This Row],[TotalWorkingYears]]&lt;=15,"Mid (6-15)","Senior (16+)"))</f>
        <v>Mid (6-15)</v>
      </c>
      <c r="AC1366">
        <v>2</v>
      </c>
      <c r="AD1366">
        <v>3</v>
      </c>
      <c r="AE1366" t="s">
        <v>62</v>
      </c>
      <c r="AF1366">
        <v>7</v>
      </c>
      <c r="AG1366">
        <v>0</v>
      </c>
      <c r="AH1366">
        <v>7</v>
      </c>
    </row>
    <row r="1367" spans="1:34" x14ac:dyDescent="0.3">
      <c r="A1367" t="s">
        <v>59</v>
      </c>
      <c r="B1367">
        <v>1</v>
      </c>
      <c r="C1367" t="s">
        <v>39</v>
      </c>
      <c r="D1367">
        <v>746</v>
      </c>
      <c r="E1367" t="s">
        <v>33</v>
      </c>
      <c r="F1367">
        <v>24</v>
      </c>
      <c r="G1367" t="str">
        <f>IF(Table2[[#This Row],[DistanceFromHome]]&lt;=5, "short", IF(Table2[[#This Row],[DistanceFromHome]]&lt;=15, "medium", "long"))</f>
        <v>long</v>
      </c>
      <c r="H1367">
        <v>3</v>
      </c>
      <c r="I1367" t="s">
        <v>55</v>
      </c>
      <c r="J1367">
        <v>1928</v>
      </c>
      <c r="K1367">
        <v>3</v>
      </c>
      <c r="L1367" t="s">
        <v>41</v>
      </c>
      <c r="M1367">
        <v>45</v>
      </c>
      <c r="N1367">
        <v>4</v>
      </c>
      <c r="O1367">
        <v>1</v>
      </c>
      <c r="P1367" t="s">
        <v>52</v>
      </c>
      <c r="Q1367">
        <v>1</v>
      </c>
      <c r="R1367" t="s">
        <v>37</v>
      </c>
      <c r="S1367">
        <v>1091</v>
      </c>
      <c r="T1367">
        <v>10642</v>
      </c>
      <c r="U1367">
        <v>1</v>
      </c>
      <c r="V1367" t="s">
        <v>38</v>
      </c>
      <c r="W1367">
        <v>17</v>
      </c>
      <c r="X1367">
        <v>3</v>
      </c>
      <c r="Y1367">
        <v>4</v>
      </c>
      <c r="Z1367">
        <v>0</v>
      </c>
      <c r="AA1367">
        <v>1</v>
      </c>
      <c r="AB1367" t="str">
        <f>IF(Table2[[#This Row],[TotalWorkingYears]]&lt;=5,"Early (0-5)",IF(Table2[[#This Row],[TotalWorkingYears]]&lt;=15,"Mid (6-15)","Senior (16+)"))</f>
        <v>Early (0-5)</v>
      </c>
      <c r="AC1367">
        <v>3</v>
      </c>
      <c r="AD1367">
        <v>3</v>
      </c>
      <c r="AE1367" t="s">
        <v>63</v>
      </c>
      <c r="AF1367">
        <v>0</v>
      </c>
      <c r="AG1367">
        <v>0</v>
      </c>
      <c r="AH1367">
        <v>0</v>
      </c>
    </row>
    <row r="1368" spans="1:34" x14ac:dyDescent="0.3">
      <c r="A1368" t="s">
        <v>57</v>
      </c>
      <c r="B1368">
        <v>0</v>
      </c>
      <c r="C1368" t="s">
        <v>50</v>
      </c>
      <c r="D1368">
        <v>1251</v>
      </c>
      <c r="E1368" t="s">
        <v>33</v>
      </c>
      <c r="F1368">
        <v>21</v>
      </c>
      <c r="G1368" t="str">
        <f>IF(Table2[[#This Row],[DistanceFromHome]]&lt;=5, "short", IF(Table2[[#This Row],[DistanceFromHome]]&lt;=15, "medium", "long"))</f>
        <v>long</v>
      </c>
      <c r="H1368">
        <v>4</v>
      </c>
      <c r="I1368" t="s">
        <v>34</v>
      </c>
      <c r="J1368">
        <v>1929</v>
      </c>
      <c r="K1368">
        <v>1</v>
      </c>
      <c r="L1368" t="s">
        <v>35</v>
      </c>
      <c r="M1368">
        <v>32</v>
      </c>
      <c r="N1368">
        <v>1</v>
      </c>
      <c r="O1368">
        <v>2</v>
      </c>
      <c r="P1368" t="s">
        <v>36</v>
      </c>
      <c r="Q1368">
        <v>3</v>
      </c>
      <c r="R1368" t="s">
        <v>43</v>
      </c>
      <c r="S1368">
        <v>5736</v>
      </c>
      <c r="T1368">
        <v>3987</v>
      </c>
      <c r="U1368">
        <v>6</v>
      </c>
      <c r="V1368" t="s">
        <v>38</v>
      </c>
      <c r="W1368">
        <v>19</v>
      </c>
      <c r="X1368">
        <v>3</v>
      </c>
      <c r="Y1368">
        <v>3</v>
      </c>
      <c r="Z1368">
        <v>1</v>
      </c>
      <c r="AA1368">
        <v>10</v>
      </c>
      <c r="AB1368" t="str">
        <f>IF(Table2[[#This Row],[TotalWorkingYears]]&lt;=5,"Early (0-5)",IF(Table2[[#This Row],[TotalWorkingYears]]&lt;=15,"Mid (6-15)","Senior (16+)"))</f>
        <v>Mid (6-15)</v>
      </c>
      <c r="AC1368">
        <v>1</v>
      </c>
      <c r="AD1368">
        <v>3</v>
      </c>
      <c r="AE1368" t="s">
        <v>64</v>
      </c>
      <c r="AF1368">
        <v>2</v>
      </c>
      <c r="AG1368">
        <v>1</v>
      </c>
      <c r="AH1368">
        <v>2</v>
      </c>
    </row>
    <row r="1369" spans="1:34" x14ac:dyDescent="0.3">
      <c r="A1369" t="s">
        <v>59</v>
      </c>
      <c r="B1369">
        <v>0</v>
      </c>
      <c r="C1369" t="s">
        <v>32</v>
      </c>
      <c r="D1369">
        <v>1354</v>
      </c>
      <c r="E1369" t="s">
        <v>40</v>
      </c>
      <c r="F1369">
        <v>2</v>
      </c>
      <c r="G1369" t="str">
        <f>IF(Table2[[#This Row],[DistanceFromHome]]&lt;=5, "short", IF(Table2[[#This Row],[DistanceFromHome]]&lt;=15, "medium", "long"))</f>
        <v>short</v>
      </c>
      <c r="H1369">
        <v>4</v>
      </c>
      <c r="I1369" t="s">
        <v>55</v>
      </c>
      <c r="J1369">
        <v>1931</v>
      </c>
      <c r="K1369">
        <v>2</v>
      </c>
      <c r="L1369" t="s">
        <v>41</v>
      </c>
      <c r="M1369">
        <v>41</v>
      </c>
      <c r="N1369">
        <v>3</v>
      </c>
      <c r="O1369">
        <v>1</v>
      </c>
      <c r="P1369" t="s">
        <v>42</v>
      </c>
      <c r="Q1369">
        <v>2</v>
      </c>
      <c r="R1369" t="s">
        <v>43</v>
      </c>
      <c r="S1369">
        <v>2226</v>
      </c>
      <c r="T1369">
        <v>6073</v>
      </c>
      <c r="U1369">
        <v>1</v>
      </c>
      <c r="V1369" t="s">
        <v>38</v>
      </c>
      <c r="W1369">
        <v>11</v>
      </c>
      <c r="X1369">
        <v>3</v>
      </c>
      <c r="Y1369">
        <v>3</v>
      </c>
      <c r="Z1369">
        <v>1</v>
      </c>
      <c r="AA1369">
        <v>6</v>
      </c>
      <c r="AB1369" t="str">
        <f>IF(Table2[[#This Row],[TotalWorkingYears]]&lt;=5,"Early (0-5)",IF(Table2[[#This Row],[TotalWorkingYears]]&lt;=15,"Mid (6-15)","Senior (16+)"))</f>
        <v>Mid (6-15)</v>
      </c>
      <c r="AC1369">
        <v>3</v>
      </c>
      <c r="AD1369">
        <v>2</v>
      </c>
      <c r="AE1369" t="s">
        <v>64</v>
      </c>
      <c r="AF1369">
        <v>3</v>
      </c>
      <c r="AG1369">
        <v>1</v>
      </c>
      <c r="AH1369">
        <v>2</v>
      </c>
    </row>
    <row r="1370" spans="1:34" x14ac:dyDescent="0.3">
      <c r="A1370" t="s">
        <v>59</v>
      </c>
      <c r="B1370">
        <v>0</v>
      </c>
      <c r="C1370" t="s">
        <v>39</v>
      </c>
      <c r="D1370">
        <v>735</v>
      </c>
      <c r="E1370" t="s">
        <v>40</v>
      </c>
      <c r="F1370">
        <v>22</v>
      </c>
      <c r="G1370" t="str">
        <f>IF(Table2[[#This Row],[DistanceFromHome]]&lt;=5, "short", IF(Table2[[#This Row],[DistanceFromHome]]&lt;=15, "medium", "long"))</f>
        <v>long</v>
      </c>
      <c r="H1370">
        <v>4</v>
      </c>
      <c r="I1370" t="s">
        <v>44</v>
      </c>
      <c r="J1370">
        <v>1932</v>
      </c>
      <c r="K1370">
        <v>3</v>
      </c>
      <c r="L1370" t="s">
        <v>41</v>
      </c>
      <c r="M1370">
        <v>86</v>
      </c>
      <c r="N1370">
        <v>2</v>
      </c>
      <c r="O1370">
        <v>2</v>
      </c>
      <c r="P1370" t="s">
        <v>42</v>
      </c>
      <c r="Q1370">
        <v>4</v>
      </c>
      <c r="R1370" t="s">
        <v>43</v>
      </c>
      <c r="S1370">
        <v>5747</v>
      </c>
      <c r="T1370">
        <v>26496</v>
      </c>
      <c r="U1370">
        <v>1</v>
      </c>
      <c r="V1370" t="s">
        <v>31</v>
      </c>
      <c r="W1370">
        <v>15</v>
      </c>
      <c r="X1370">
        <v>3</v>
      </c>
      <c r="Y1370">
        <v>2</v>
      </c>
      <c r="Z1370">
        <v>0</v>
      </c>
      <c r="AA1370">
        <v>16</v>
      </c>
      <c r="AB1370" t="str">
        <f>IF(Table2[[#This Row],[TotalWorkingYears]]&lt;=5,"Early (0-5)",IF(Table2[[#This Row],[TotalWorkingYears]]&lt;=15,"Mid (6-15)","Senior (16+)"))</f>
        <v>Senior (16+)</v>
      </c>
      <c r="AC1370">
        <v>3</v>
      </c>
      <c r="AD1370">
        <v>3</v>
      </c>
      <c r="AE1370" t="s">
        <v>65</v>
      </c>
      <c r="AF1370">
        <v>10</v>
      </c>
      <c r="AG1370">
        <v>6</v>
      </c>
      <c r="AH1370">
        <v>11</v>
      </c>
    </row>
    <row r="1371" spans="1:34" x14ac:dyDescent="0.3">
      <c r="A1371" t="s">
        <v>59</v>
      </c>
      <c r="B1371">
        <v>1</v>
      </c>
      <c r="C1371" t="s">
        <v>32</v>
      </c>
      <c r="D1371">
        <v>1475</v>
      </c>
      <c r="E1371" t="s">
        <v>33</v>
      </c>
      <c r="F1371">
        <v>13</v>
      </c>
      <c r="G1371" t="str">
        <f>IF(Table2[[#This Row],[DistanceFromHome]]&lt;=5, "short", IF(Table2[[#This Row],[DistanceFromHome]]&lt;=15, "medium", "long"))</f>
        <v>medium</v>
      </c>
      <c r="H1371">
        <v>2</v>
      </c>
      <c r="I1371" t="s">
        <v>54</v>
      </c>
      <c r="J1371">
        <v>1933</v>
      </c>
      <c r="K1371">
        <v>4</v>
      </c>
      <c r="L1371" t="s">
        <v>35</v>
      </c>
      <c r="M1371">
        <v>84</v>
      </c>
      <c r="N1371">
        <v>3</v>
      </c>
      <c r="O1371">
        <v>2</v>
      </c>
      <c r="P1371" t="s">
        <v>36</v>
      </c>
      <c r="Q1371">
        <v>3</v>
      </c>
      <c r="R1371" t="s">
        <v>37</v>
      </c>
      <c r="S1371">
        <v>9854</v>
      </c>
      <c r="T1371">
        <v>23352</v>
      </c>
      <c r="U1371">
        <v>3</v>
      </c>
      <c r="V1371" t="s">
        <v>31</v>
      </c>
      <c r="W1371">
        <v>11</v>
      </c>
      <c r="X1371">
        <v>3</v>
      </c>
      <c r="Y1371">
        <v>4</v>
      </c>
      <c r="Z1371">
        <v>0</v>
      </c>
      <c r="AA1371">
        <v>6</v>
      </c>
      <c r="AB1371" t="str">
        <f>IF(Table2[[#This Row],[TotalWorkingYears]]&lt;=5,"Early (0-5)",IF(Table2[[#This Row],[TotalWorkingYears]]&lt;=15,"Mid (6-15)","Senior (16+)"))</f>
        <v>Mid (6-15)</v>
      </c>
      <c r="AC1371">
        <v>0</v>
      </c>
      <c r="AD1371">
        <v>3</v>
      </c>
      <c r="AE1371" t="s">
        <v>63</v>
      </c>
      <c r="AF1371">
        <v>0</v>
      </c>
      <c r="AG1371">
        <v>2</v>
      </c>
      <c r="AH1371">
        <v>2</v>
      </c>
    </row>
    <row r="1372" spans="1:34" x14ac:dyDescent="0.3">
      <c r="A1372" t="s">
        <v>58</v>
      </c>
      <c r="B1372">
        <v>0</v>
      </c>
      <c r="C1372" t="s">
        <v>50</v>
      </c>
      <c r="D1372">
        <v>1169</v>
      </c>
      <c r="E1372" t="s">
        <v>40</v>
      </c>
      <c r="F1372">
        <v>14</v>
      </c>
      <c r="G1372" t="str">
        <f>IF(Table2[[#This Row],[DistanceFromHome]]&lt;=5, "short", IF(Table2[[#This Row],[DistanceFromHome]]&lt;=15, "medium", "long"))</f>
        <v>medium</v>
      </c>
      <c r="H1372">
        <v>4</v>
      </c>
      <c r="I1372" t="s">
        <v>55</v>
      </c>
      <c r="J1372">
        <v>1934</v>
      </c>
      <c r="K1372">
        <v>3</v>
      </c>
      <c r="L1372" t="s">
        <v>41</v>
      </c>
      <c r="M1372">
        <v>64</v>
      </c>
      <c r="N1372">
        <v>3</v>
      </c>
      <c r="O1372">
        <v>2</v>
      </c>
      <c r="P1372" t="s">
        <v>42</v>
      </c>
      <c r="Q1372">
        <v>2</v>
      </c>
      <c r="R1372" t="s">
        <v>43</v>
      </c>
      <c r="S1372">
        <v>5467</v>
      </c>
      <c r="T1372">
        <v>2125</v>
      </c>
      <c r="U1372">
        <v>8</v>
      </c>
      <c r="V1372" t="s">
        <v>38</v>
      </c>
      <c r="W1372">
        <v>18</v>
      </c>
      <c r="X1372">
        <v>3</v>
      </c>
      <c r="Y1372">
        <v>3</v>
      </c>
      <c r="Z1372">
        <v>1</v>
      </c>
      <c r="AA1372">
        <v>16</v>
      </c>
      <c r="AB1372" t="str">
        <f>IF(Table2[[#This Row],[TotalWorkingYears]]&lt;=5,"Early (0-5)",IF(Table2[[#This Row],[TotalWorkingYears]]&lt;=15,"Mid (6-15)","Senior (16+)"))</f>
        <v>Senior (16+)</v>
      </c>
      <c r="AC1372">
        <v>4</v>
      </c>
      <c r="AD1372">
        <v>4</v>
      </c>
      <c r="AE1372" t="s">
        <v>62</v>
      </c>
      <c r="AF1372">
        <v>7</v>
      </c>
      <c r="AG1372">
        <v>1</v>
      </c>
      <c r="AH1372">
        <v>7</v>
      </c>
    </row>
    <row r="1373" spans="1:34" x14ac:dyDescent="0.3">
      <c r="A1373" t="s">
        <v>58</v>
      </c>
      <c r="B1373">
        <v>0</v>
      </c>
      <c r="C1373" t="s">
        <v>32</v>
      </c>
      <c r="D1373">
        <v>1443</v>
      </c>
      <c r="E1373" t="s">
        <v>33</v>
      </c>
      <c r="F1373">
        <v>11</v>
      </c>
      <c r="G1373" t="str">
        <f>IF(Table2[[#This Row],[DistanceFromHome]]&lt;=5, "short", IF(Table2[[#This Row],[DistanceFromHome]]&lt;=15, "medium", "long"))</f>
        <v>medium</v>
      </c>
      <c r="H1373">
        <v>5</v>
      </c>
      <c r="I1373" t="s">
        <v>54</v>
      </c>
      <c r="J1373">
        <v>1935</v>
      </c>
      <c r="K1373">
        <v>4</v>
      </c>
      <c r="L1373" t="s">
        <v>35</v>
      </c>
      <c r="M1373">
        <v>89</v>
      </c>
      <c r="N1373">
        <v>2</v>
      </c>
      <c r="O1373">
        <v>2</v>
      </c>
      <c r="P1373" t="s">
        <v>36</v>
      </c>
      <c r="Q1373">
        <v>1</v>
      </c>
      <c r="R1373" t="s">
        <v>43</v>
      </c>
      <c r="S1373">
        <v>5380</v>
      </c>
      <c r="T1373">
        <v>20328</v>
      </c>
      <c r="U1373">
        <v>4</v>
      </c>
      <c r="V1373" t="s">
        <v>38</v>
      </c>
      <c r="W1373">
        <v>16</v>
      </c>
      <c r="X1373">
        <v>3</v>
      </c>
      <c r="Y1373">
        <v>3</v>
      </c>
      <c r="Z1373">
        <v>1</v>
      </c>
      <c r="AA1373">
        <v>6</v>
      </c>
      <c r="AB1373" t="str">
        <f>IF(Table2[[#This Row],[TotalWorkingYears]]&lt;=5,"Early (0-5)",IF(Table2[[#This Row],[TotalWorkingYears]]&lt;=15,"Mid (6-15)","Senior (16+)"))</f>
        <v>Mid (6-15)</v>
      </c>
      <c r="AC1373">
        <v>3</v>
      </c>
      <c r="AD1373">
        <v>3</v>
      </c>
      <c r="AE1373" t="s">
        <v>63</v>
      </c>
      <c r="AF1373">
        <v>0</v>
      </c>
      <c r="AG1373">
        <v>0</v>
      </c>
      <c r="AH1373">
        <v>0</v>
      </c>
    </row>
    <row r="1374" spans="1:34" x14ac:dyDescent="0.3">
      <c r="A1374" t="s">
        <v>57</v>
      </c>
      <c r="B1374">
        <v>0</v>
      </c>
      <c r="C1374" t="s">
        <v>32</v>
      </c>
      <c r="D1374">
        <v>867</v>
      </c>
      <c r="E1374" t="s">
        <v>40</v>
      </c>
      <c r="F1374">
        <v>9</v>
      </c>
      <c r="G1374" t="str">
        <f>IF(Table2[[#This Row],[DistanceFromHome]]&lt;=5, "short", IF(Table2[[#This Row],[DistanceFromHome]]&lt;=15, "medium", "long"))</f>
        <v>medium</v>
      </c>
      <c r="H1374">
        <v>2</v>
      </c>
      <c r="I1374" t="s">
        <v>46</v>
      </c>
      <c r="J1374">
        <v>1936</v>
      </c>
      <c r="K1374">
        <v>1</v>
      </c>
      <c r="L1374" t="s">
        <v>41</v>
      </c>
      <c r="M1374">
        <v>87</v>
      </c>
      <c r="N1374">
        <v>3</v>
      </c>
      <c r="O1374">
        <v>2</v>
      </c>
      <c r="P1374" t="s">
        <v>48</v>
      </c>
      <c r="Q1374">
        <v>1</v>
      </c>
      <c r="R1374" t="s">
        <v>43</v>
      </c>
      <c r="S1374">
        <v>5151</v>
      </c>
      <c r="T1374">
        <v>12315</v>
      </c>
      <c r="U1374">
        <v>1</v>
      </c>
      <c r="V1374" t="s">
        <v>38</v>
      </c>
      <c r="W1374">
        <v>25</v>
      </c>
      <c r="X1374">
        <v>4</v>
      </c>
      <c r="Y1374">
        <v>4</v>
      </c>
      <c r="Z1374">
        <v>1</v>
      </c>
      <c r="AA1374">
        <v>10</v>
      </c>
      <c r="AB1374" t="str">
        <f>IF(Table2[[#This Row],[TotalWorkingYears]]&lt;=5,"Early (0-5)",IF(Table2[[#This Row],[TotalWorkingYears]]&lt;=15,"Mid (6-15)","Senior (16+)"))</f>
        <v>Mid (6-15)</v>
      </c>
      <c r="AC1374">
        <v>3</v>
      </c>
      <c r="AD1374">
        <v>3</v>
      </c>
      <c r="AE1374" t="s">
        <v>62</v>
      </c>
      <c r="AF1374">
        <v>0</v>
      </c>
      <c r="AG1374">
        <v>7</v>
      </c>
      <c r="AH1374">
        <v>9</v>
      </c>
    </row>
    <row r="1375" spans="1:34" x14ac:dyDescent="0.3">
      <c r="A1375" t="s">
        <v>57</v>
      </c>
      <c r="B1375">
        <v>0</v>
      </c>
      <c r="C1375" t="s">
        <v>39</v>
      </c>
      <c r="D1375">
        <v>1394</v>
      </c>
      <c r="E1375" t="s">
        <v>40</v>
      </c>
      <c r="F1375">
        <v>8</v>
      </c>
      <c r="G1375" t="str">
        <f>IF(Table2[[#This Row],[DistanceFromHome]]&lt;=5, "short", IF(Table2[[#This Row],[DistanceFromHome]]&lt;=15, "medium", "long"))</f>
        <v>medium</v>
      </c>
      <c r="H1375">
        <v>3</v>
      </c>
      <c r="I1375" t="s">
        <v>46</v>
      </c>
      <c r="J1375">
        <v>1937</v>
      </c>
      <c r="K1375">
        <v>4</v>
      </c>
      <c r="L1375" t="s">
        <v>35</v>
      </c>
      <c r="M1375">
        <v>58</v>
      </c>
      <c r="N1375">
        <v>2</v>
      </c>
      <c r="O1375">
        <v>2</v>
      </c>
      <c r="P1375" t="s">
        <v>42</v>
      </c>
      <c r="Q1375">
        <v>2</v>
      </c>
      <c r="R1375" t="s">
        <v>47</v>
      </c>
      <c r="S1375">
        <v>2133</v>
      </c>
      <c r="T1375">
        <v>18115</v>
      </c>
      <c r="U1375">
        <v>1</v>
      </c>
      <c r="V1375" t="s">
        <v>31</v>
      </c>
      <c r="W1375">
        <v>16</v>
      </c>
      <c r="X1375">
        <v>3</v>
      </c>
      <c r="Y1375">
        <v>3</v>
      </c>
      <c r="Z1375">
        <v>1</v>
      </c>
      <c r="AA1375">
        <v>20</v>
      </c>
      <c r="AB1375" t="str">
        <f>IF(Table2[[#This Row],[TotalWorkingYears]]&lt;=5,"Early (0-5)",IF(Table2[[#This Row],[TotalWorkingYears]]&lt;=15,"Mid (6-15)","Senior (16+)"))</f>
        <v>Senior (16+)</v>
      </c>
      <c r="AC1375">
        <v>3</v>
      </c>
      <c r="AD1375">
        <v>3</v>
      </c>
      <c r="AE1375" t="s">
        <v>65</v>
      </c>
      <c r="AF1375">
        <v>11</v>
      </c>
      <c r="AG1375">
        <v>0</v>
      </c>
      <c r="AH1375">
        <v>7</v>
      </c>
    </row>
    <row r="1376" spans="1:34" x14ac:dyDescent="0.3">
      <c r="A1376" t="s">
        <v>58</v>
      </c>
      <c r="B1376">
        <v>0</v>
      </c>
      <c r="C1376" t="s">
        <v>32</v>
      </c>
      <c r="D1376">
        <v>605</v>
      </c>
      <c r="E1376" t="s">
        <v>33</v>
      </c>
      <c r="F1376">
        <v>21</v>
      </c>
      <c r="G1376" t="str">
        <f>IF(Table2[[#This Row],[DistanceFromHome]]&lt;=5, "short", IF(Table2[[#This Row],[DistanceFromHome]]&lt;=15, "medium", "long"))</f>
        <v>long</v>
      </c>
      <c r="H1376">
        <v>3</v>
      </c>
      <c r="I1376" t="s">
        <v>34</v>
      </c>
      <c r="J1376">
        <v>1938</v>
      </c>
      <c r="K1376">
        <v>4</v>
      </c>
      <c r="L1376" t="s">
        <v>35</v>
      </c>
      <c r="M1376">
        <v>72</v>
      </c>
      <c r="N1376">
        <v>3</v>
      </c>
      <c r="O1376">
        <v>4</v>
      </c>
      <c r="P1376" t="s">
        <v>51</v>
      </c>
      <c r="Q1376">
        <v>4</v>
      </c>
      <c r="R1376" t="s">
        <v>43</v>
      </c>
      <c r="S1376">
        <v>17875</v>
      </c>
      <c r="T1376">
        <v>11761</v>
      </c>
      <c r="U1376">
        <v>4</v>
      </c>
      <c r="V1376" t="s">
        <v>31</v>
      </c>
      <c r="W1376">
        <v>13</v>
      </c>
      <c r="X1376">
        <v>3</v>
      </c>
      <c r="Y1376">
        <v>3</v>
      </c>
      <c r="Z1376">
        <v>1</v>
      </c>
      <c r="AA1376">
        <v>29</v>
      </c>
      <c r="AB1376" t="str">
        <f>IF(Table2[[#This Row],[TotalWorkingYears]]&lt;=5,"Early (0-5)",IF(Table2[[#This Row],[TotalWorkingYears]]&lt;=15,"Mid (6-15)","Senior (16+)"))</f>
        <v>Senior (16+)</v>
      </c>
      <c r="AC1376">
        <v>2</v>
      </c>
      <c r="AD1376">
        <v>2</v>
      </c>
      <c r="AE1376" t="s">
        <v>63</v>
      </c>
      <c r="AF1376">
        <v>0</v>
      </c>
      <c r="AG1376">
        <v>0</v>
      </c>
      <c r="AH1376">
        <v>0</v>
      </c>
    </row>
    <row r="1377" spans="1:34" x14ac:dyDescent="0.3">
      <c r="A1377" t="s">
        <v>59</v>
      </c>
      <c r="B1377">
        <v>1</v>
      </c>
      <c r="C1377" t="s">
        <v>39</v>
      </c>
      <c r="D1377">
        <v>238</v>
      </c>
      <c r="E1377" t="s">
        <v>40</v>
      </c>
      <c r="F1377">
        <v>5</v>
      </c>
      <c r="G1377" t="str">
        <f>IF(Table2[[#This Row],[DistanceFromHome]]&lt;=5, "short", IF(Table2[[#This Row],[DistanceFromHome]]&lt;=15, "medium", "long"))</f>
        <v>short</v>
      </c>
      <c r="H1377">
        <v>2</v>
      </c>
      <c r="I1377" t="s">
        <v>34</v>
      </c>
      <c r="J1377">
        <v>1939</v>
      </c>
      <c r="K1377">
        <v>1</v>
      </c>
      <c r="L1377" t="s">
        <v>35</v>
      </c>
      <c r="M1377">
        <v>47</v>
      </c>
      <c r="N1377">
        <v>4</v>
      </c>
      <c r="O1377">
        <v>1</v>
      </c>
      <c r="P1377" t="s">
        <v>42</v>
      </c>
      <c r="Q1377">
        <v>3</v>
      </c>
      <c r="R1377" t="s">
        <v>37</v>
      </c>
      <c r="S1377">
        <v>2432</v>
      </c>
      <c r="T1377">
        <v>15318</v>
      </c>
      <c r="U1377">
        <v>3</v>
      </c>
      <c r="V1377" t="s">
        <v>31</v>
      </c>
      <c r="W1377">
        <v>14</v>
      </c>
      <c r="X1377">
        <v>3</v>
      </c>
      <c r="Y1377">
        <v>1</v>
      </c>
      <c r="Z1377">
        <v>0</v>
      </c>
      <c r="AA1377">
        <v>8</v>
      </c>
      <c r="AB1377" t="str">
        <f>IF(Table2[[#This Row],[TotalWorkingYears]]&lt;=5,"Early (0-5)",IF(Table2[[#This Row],[TotalWorkingYears]]&lt;=15,"Mid (6-15)","Senior (16+)"))</f>
        <v>Mid (6-15)</v>
      </c>
      <c r="AC1377">
        <v>2</v>
      </c>
      <c r="AD1377">
        <v>3</v>
      </c>
      <c r="AE1377" t="s">
        <v>64</v>
      </c>
      <c r="AF1377">
        <v>1</v>
      </c>
      <c r="AG1377">
        <v>0</v>
      </c>
      <c r="AH1377">
        <v>3</v>
      </c>
    </row>
    <row r="1378" spans="1:34" x14ac:dyDescent="0.3">
      <c r="A1378" t="s">
        <v>57</v>
      </c>
      <c r="B1378">
        <v>0</v>
      </c>
      <c r="C1378" t="s">
        <v>32</v>
      </c>
      <c r="D1378">
        <v>1206</v>
      </c>
      <c r="E1378" t="s">
        <v>40</v>
      </c>
      <c r="F1378">
        <v>9</v>
      </c>
      <c r="G1378" t="str">
        <f>IF(Table2[[#This Row],[DistanceFromHome]]&lt;=5, "short", IF(Table2[[#This Row],[DistanceFromHome]]&lt;=15, "medium", "long"))</f>
        <v>medium</v>
      </c>
      <c r="H1378">
        <v>2</v>
      </c>
      <c r="I1378" t="s">
        <v>34</v>
      </c>
      <c r="J1378">
        <v>1940</v>
      </c>
      <c r="K1378">
        <v>2</v>
      </c>
      <c r="L1378" t="s">
        <v>41</v>
      </c>
      <c r="M1378">
        <v>71</v>
      </c>
      <c r="N1378">
        <v>3</v>
      </c>
      <c r="O1378">
        <v>1</v>
      </c>
      <c r="P1378" t="s">
        <v>42</v>
      </c>
      <c r="Q1378">
        <v>4</v>
      </c>
      <c r="R1378" t="s">
        <v>47</v>
      </c>
      <c r="S1378">
        <v>4771</v>
      </c>
      <c r="T1378">
        <v>14293</v>
      </c>
      <c r="U1378">
        <v>2</v>
      </c>
      <c r="V1378" t="s">
        <v>38</v>
      </c>
      <c r="W1378">
        <v>19</v>
      </c>
      <c r="X1378">
        <v>3</v>
      </c>
      <c r="Y1378">
        <v>4</v>
      </c>
      <c r="Z1378">
        <v>2</v>
      </c>
      <c r="AA1378">
        <v>10</v>
      </c>
      <c r="AB1378" t="str">
        <f>IF(Table2[[#This Row],[TotalWorkingYears]]&lt;=5,"Early (0-5)",IF(Table2[[#This Row],[TotalWorkingYears]]&lt;=15,"Mid (6-15)","Senior (16+)"))</f>
        <v>Mid (6-15)</v>
      </c>
      <c r="AC1378">
        <v>0</v>
      </c>
      <c r="AD1378">
        <v>4</v>
      </c>
      <c r="AE1378" t="s">
        <v>64</v>
      </c>
      <c r="AF1378">
        <v>2</v>
      </c>
      <c r="AG1378">
        <v>0</v>
      </c>
      <c r="AH1378">
        <v>3</v>
      </c>
    </row>
    <row r="1379" spans="1:34" x14ac:dyDescent="0.3">
      <c r="A1379" t="s">
        <v>58</v>
      </c>
      <c r="B1379">
        <v>0</v>
      </c>
      <c r="C1379" t="s">
        <v>39</v>
      </c>
      <c r="D1379">
        <v>1064</v>
      </c>
      <c r="E1379" t="s">
        <v>40</v>
      </c>
      <c r="F1379">
        <v>2</v>
      </c>
      <c r="G1379" t="str">
        <f>IF(Table2[[#This Row],[DistanceFromHome]]&lt;=5, "short", IF(Table2[[#This Row],[DistanceFromHome]]&lt;=15, "medium", "long"))</f>
        <v>short</v>
      </c>
      <c r="H1379">
        <v>1</v>
      </c>
      <c r="I1379" t="s">
        <v>34</v>
      </c>
      <c r="J1379">
        <v>1941</v>
      </c>
      <c r="K1379">
        <v>2</v>
      </c>
      <c r="L1379" t="s">
        <v>41</v>
      </c>
      <c r="M1379">
        <v>42</v>
      </c>
      <c r="N1379">
        <v>3</v>
      </c>
      <c r="O1379">
        <v>5</v>
      </c>
      <c r="P1379" t="s">
        <v>53</v>
      </c>
      <c r="Q1379">
        <v>4</v>
      </c>
      <c r="R1379" t="s">
        <v>43</v>
      </c>
      <c r="S1379">
        <v>19161</v>
      </c>
      <c r="T1379">
        <v>13738</v>
      </c>
      <c r="U1379">
        <v>3</v>
      </c>
      <c r="V1379" t="s">
        <v>38</v>
      </c>
      <c r="W1379">
        <v>15</v>
      </c>
      <c r="X1379">
        <v>3</v>
      </c>
      <c r="Y1379">
        <v>4</v>
      </c>
      <c r="Z1379">
        <v>0</v>
      </c>
      <c r="AA1379">
        <v>28</v>
      </c>
      <c r="AB1379" t="str">
        <f>IF(Table2[[#This Row],[TotalWorkingYears]]&lt;=5,"Early (0-5)",IF(Table2[[#This Row],[TotalWorkingYears]]&lt;=15,"Mid (6-15)","Senior (16+)"))</f>
        <v>Senior (16+)</v>
      </c>
      <c r="AC1379">
        <v>3</v>
      </c>
      <c r="AD1379">
        <v>3</v>
      </c>
      <c r="AE1379" t="s">
        <v>64</v>
      </c>
      <c r="AF1379">
        <v>4</v>
      </c>
      <c r="AG1379">
        <v>4</v>
      </c>
      <c r="AH1379">
        <v>3</v>
      </c>
    </row>
    <row r="1380" spans="1:34" x14ac:dyDescent="0.3">
      <c r="A1380" t="s">
        <v>57</v>
      </c>
      <c r="B1380">
        <v>0</v>
      </c>
      <c r="C1380" t="s">
        <v>32</v>
      </c>
      <c r="D1380">
        <v>419</v>
      </c>
      <c r="E1380" t="s">
        <v>33</v>
      </c>
      <c r="F1380">
        <v>12</v>
      </c>
      <c r="G1380" t="str">
        <f>IF(Table2[[#This Row],[DistanceFromHome]]&lt;=5, "short", IF(Table2[[#This Row],[DistanceFromHome]]&lt;=15, "medium", "long"))</f>
        <v>medium</v>
      </c>
      <c r="H1380">
        <v>4</v>
      </c>
      <c r="I1380" t="s">
        <v>54</v>
      </c>
      <c r="J1380">
        <v>1943</v>
      </c>
      <c r="K1380">
        <v>2</v>
      </c>
      <c r="L1380" t="s">
        <v>41</v>
      </c>
      <c r="M1380">
        <v>77</v>
      </c>
      <c r="N1380">
        <v>3</v>
      </c>
      <c r="O1380">
        <v>2</v>
      </c>
      <c r="P1380" t="s">
        <v>36</v>
      </c>
      <c r="Q1380">
        <v>4</v>
      </c>
      <c r="R1380" t="s">
        <v>47</v>
      </c>
      <c r="S1380">
        <v>5087</v>
      </c>
      <c r="T1380">
        <v>2900</v>
      </c>
      <c r="U1380">
        <v>3</v>
      </c>
      <c r="V1380" t="s">
        <v>31</v>
      </c>
      <c r="W1380">
        <v>12</v>
      </c>
      <c r="X1380">
        <v>3</v>
      </c>
      <c r="Y1380">
        <v>3</v>
      </c>
      <c r="Z1380">
        <v>2</v>
      </c>
      <c r="AA1380">
        <v>14</v>
      </c>
      <c r="AB1380" t="str">
        <f>IF(Table2[[#This Row],[TotalWorkingYears]]&lt;=5,"Early (0-5)",IF(Table2[[#This Row],[TotalWorkingYears]]&lt;=15,"Mid (6-15)","Senior (16+)"))</f>
        <v>Mid (6-15)</v>
      </c>
      <c r="AC1380">
        <v>4</v>
      </c>
      <c r="AD1380">
        <v>3</v>
      </c>
      <c r="AE1380" t="s">
        <v>63</v>
      </c>
      <c r="AF1380">
        <v>0</v>
      </c>
      <c r="AG1380">
        <v>0</v>
      </c>
      <c r="AH1380">
        <v>0</v>
      </c>
    </row>
    <row r="1381" spans="1:34" x14ac:dyDescent="0.3">
      <c r="A1381" t="s">
        <v>59</v>
      </c>
      <c r="B1381">
        <v>1</v>
      </c>
      <c r="C1381" t="s">
        <v>39</v>
      </c>
      <c r="D1381">
        <v>1337</v>
      </c>
      <c r="E1381" t="s">
        <v>56</v>
      </c>
      <c r="F1381">
        <v>22</v>
      </c>
      <c r="G1381" t="str">
        <f>IF(Table2[[#This Row],[DistanceFromHome]]&lt;=5, "short", IF(Table2[[#This Row],[DistanceFromHome]]&lt;=15, "medium", "long"))</f>
        <v>long</v>
      </c>
      <c r="H1381">
        <v>3</v>
      </c>
      <c r="I1381" t="s">
        <v>56</v>
      </c>
      <c r="J1381">
        <v>1944</v>
      </c>
      <c r="K1381">
        <v>1</v>
      </c>
      <c r="L1381" t="s">
        <v>35</v>
      </c>
      <c r="M1381">
        <v>58</v>
      </c>
      <c r="N1381">
        <v>2</v>
      </c>
      <c r="O1381">
        <v>1</v>
      </c>
      <c r="P1381" t="s">
        <v>56</v>
      </c>
      <c r="Q1381">
        <v>2</v>
      </c>
      <c r="R1381" t="s">
        <v>43</v>
      </c>
      <c r="S1381">
        <v>2863</v>
      </c>
      <c r="T1381">
        <v>19555</v>
      </c>
      <c r="U1381">
        <v>1</v>
      </c>
      <c r="V1381" t="s">
        <v>38</v>
      </c>
      <c r="W1381">
        <v>12</v>
      </c>
      <c r="X1381">
        <v>3</v>
      </c>
      <c r="Y1381">
        <v>1</v>
      </c>
      <c r="Z1381">
        <v>0</v>
      </c>
      <c r="AA1381">
        <v>1</v>
      </c>
      <c r="AB1381" t="str">
        <f>IF(Table2[[#This Row],[TotalWorkingYears]]&lt;=5,"Early (0-5)",IF(Table2[[#This Row],[TotalWorkingYears]]&lt;=15,"Mid (6-15)","Senior (16+)"))</f>
        <v>Early (0-5)</v>
      </c>
      <c r="AC1381">
        <v>2</v>
      </c>
      <c r="AD1381">
        <v>3</v>
      </c>
      <c r="AE1381" t="s">
        <v>63</v>
      </c>
      <c r="AF1381">
        <v>0</v>
      </c>
      <c r="AG1381">
        <v>0</v>
      </c>
      <c r="AH1381">
        <v>0</v>
      </c>
    </row>
    <row r="1382" spans="1:34" x14ac:dyDescent="0.3">
      <c r="A1382" t="s">
        <v>59</v>
      </c>
      <c r="B1382">
        <v>0</v>
      </c>
      <c r="C1382" t="s">
        <v>32</v>
      </c>
      <c r="D1382">
        <v>682</v>
      </c>
      <c r="E1382" t="s">
        <v>33</v>
      </c>
      <c r="F1382">
        <v>18</v>
      </c>
      <c r="G1382" t="str">
        <f>IF(Table2[[#This Row],[DistanceFromHome]]&lt;=5, "short", IF(Table2[[#This Row],[DistanceFromHome]]&lt;=15, "medium", "long"))</f>
        <v>long</v>
      </c>
      <c r="H1382">
        <v>4</v>
      </c>
      <c r="I1382" t="s">
        <v>46</v>
      </c>
      <c r="J1382">
        <v>1945</v>
      </c>
      <c r="K1382">
        <v>2</v>
      </c>
      <c r="L1382" t="s">
        <v>41</v>
      </c>
      <c r="M1382">
        <v>71</v>
      </c>
      <c r="N1382">
        <v>3</v>
      </c>
      <c r="O1382">
        <v>2</v>
      </c>
      <c r="P1382" t="s">
        <v>36</v>
      </c>
      <c r="Q1382">
        <v>1</v>
      </c>
      <c r="R1382" t="s">
        <v>43</v>
      </c>
      <c r="S1382">
        <v>5561</v>
      </c>
      <c r="T1382">
        <v>15975</v>
      </c>
      <c r="U1382">
        <v>0</v>
      </c>
      <c r="V1382" t="s">
        <v>38</v>
      </c>
      <c r="W1382">
        <v>16</v>
      </c>
      <c r="X1382">
        <v>3</v>
      </c>
      <c r="Y1382">
        <v>4</v>
      </c>
      <c r="Z1382">
        <v>1</v>
      </c>
      <c r="AA1382">
        <v>6</v>
      </c>
      <c r="AB1382" t="str">
        <f>IF(Table2[[#This Row],[TotalWorkingYears]]&lt;=5,"Early (0-5)",IF(Table2[[#This Row],[TotalWorkingYears]]&lt;=15,"Mid (6-15)","Senior (16+)"))</f>
        <v>Mid (6-15)</v>
      </c>
      <c r="AC1382">
        <v>2</v>
      </c>
      <c r="AD1382">
        <v>1</v>
      </c>
      <c r="AE1382" t="s">
        <v>64</v>
      </c>
      <c r="AF1382">
        <v>3</v>
      </c>
      <c r="AG1382">
        <v>0</v>
      </c>
      <c r="AH1382">
        <v>4</v>
      </c>
    </row>
    <row r="1383" spans="1:34" x14ac:dyDescent="0.3">
      <c r="A1383" t="s">
        <v>59</v>
      </c>
      <c r="B1383">
        <v>0</v>
      </c>
      <c r="C1383" t="s">
        <v>50</v>
      </c>
      <c r="D1383">
        <v>1103</v>
      </c>
      <c r="E1383" t="s">
        <v>40</v>
      </c>
      <c r="F1383">
        <v>16</v>
      </c>
      <c r="G1383" t="str">
        <f>IF(Table2[[#This Row],[DistanceFromHome]]&lt;=5, "short", IF(Table2[[#This Row],[DistanceFromHome]]&lt;=15, "medium", "long"))</f>
        <v>long</v>
      </c>
      <c r="H1383">
        <v>3</v>
      </c>
      <c r="I1383" t="s">
        <v>46</v>
      </c>
      <c r="J1383">
        <v>1947</v>
      </c>
      <c r="K1383">
        <v>3</v>
      </c>
      <c r="L1383" t="s">
        <v>41</v>
      </c>
      <c r="M1383">
        <v>49</v>
      </c>
      <c r="N1383">
        <v>3</v>
      </c>
      <c r="O1383">
        <v>1</v>
      </c>
      <c r="P1383" t="s">
        <v>42</v>
      </c>
      <c r="Q1383">
        <v>3</v>
      </c>
      <c r="R1383" t="s">
        <v>37</v>
      </c>
      <c r="S1383">
        <v>2144</v>
      </c>
      <c r="T1383">
        <v>2122</v>
      </c>
      <c r="U1383">
        <v>1</v>
      </c>
      <c r="V1383" t="s">
        <v>38</v>
      </c>
      <c r="W1383">
        <v>14</v>
      </c>
      <c r="X1383">
        <v>3</v>
      </c>
      <c r="Y1383">
        <v>3</v>
      </c>
      <c r="Z1383">
        <v>0</v>
      </c>
      <c r="AA1383">
        <v>5</v>
      </c>
      <c r="AB1383" t="str">
        <f>IF(Table2[[#This Row],[TotalWorkingYears]]&lt;=5,"Early (0-5)",IF(Table2[[#This Row],[TotalWorkingYears]]&lt;=15,"Mid (6-15)","Senior (16+)"))</f>
        <v>Early (0-5)</v>
      </c>
      <c r="AC1383">
        <v>3</v>
      </c>
      <c r="AD1383">
        <v>2</v>
      </c>
      <c r="AE1383" t="s">
        <v>64</v>
      </c>
      <c r="AF1383">
        <v>3</v>
      </c>
      <c r="AG1383">
        <v>1</v>
      </c>
      <c r="AH1383">
        <v>4</v>
      </c>
    </row>
    <row r="1384" spans="1:34" x14ac:dyDescent="0.3">
      <c r="A1384" t="s">
        <v>59</v>
      </c>
      <c r="B1384">
        <v>0</v>
      </c>
      <c r="C1384" t="s">
        <v>50</v>
      </c>
      <c r="D1384">
        <v>976</v>
      </c>
      <c r="E1384" t="s">
        <v>40</v>
      </c>
      <c r="F1384">
        <v>3</v>
      </c>
      <c r="G1384" t="str">
        <f>IF(Table2[[#This Row],[DistanceFromHome]]&lt;=5, "short", IF(Table2[[#This Row],[DistanceFromHome]]&lt;=15, "medium", "long"))</f>
        <v>short</v>
      </c>
      <c r="H1384">
        <v>2</v>
      </c>
      <c r="I1384" t="s">
        <v>46</v>
      </c>
      <c r="J1384">
        <v>1948</v>
      </c>
      <c r="K1384">
        <v>3</v>
      </c>
      <c r="L1384" t="s">
        <v>41</v>
      </c>
      <c r="M1384">
        <v>48</v>
      </c>
      <c r="N1384">
        <v>3</v>
      </c>
      <c r="O1384">
        <v>1</v>
      </c>
      <c r="P1384" t="s">
        <v>42</v>
      </c>
      <c r="Q1384">
        <v>1</v>
      </c>
      <c r="R1384" t="s">
        <v>47</v>
      </c>
      <c r="S1384">
        <v>3065</v>
      </c>
      <c r="T1384">
        <v>3995</v>
      </c>
      <c r="U1384">
        <v>1</v>
      </c>
      <c r="V1384" t="s">
        <v>31</v>
      </c>
      <c r="W1384">
        <v>13</v>
      </c>
      <c r="X1384">
        <v>3</v>
      </c>
      <c r="Y1384">
        <v>4</v>
      </c>
      <c r="Z1384">
        <v>1</v>
      </c>
      <c r="AA1384">
        <v>4</v>
      </c>
      <c r="AB1384" t="str">
        <f>IF(Table2[[#This Row],[TotalWorkingYears]]&lt;=5,"Early (0-5)",IF(Table2[[#This Row],[TotalWorkingYears]]&lt;=15,"Mid (6-15)","Senior (16+)"))</f>
        <v>Early (0-5)</v>
      </c>
      <c r="AC1384">
        <v>3</v>
      </c>
      <c r="AD1384">
        <v>4</v>
      </c>
      <c r="AE1384" t="s">
        <v>64</v>
      </c>
      <c r="AF1384">
        <v>2</v>
      </c>
      <c r="AG1384">
        <v>2</v>
      </c>
      <c r="AH1384">
        <v>3</v>
      </c>
    </row>
    <row r="1385" spans="1:34" x14ac:dyDescent="0.3">
      <c r="A1385" t="s">
        <v>57</v>
      </c>
      <c r="B1385">
        <v>0</v>
      </c>
      <c r="C1385" t="s">
        <v>50</v>
      </c>
      <c r="D1385">
        <v>1351</v>
      </c>
      <c r="E1385" t="s">
        <v>40</v>
      </c>
      <c r="F1385">
        <v>9</v>
      </c>
      <c r="G1385" t="str">
        <f>IF(Table2[[#This Row],[DistanceFromHome]]&lt;=5, "short", IF(Table2[[#This Row],[DistanceFromHome]]&lt;=15, "medium", "long"))</f>
        <v>medium</v>
      </c>
      <c r="H1385">
        <v>4</v>
      </c>
      <c r="I1385" t="s">
        <v>34</v>
      </c>
      <c r="J1385">
        <v>1949</v>
      </c>
      <c r="K1385">
        <v>1</v>
      </c>
      <c r="L1385" t="s">
        <v>41</v>
      </c>
      <c r="M1385">
        <v>66</v>
      </c>
      <c r="N1385">
        <v>4</v>
      </c>
      <c r="O1385">
        <v>1</v>
      </c>
      <c r="P1385" t="s">
        <v>45</v>
      </c>
      <c r="Q1385">
        <v>2</v>
      </c>
      <c r="R1385" t="s">
        <v>43</v>
      </c>
      <c r="S1385">
        <v>2810</v>
      </c>
      <c r="T1385">
        <v>9238</v>
      </c>
      <c r="U1385">
        <v>1</v>
      </c>
      <c r="V1385" t="s">
        <v>38</v>
      </c>
      <c r="W1385">
        <v>22</v>
      </c>
      <c r="X1385">
        <v>4</v>
      </c>
      <c r="Y1385">
        <v>2</v>
      </c>
      <c r="Z1385">
        <v>0</v>
      </c>
      <c r="AA1385">
        <v>5</v>
      </c>
      <c r="AB1385" t="str">
        <f>IF(Table2[[#This Row],[TotalWorkingYears]]&lt;=5,"Early (0-5)",IF(Table2[[#This Row],[TotalWorkingYears]]&lt;=15,"Mid (6-15)","Senior (16+)"))</f>
        <v>Early (0-5)</v>
      </c>
      <c r="AC1385">
        <v>3</v>
      </c>
      <c r="AD1385">
        <v>3</v>
      </c>
      <c r="AE1385" t="s">
        <v>64</v>
      </c>
      <c r="AF1385">
        <v>4</v>
      </c>
      <c r="AG1385">
        <v>0</v>
      </c>
      <c r="AH1385">
        <v>2</v>
      </c>
    </row>
    <row r="1386" spans="1:34" x14ac:dyDescent="0.3">
      <c r="A1386" t="s">
        <v>59</v>
      </c>
      <c r="B1386">
        <v>0</v>
      </c>
      <c r="C1386" t="s">
        <v>32</v>
      </c>
      <c r="D1386">
        <v>937</v>
      </c>
      <c r="E1386" t="s">
        <v>33</v>
      </c>
      <c r="F1386">
        <v>1</v>
      </c>
      <c r="G1386" t="str">
        <f>IF(Table2[[#This Row],[DistanceFromHome]]&lt;=5, "short", IF(Table2[[#This Row],[DistanceFromHome]]&lt;=15, "medium", "long"))</f>
        <v>short</v>
      </c>
      <c r="H1386">
        <v>3</v>
      </c>
      <c r="I1386" t="s">
        <v>54</v>
      </c>
      <c r="J1386">
        <v>1950</v>
      </c>
      <c r="K1386">
        <v>1</v>
      </c>
      <c r="L1386" t="s">
        <v>41</v>
      </c>
      <c r="M1386">
        <v>32</v>
      </c>
      <c r="N1386">
        <v>3</v>
      </c>
      <c r="O1386">
        <v>3</v>
      </c>
      <c r="P1386" t="s">
        <v>36</v>
      </c>
      <c r="Q1386">
        <v>4</v>
      </c>
      <c r="R1386" t="s">
        <v>37</v>
      </c>
      <c r="S1386">
        <v>9888</v>
      </c>
      <c r="T1386">
        <v>6770</v>
      </c>
      <c r="U1386">
        <v>1</v>
      </c>
      <c r="V1386" t="s">
        <v>38</v>
      </c>
      <c r="W1386">
        <v>21</v>
      </c>
      <c r="X1386">
        <v>4</v>
      </c>
      <c r="Y1386">
        <v>1</v>
      </c>
      <c r="Z1386">
        <v>0</v>
      </c>
      <c r="AA1386">
        <v>14</v>
      </c>
      <c r="AB1386" t="str">
        <f>IF(Table2[[#This Row],[TotalWorkingYears]]&lt;=5,"Early (0-5)",IF(Table2[[#This Row],[TotalWorkingYears]]&lt;=15,"Mid (6-15)","Senior (16+)"))</f>
        <v>Mid (6-15)</v>
      </c>
      <c r="AC1386">
        <v>3</v>
      </c>
      <c r="AD1386">
        <v>2</v>
      </c>
      <c r="AE1386" t="s">
        <v>65</v>
      </c>
      <c r="AF1386">
        <v>8</v>
      </c>
      <c r="AG1386">
        <v>2</v>
      </c>
      <c r="AH1386">
        <v>1</v>
      </c>
    </row>
    <row r="1387" spans="1:34" x14ac:dyDescent="0.3">
      <c r="A1387" t="s">
        <v>59</v>
      </c>
      <c r="B1387">
        <v>0</v>
      </c>
      <c r="C1387" t="s">
        <v>32</v>
      </c>
      <c r="D1387">
        <v>1239</v>
      </c>
      <c r="E1387" t="s">
        <v>33</v>
      </c>
      <c r="F1387">
        <v>13</v>
      </c>
      <c r="G1387" t="str">
        <f>IF(Table2[[#This Row],[DistanceFromHome]]&lt;=5, "short", IF(Table2[[#This Row],[DistanceFromHome]]&lt;=15, "medium", "long"))</f>
        <v>medium</v>
      </c>
      <c r="H1387">
        <v>4</v>
      </c>
      <c r="I1387" t="s">
        <v>46</v>
      </c>
      <c r="J1387">
        <v>1951</v>
      </c>
      <c r="K1387">
        <v>4</v>
      </c>
      <c r="L1387" t="s">
        <v>41</v>
      </c>
      <c r="M1387">
        <v>39</v>
      </c>
      <c r="N1387">
        <v>3</v>
      </c>
      <c r="O1387">
        <v>3</v>
      </c>
      <c r="P1387" t="s">
        <v>36</v>
      </c>
      <c r="Q1387">
        <v>3</v>
      </c>
      <c r="R1387" t="s">
        <v>47</v>
      </c>
      <c r="S1387">
        <v>8628</v>
      </c>
      <c r="T1387">
        <v>22914</v>
      </c>
      <c r="U1387">
        <v>1</v>
      </c>
      <c r="V1387" t="s">
        <v>38</v>
      </c>
      <c r="W1387">
        <v>18</v>
      </c>
      <c r="X1387">
        <v>3</v>
      </c>
      <c r="Y1387">
        <v>3</v>
      </c>
      <c r="Z1387">
        <v>1</v>
      </c>
      <c r="AA1387">
        <v>9</v>
      </c>
      <c r="AB1387" t="str">
        <f>IF(Table2[[#This Row],[TotalWorkingYears]]&lt;=5,"Early (0-5)",IF(Table2[[#This Row],[TotalWorkingYears]]&lt;=15,"Mid (6-15)","Senior (16+)"))</f>
        <v>Mid (6-15)</v>
      </c>
      <c r="AC1387">
        <v>2</v>
      </c>
      <c r="AD1387">
        <v>2</v>
      </c>
      <c r="AE1387" t="s">
        <v>62</v>
      </c>
      <c r="AF1387">
        <v>7</v>
      </c>
      <c r="AG1387">
        <v>1</v>
      </c>
      <c r="AH1387">
        <v>1</v>
      </c>
    </row>
    <row r="1388" spans="1:34" x14ac:dyDescent="0.3">
      <c r="A1388" t="s">
        <v>59</v>
      </c>
      <c r="B1388">
        <v>0</v>
      </c>
      <c r="C1388" t="s">
        <v>32</v>
      </c>
      <c r="D1388">
        <v>157</v>
      </c>
      <c r="E1388" t="s">
        <v>40</v>
      </c>
      <c r="F1388">
        <v>1</v>
      </c>
      <c r="G1388" t="str">
        <f>IF(Table2[[#This Row],[DistanceFromHome]]&lt;=5, "short", IF(Table2[[#This Row],[DistanceFromHome]]&lt;=15, "medium", "long"))</f>
        <v>short</v>
      </c>
      <c r="H1388">
        <v>3</v>
      </c>
      <c r="I1388" t="s">
        <v>46</v>
      </c>
      <c r="J1388">
        <v>1952</v>
      </c>
      <c r="K1388">
        <v>3</v>
      </c>
      <c r="L1388" t="s">
        <v>41</v>
      </c>
      <c r="M1388">
        <v>95</v>
      </c>
      <c r="N1388">
        <v>3</v>
      </c>
      <c r="O1388">
        <v>1</v>
      </c>
      <c r="P1388" t="s">
        <v>45</v>
      </c>
      <c r="Q1388">
        <v>1</v>
      </c>
      <c r="R1388" t="s">
        <v>37</v>
      </c>
      <c r="S1388">
        <v>2867</v>
      </c>
      <c r="T1388">
        <v>20006</v>
      </c>
      <c r="U1388">
        <v>0</v>
      </c>
      <c r="V1388" t="s">
        <v>38</v>
      </c>
      <c r="W1388">
        <v>13</v>
      </c>
      <c r="X1388">
        <v>3</v>
      </c>
      <c r="Y1388">
        <v>4</v>
      </c>
      <c r="Z1388">
        <v>0</v>
      </c>
      <c r="AA1388">
        <v>8</v>
      </c>
      <c r="AB1388" t="str">
        <f>IF(Table2[[#This Row],[TotalWorkingYears]]&lt;=5,"Early (0-5)",IF(Table2[[#This Row],[TotalWorkingYears]]&lt;=15,"Mid (6-15)","Senior (16+)"))</f>
        <v>Mid (6-15)</v>
      </c>
      <c r="AC1388">
        <v>6</v>
      </c>
      <c r="AD1388">
        <v>2</v>
      </c>
      <c r="AE1388" t="s">
        <v>62</v>
      </c>
      <c r="AF1388">
        <v>7</v>
      </c>
      <c r="AG1388">
        <v>7</v>
      </c>
      <c r="AH1388">
        <v>6</v>
      </c>
    </row>
    <row r="1389" spans="1:34" x14ac:dyDescent="0.3">
      <c r="A1389" t="s">
        <v>59</v>
      </c>
      <c r="B1389">
        <v>0</v>
      </c>
      <c r="C1389" t="s">
        <v>32</v>
      </c>
      <c r="D1389">
        <v>136</v>
      </c>
      <c r="E1389" t="s">
        <v>40</v>
      </c>
      <c r="F1389">
        <v>1</v>
      </c>
      <c r="G1389" t="str">
        <f>IF(Table2[[#This Row],[DistanceFromHome]]&lt;=5, "short", IF(Table2[[#This Row],[DistanceFromHome]]&lt;=15, "medium", "long"))</f>
        <v>short</v>
      </c>
      <c r="H1389">
        <v>3</v>
      </c>
      <c r="I1389" t="s">
        <v>34</v>
      </c>
      <c r="J1389">
        <v>1954</v>
      </c>
      <c r="K1389">
        <v>1</v>
      </c>
      <c r="L1389" t="s">
        <v>41</v>
      </c>
      <c r="M1389">
        <v>89</v>
      </c>
      <c r="N1389">
        <v>3</v>
      </c>
      <c r="O1389">
        <v>2</v>
      </c>
      <c r="P1389" t="s">
        <v>49</v>
      </c>
      <c r="Q1389">
        <v>1</v>
      </c>
      <c r="R1389" t="s">
        <v>43</v>
      </c>
      <c r="S1389">
        <v>5373</v>
      </c>
      <c r="T1389">
        <v>6225</v>
      </c>
      <c r="U1389">
        <v>0</v>
      </c>
      <c r="V1389" t="s">
        <v>38</v>
      </c>
      <c r="W1389">
        <v>12</v>
      </c>
      <c r="X1389">
        <v>3</v>
      </c>
      <c r="Y1389">
        <v>1</v>
      </c>
      <c r="Z1389">
        <v>1</v>
      </c>
      <c r="AA1389">
        <v>6</v>
      </c>
      <c r="AB1389" t="str">
        <f>IF(Table2[[#This Row],[TotalWorkingYears]]&lt;=5,"Early (0-5)",IF(Table2[[#This Row],[TotalWorkingYears]]&lt;=15,"Mid (6-15)","Senior (16+)"))</f>
        <v>Mid (6-15)</v>
      </c>
      <c r="AC1389">
        <v>5</v>
      </c>
      <c r="AD1389">
        <v>2</v>
      </c>
      <c r="AE1389" t="s">
        <v>64</v>
      </c>
      <c r="AF1389">
        <v>3</v>
      </c>
      <c r="AG1389">
        <v>0</v>
      </c>
      <c r="AH1389">
        <v>2</v>
      </c>
    </row>
    <row r="1390" spans="1:34" x14ac:dyDescent="0.3">
      <c r="A1390" t="s">
        <v>59</v>
      </c>
      <c r="B1390">
        <v>0</v>
      </c>
      <c r="C1390" t="s">
        <v>50</v>
      </c>
      <c r="D1390">
        <v>1146</v>
      </c>
      <c r="E1390" t="s">
        <v>40</v>
      </c>
      <c r="F1390">
        <v>15</v>
      </c>
      <c r="G1390" t="str">
        <f>IF(Table2[[#This Row],[DistanceFromHome]]&lt;=5, "short", IF(Table2[[#This Row],[DistanceFromHome]]&lt;=15, "medium", "long"))</f>
        <v>medium</v>
      </c>
      <c r="H1390">
        <v>4</v>
      </c>
      <c r="I1390" t="s">
        <v>46</v>
      </c>
      <c r="J1390">
        <v>1955</v>
      </c>
      <c r="K1390">
        <v>3</v>
      </c>
      <c r="L1390" t="s">
        <v>35</v>
      </c>
      <c r="M1390">
        <v>34</v>
      </c>
      <c r="N1390">
        <v>3</v>
      </c>
      <c r="O1390">
        <v>2</v>
      </c>
      <c r="P1390" t="s">
        <v>49</v>
      </c>
      <c r="Q1390">
        <v>4</v>
      </c>
      <c r="R1390" t="s">
        <v>47</v>
      </c>
      <c r="S1390">
        <v>6667</v>
      </c>
      <c r="T1390">
        <v>16542</v>
      </c>
      <c r="U1390">
        <v>5</v>
      </c>
      <c r="V1390" t="s">
        <v>38</v>
      </c>
      <c r="W1390">
        <v>18</v>
      </c>
      <c r="X1390">
        <v>3</v>
      </c>
      <c r="Y1390">
        <v>2</v>
      </c>
      <c r="Z1390">
        <v>1</v>
      </c>
      <c r="AA1390">
        <v>9</v>
      </c>
      <c r="AB1390" t="str">
        <f>IF(Table2[[#This Row],[TotalWorkingYears]]&lt;=5,"Early (0-5)",IF(Table2[[#This Row],[TotalWorkingYears]]&lt;=15,"Mid (6-15)","Senior (16+)"))</f>
        <v>Mid (6-15)</v>
      </c>
      <c r="AC1390">
        <v>6</v>
      </c>
      <c r="AD1390">
        <v>3</v>
      </c>
      <c r="AE1390" t="s">
        <v>64</v>
      </c>
      <c r="AF1390">
        <v>1</v>
      </c>
      <c r="AG1390">
        <v>1</v>
      </c>
      <c r="AH1390">
        <v>2</v>
      </c>
    </row>
    <row r="1391" spans="1:34" x14ac:dyDescent="0.3">
      <c r="A1391" t="s">
        <v>59</v>
      </c>
      <c r="B1391">
        <v>0</v>
      </c>
      <c r="C1391" t="s">
        <v>39</v>
      </c>
      <c r="D1391">
        <v>1125</v>
      </c>
      <c r="E1391" t="s">
        <v>40</v>
      </c>
      <c r="F1391">
        <v>1</v>
      </c>
      <c r="G1391" t="str">
        <f>IF(Table2[[#This Row],[DistanceFromHome]]&lt;=5, "short", IF(Table2[[#This Row],[DistanceFromHome]]&lt;=15, "medium", "long"))</f>
        <v>short</v>
      </c>
      <c r="H1391">
        <v>3</v>
      </c>
      <c r="I1391" t="s">
        <v>34</v>
      </c>
      <c r="J1391">
        <v>1956</v>
      </c>
      <c r="K1391">
        <v>4</v>
      </c>
      <c r="L1391" t="s">
        <v>41</v>
      </c>
      <c r="M1391">
        <v>48</v>
      </c>
      <c r="N1391">
        <v>1</v>
      </c>
      <c r="O1391">
        <v>2</v>
      </c>
      <c r="P1391" t="s">
        <v>42</v>
      </c>
      <c r="Q1391">
        <v>1</v>
      </c>
      <c r="R1391" t="s">
        <v>43</v>
      </c>
      <c r="S1391">
        <v>5003</v>
      </c>
      <c r="T1391">
        <v>5771</v>
      </c>
      <c r="U1391">
        <v>1</v>
      </c>
      <c r="V1391" t="s">
        <v>38</v>
      </c>
      <c r="W1391">
        <v>21</v>
      </c>
      <c r="X1391">
        <v>4</v>
      </c>
      <c r="Y1391">
        <v>2</v>
      </c>
      <c r="Z1391">
        <v>0</v>
      </c>
      <c r="AA1391">
        <v>10</v>
      </c>
      <c r="AB1391" t="str">
        <f>IF(Table2[[#This Row],[TotalWorkingYears]]&lt;=5,"Early (0-5)",IF(Table2[[#This Row],[TotalWorkingYears]]&lt;=15,"Mid (6-15)","Senior (16+)"))</f>
        <v>Mid (6-15)</v>
      </c>
      <c r="AC1391">
        <v>6</v>
      </c>
      <c r="AD1391">
        <v>3</v>
      </c>
      <c r="AE1391" t="s">
        <v>62</v>
      </c>
      <c r="AF1391">
        <v>8</v>
      </c>
      <c r="AG1391">
        <v>8</v>
      </c>
      <c r="AH1391">
        <v>7</v>
      </c>
    </row>
    <row r="1392" spans="1:34" x14ac:dyDescent="0.3">
      <c r="A1392" t="s">
        <v>59</v>
      </c>
      <c r="B1392">
        <v>1</v>
      </c>
      <c r="C1392" t="s">
        <v>32</v>
      </c>
      <c r="D1392">
        <v>1404</v>
      </c>
      <c r="E1392" t="s">
        <v>40</v>
      </c>
      <c r="F1392">
        <v>17</v>
      </c>
      <c r="G1392" t="str">
        <f>IF(Table2[[#This Row],[DistanceFromHome]]&lt;=5, "short", IF(Table2[[#This Row],[DistanceFromHome]]&lt;=15, "medium", "long"))</f>
        <v>long</v>
      </c>
      <c r="H1392">
        <v>3</v>
      </c>
      <c r="I1392" t="s">
        <v>55</v>
      </c>
      <c r="J1392">
        <v>1960</v>
      </c>
      <c r="K1392">
        <v>3</v>
      </c>
      <c r="L1392" t="s">
        <v>41</v>
      </c>
      <c r="M1392">
        <v>32</v>
      </c>
      <c r="N1392">
        <v>2</v>
      </c>
      <c r="O1392">
        <v>1</v>
      </c>
      <c r="P1392" t="s">
        <v>45</v>
      </c>
      <c r="Q1392">
        <v>4</v>
      </c>
      <c r="R1392" t="s">
        <v>47</v>
      </c>
      <c r="S1392">
        <v>2367</v>
      </c>
      <c r="T1392">
        <v>18779</v>
      </c>
      <c r="U1392">
        <v>5</v>
      </c>
      <c r="V1392" t="s">
        <v>38</v>
      </c>
      <c r="W1392">
        <v>12</v>
      </c>
      <c r="X1392">
        <v>3</v>
      </c>
      <c r="Y1392">
        <v>1</v>
      </c>
      <c r="Z1392">
        <v>1</v>
      </c>
      <c r="AA1392">
        <v>6</v>
      </c>
      <c r="AB1392" t="str">
        <f>IF(Table2[[#This Row],[TotalWorkingYears]]&lt;=5,"Early (0-5)",IF(Table2[[#This Row],[TotalWorkingYears]]&lt;=15,"Mid (6-15)","Senior (16+)"))</f>
        <v>Mid (6-15)</v>
      </c>
      <c r="AC1392">
        <v>2</v>
      </c>
      <c r="AD1392">
        <v>2</v>
      </c>
      <c r="AE1392" t="s">
        <v>64</v>
      </c>
      <c r="AF1392">
        <v>1</v>
      </c>
      <c r="AG1392">
        <v>0</v>
      </c>
      <c r="AH1392">
        <v>3</v>
      </c>
    </row>
    <row r="1393" spans="1:34" x14ac:dyDescent="0.3">
      <c r="A1393" t="s">
        <v>57</v>
      </c>
      <c r="B1393">
        <v>0</v>
      </c>
      <c r="C1393" t="s">
        <v>32</v>
      </c>
      <c r="D1393">
        <v>1404</v>
      </c>
      <c r="E1393" t="s">
        <v>33</v>
      </c>
      <c r="F1393">
        <v>1</v>
      </c>
      <c r="G1393" t="str">
        <f>IF(Table2[[#This Row],[DistanceFromHome]]&lt;=5, "short", IF(Table2[[#This Row],[DistanceFromHome]]&lt;=15, "medium", "long"))</f>
        <v>short</v>
      </c>
      <c r="H1393">
        <v>3</v>
      </c>
      <c r="I1393" t="s">
        <v>34</v>
      </c>
      <c r="J1393">
        <v>1961</v>
      </c>
      <c r="K1393">
        <v>1</v>
      </c>
      <c r="L1393" t="s">
        <v>41</v>
      </c>
      <c r="M1393">
        <v>59</v>
      </c>
      <c r="N1393">
        <v>2</v>
      </c>
      <c r="O1393">
        <v>1</v>
      </c>
      <c r="P1393" t="s">
        <v>52</v>
      </c>
      <c r="Q1393">
        <v>1</v>
      </c>
      <c r="R1393" t="s">
        <v>37</v>
      </c>
      <c r="S1393">
        <v>2858</v>
      </c>
      <c r="T1393">
        <v>11473</v>
      </c>
      <c r="U1393">
        <v>4</v>
      </c>
      <c r="V1393" t="s">
        <v>38</v>
      </c>
      <c r="W1393">
        <v>14</v>
      </c>
      <c r="X1393">
        <v>3</v>
      </c>
      <c r="Y1393">
        <v>1</v>
      </c>
      <c r="Z1393">
        <v>0</v>
      </c>
      <c r="AA1393">
        <v>20</v>
      </c>
      <c r="AB1393" t="str">
        <f>IF(Table2[[#This Row],[TotalWorkingYears]]&lt;=5,"Early (0-5)",IF(Table2[[#This Row],[TotalWorkingYears]]&lt;=15,"Mid (6-15)","Senior (16+)"))</f>
        <v>Senior (16+)</v>
      </c>
      <c r="AC1393">
        <v>3</v>
      </c>
      <c r="AD1393">
        <v>2</v>
      </c>
      <c r="AE1393" t="s">
        <v>63</v>
      </c>
      <c r="AF1393">
        <v>0</v>
      </c>
      <c r="AG1393">
        <v>0</v>
      </c>
      <c r="AH1393">
        <v>0</v>
      </c>
    </row>
    <row r="1394" spans="1:34" x14ac:dyDescent="0.3">
      <c r="A1394" t="s">
        <v>59</v>
      </c>
      <c r="B1394">
        <v>0</v>
      </c>
      <c r="C1394" t="s">
        <v>32</v>
      </c>
      <c r="D1394">
        <v>1224</v>
      </c>
      <c r="E1394" t="s">
        <v>33</v>
      </c>
      <c r="F1394">
        <v>7</v>
      </c>
      <c r="G1394" t="str">
        <f>IF(Table2[[#This Row],[DistanceFromHome]]&lt;=5, "short", IF(Table2[[#This Row],[DistanceFromHome]]&lt;=15, "medium", "long"))</f>
        <v>medium</v>
      </c>
      <c r="H1394">
        <v>4</v>
      </c>
      <c r="I1394" t="s">
        <v>34</v>
      </c>
      <c r="J1394">
        <v>1962</v>
      </c>
      <c r="K1394">
        <v>3</v>
      </c>
      <c r="L1394" t="s">
        <v>35</v>
      </c>
      <c r="M1394">
        <v>55</v>
      </c>
      <c r="N1394">
        <v>3</v>
      </c>
      <c r="O1394">
        <v>2</v>
      </c>
      <c r="P1394" t="s">
        <v>36</v>
      </c>
      <c r="Q1394">
        <v>4</v>
      </c>
      <c r="R1394" t="s">
        <v>43</v>
      </c>
      <c r="S1394">
        <v>5204</v>
      </c>
      <c r="T1394">
        <v>13586</v>
      </c>
      <c r="U1394">
        <v>1</v>
      </c>
      <c r="V1394" t="s">
        <v>31</v>
      </c>
      <c r="W1394">
        <v>11</v>
      </c>
      <c r="X1394">
        <v>3</v>
      </c>
      <c r="Y1394">
        <v>4</v>
      </c>
      <c r="Z1394">
        <v>0</v>
      </c>
      <c r="AA1394">
        <v>10</v>
      </c>
      <c r="AB1394" t="str">
        <f>IF(Table2[[#This Row],[TotalWorkingYears]]&lt;=5,"Early (0-5)",IF(Table2[[#This Row],[TotalWorkingYears]]&lt;=15,"Mid (6-15)","Senior (16+)"))</f>
        <v>Mid (6-15)</v>
      </c>
      <c r="AC1394">
        <v>2</v>
      </c>
      <c r="AD1394">
        <v>3</v>
      </c>
      <c r="AE1394" t="s">
        <v>62</v>
      </c>
      <c r="AF1394">
        <v>8</v>
      </c>
      <c r="AG1394">
        <v>0</v>
      </c>
      <c r="AH1394">
        <v>9</v>
      </c>
    </row>
    <row r="1395" spans="1:34" x14ac:dyDescent="0.3">
      <c r="A1395" t="s">
        <v>59</v>
      </c>
      <c r="B1395">
        <v>0</v>
      </c>
      <c r="C1395" t="s">
        <v>32</v>
      </c>
      <c r="D1395">
        <v>954</v>
      </c>
      <c r="E1395" t="s">
        <v>33</v>
      </c>
      <c r="F1395">
        <v>9</v>
      </c>
      <c r="G1395" t="str">
        <f>IF(Table2[[#This Row],[DistanceFromHome]]&lt;=5, "short", IF(Table2[[#This Row],[DistanceFromHome]]&lt;=15, "medium", "long"))</f>
        <v>medium</v>
      </c>
      <c r="H1395">
        <v>3</v>
      </c>
      <c r="I1395" t="s">
        <v>54</v>
      </c>
      <c r="J1395">
        <v>1965</v>
      </c>
      <c r="K1395">
        <v>4</v>
      </c>
      <c r="L1395" t="s">
        <v>41</v>
      </c>
      <c r="M1395">
        <v>44</v>
      </c>
      <c r="N1395">
        <v>3</v>
      </c>
      <c r="O1395">
        <v>2</v>
      </c>
      <c r="P1395" t="s">
        <v>36</v>
      </c>
      <c r="Q1395">
        <v>4</v>
      </c>
      <c r="R1395" t="s">
        <v>37</v>
      </c>
      <c r="S1395">
        <v>4105</v>
      </c>
      <c r="T1395">
        <v>5099</v>
      </c>
      <c r="U1395">
        <v>1</v>
      </c>
      <c r="V1395" t="s">
        <v>38</v>
      </c>
      <c r="W1395">
        <v>14</v>
      </c>
      <c r="X1395">
        <v>3</v>
      </c>
      <c r="Y1395">
        <v>1</v>
      </c>
      <c r="Z1395">
        <v>0</v>
      </c>
      <c r="AA1395">
        <v>7</v>
      </c>
      <c r="AB1395" t="str">
        <f>IF(Table2[[#This Row],[TotalWorkingYears]]&lt;=5,"Early (0-5)",IF(Table2[[#This Row],[TotalWorkingYears]]&lt;=15,"Mid (6-15)","Senior (16+)"))</f>
        <v>Mid (6-15)</v>
      </c>
      <c r="AC1395">
        <v>5</v>
      </c>
      <c r="AD1395">
        <v>3</v>
      </c>
      <c r="AE1395" t="s">
        <v>62</v>
      </c>
      <c r="AF1395">
        <v>7</v>
      </c>
      <c r="AG1395">
        <v>0</v>
      </c>
      <c r="AH1395">
        <v>7</v>
      </c>
    </row>
    <row r="1396" spans="1:34" x14ac:dyDescent="0.3">
      <c r="A1396" t="s">
        <v>59</v>
      </c>
      <c r="B1396">
        <v>0</v>
      </c>
      <c r="C1396" t="s">
        <v>32</v>
      </c>
      <c r="D1396">
        <v>1373</v>
      </c>
      <c r="E1396" t="s">
        <v>40</v>
      </c>
      <c r="F1396">
        <v>5</v>
      </c>
      <c r="G1396" t="str">
        <f>IF(Table2[[#This Row],[DistanceFromHome]]&lt;=5, "short", IF(Table2[[#This Row],[DistanceFromHome]]&lt;=15, "medium", "long"))</f>
        <v>short</v>
      </c>
      <c r="H1396">
        <v>4</v>
      </c>
      <c r="I1396" t="s">
        <v>34</v>
      </c>
      <c r="J1396">
        <v>1966</v>
      </c>
      <c r="K1396">
        <v>4</v>
      </c>
      <c r="L1396" t="s">
        <v>41</v>
      </c>
      <c r="M1396">
        <v>56</v>
      </c>
      <c r="N1396">
        <v>2</v>
      </c>
      <c r="O1396">
        <v>2</v>
      </c>
      <c r="P1396" t="s">
        <v>48</v>
      </c>
      <c r="Q1396">
        <v>4</v>
      </c>
      <c r="R1396" t="s">
        <v>37</v>
      </c>
      <c r="S1396">
        <v>9679</v>
      </c>
      <c r="T1396">
        <v>10138</v>
      </c>
      <c r="U1396">
        <v>8</v>
      </c>
      <c r="V1396" t="s">
        <v>38</v>
      </c>
      <c r="W1396">
        <v>24</v>
      </c>
      <c r="X1396">
        <v>4</v>
      </c>
      <c r="Y1396">
        <v>2</v>
      </c>
      <c r="Z1396">
        <v>0</v>
      </c>
      <c r="AA1396">
        <v>8</v>
      </c>
      <c r="AB1396" t="str">
        <f>IF(Table2[[#This Row],[TotalWorkingYears]]&lt;=5,"Early (0-5)",IF(Table2[[#This Row],[TotalWorkingYears]]&lt;=15,"Mid (6-15)","Senior (16+)"))</f>
        <v>Mid (6-15)</v>
      </c>
      <c r="AC1396">
        <v>1</v>
      </c>
      <c r="AD1396">
        <v>3</v>
      </c>
      <c r="AE1396" t="s">
        <v>63</v>
      </c>
      <c r="AF1396">
        <v>0</v>
      </c>
      <c r="AG1396">
        <v>0</v>
      </c>
      <c r="AH1396">
        <v>0</v>
      </c>
    </row>
    <row r="1397" spans="1:34" x14ac:dyDescent="0.3">
      <c r="A1397" t="s">
        <v>59</v>
      </c>
      <c r="B1397">
        <v>1</v>
      </c>
      <c r="C1397" t="s">
        <v>39</v>
      </c>
      <c r="D1397">
        <v>754</v>
      </c>
      <c r="E1397" t="s">
        <v>33</v>
      </c>
      <c r="F1397">
        <v>26</v>
      </c>
      <c r="G1397" t="str">
        <f>IF(Table2[[#This Row],[DistanceFromHome]]&lt;=5, "short", IF(Table2[[#This Row],[DistanceFromHome]]&lt;=15, "medium", "long"))</f>
        <v>long</v>
      </c>
      <c r="H1397">
        <v>4</v>
      </c>
      <c r="I1397" t="s">
        <v>54</v>
      </c>
      <c r="J1397">
        <v>1967</v>
      </c>
      <c r="K1397">
        <v>1</v>
      </c>
      <c r="L1397" t="s">
        <v>41</v>
      </c>
      <c r="M1397">
        <v>63</v>
      </c>
      <c r="N1397">
        <v>3</v>
      </c>
      <c r="O1397">
        <v>2</v>
      </c>
      <c r="P1397" t="s">
        <v>36</v>
      </c>
      <c r="Q1397">
        <v>4</v>
      </c>
      <c r="R1397" t="s">
        <v>43</v>
      </c>
      <c r="S1397">
        <v>5617</v>
      </c>
      <c r="T1397">
        <v>21075</v>
      </c>
      <c r="U1397">
        <v>1</v>
      </c>
      <c r="V1397" t="s">
        <v>31</v>
      </c>
      <c r="W1397">
        <v>11</v>
      </c>
      <c r="X1397">
        <v>3</v>
      </c>
      <c r="Y1397">
        <v>3</v>
      </c>
      <c r="Z1397">
        <v>0</v>
      </c>
      <c r="AA1397">
        <v>10</v>
      </c>
      <c r="AB1397" t="str">
        <f>IF(Table2[[#This Row],[TotalWorkingYears]]&lt;=5,"Early (0-5)",IF(Table2[[#This Row],[TotalWorkingYears]]&lt;=15,"Mid (6-15)","Senior (16+)"))</f>
        <v>Mid (6-15)</v>
      </c>
      <c r="AC1397">
        <v>4</v>
      </c>
      <c r="AD1397">
        <v>3</v>
      </c>
      <c r="AE1397" t="s">
        <v>62</v>
      </c>
      <c r="AF1397">
        <v>7</v>
      </c>
      <c r="AG1397">
        <v>0</v>
      </c>
      <c r="AH1397">
        <v>8</v>
      </c>
    </row>
    <row r="1398" spans="1:34" x14ac:dyDescent="0.3">
      <c r="A1398" t="s">
        <v>58</v>
      </c>
      <c r="B1398">
        <v>1</v>
      </c>
      <c r="C1398" t="s">
        <v>32</v>
      </c>
      <c r="D1398">
        <v>1168</v>
      </c>
      <c r="E1398" t="s">
        <v>33</v>
      </c>
      <c r="F1398">
        <v>24</v>
      </c>
      <c r="G1398" t="str">
        <f>IF(Table2[[#This Row],[DistanceFromHome]]&lt;=5, "short", IF(Table2[[#This Row],[DistanceFromHome]]&lt;=15, "medium", "long"))</f>
        <v>long</v>
      </c>
      <c r="H1398">
        <v>4</v>
      </c>
      <c r="I1398" t="s">
        <v>34</v>
      </c>
      <c r="J1398">
        <v>1968</v>
      </c>
      <c r="K1398">
        <v>1</v>
      </c>
      <c r="L1398" t="s">
        <v>41</v>
      </c>
      <c r="M1398">
        <v>66</v>
      </c>
      <c r="N1398">
        <v>3</v>
      </c>
      <c r="O1398">
        <v>3</v>
      </c>
      <c r="P1398" t="s">
        <v>36</v>
      </c>
      <c r="Q1398">
        <v>1</v>
      </c>
      <c r="R1398" t="s">
        <v>37</v>
      </c>
      <c r="S1398">
        <v>10448</v>
      </c>
      <c r="T1398">
        <v>5843</v>
      </c>
      <c r="U1398">
        <v>6</v>
      </c>
      <c r="V1398" t="s">
        <v>31</v>
      </c>
      <c r="W1398">
        <v>13</v>
      </c>
      <c r="X1398">
        <v>3</v>
      </c>
      <c r="Y1398">
        <v>2</v>
      </c>
      <c r="Z1398">
        <v>0</v>
      </c>
      <c r="AA1398">
        <v>15</v>
      </c>
      <c r="AB1398" t="str">
        <f>IF(Table2[[#This Row],[TotalWorkingYears]]&lt;=5,"Early (0-5)",IF(Table2[[#This Row],[TotalWorkingYears]]&lt;=15,"Mid (6-15)","Senior (16+)"))</f>
        <v>Mid (6-15)</v>
      </c>
      <c r="AC1398">
        <v>2</v>
      </c>
      <c r="AD1398">
        <v>2</v>
      </c>
      <c r="AE1398" t="s">
        <v>63</v>
      </c>
      <c r="AF1398">
        <v>2</v>
      </c>
      <c r="AG1398">
        <v>2</v>
      </c>
      <c r="AH1398">
        <v>2</v>
      </c>
    </row>
    <row r="1399" spans="1:34" x14ac:dyDescent="0.3">
      <c r="A1399" t="s">
        <v>58</v>
      </c>
      <c r="B1399">
        <v>0</v>
      </c>
      <c r="C1399" t="s">
        <v>32</v>
      </c>
      <c r="D1399">
        <v>155</v>
      </c>
      <c r="E1399" t="s">
        <v>40</v>
      </c>
      <c r="F1399">
        <v>9</v>
      </c>
      <c r="G1399" t="str">
        <f>IF(Table2[[#This Row],[DistanceFromHome]]&lt;=5, "short", IF(Table2[[#This Row],[DistanceFromHome]]&lt;=15, "medium", "long"))</f>
        <v>medium</v>
      </c>
      <c r="H1399">
        <v>2</v>
      </c>
      <c r="I1399" t="s">
        <v>34</v>
      </c>
      <c r="J1399">
        <v>1969</v>
      </c>
      <c r="K1399">
        <v>1</v>
      </c>
      <c r="L1399" t="s">
        <v>35</v>
      </c>
      <c r="M1399">
        <v>67</v>
      </c>
      <c r="N1399">
        <v>3</v>
      </c>
      <c r="O1399">
        <v>2</v>
      </c>
      <c r="P1399" t="s">
        <v>42</v>
      </c>
      <c r="Q1399">
        <v>3</v>
      </c>
      <c r="R1399" t="s">
        <v>43</v>
      </c>
      <c r="S1399">
        <v>2897</v>
      </c>
      <c r="T1399">
        <v>22474</v>
      </c>
      <c r="U1399">
        <v>3</v>
      </c>
      <c r="V1399" t="s">
        <v>38</v>
      </c>
      <c r="W1399">
        <v>11</v>
      </c>
      <c r="X1399">
        <v>3</v>
      </c>
      <c r="Y1399">
        <v>3</v>
      </c>
      <c r="Z1399">
        <v>2</v>
      </c>
      <c r="AA1399">
        <v>9</v>
      </c>
      <c r="AB1399" t="str">
        <f>IF(Table2[[#This Row],[TotalWorkingYears]]&lt;=5,"Early (0-5)",IF(Table2[[#This Row],[TotalWorkingYears]]&lt;=15,"Mid (6-15)","Senior (16+)"))</f>
        <v>Mid (6-15)</v>
      </c>
      <c r="AC1399">
        <v>6</v>
      </c>
      <c r="AD1399">
        <v>2</v>
      </c>
      <c r="AE1399" t="s">
        <v>64</v>
      </c>
      <c r="AF1399">
        <v>3</v>
      </c>
      <c r="AG1399">
        <v>2</v>
      </c>
      <c r="AH1399">
        <v>3</v>
      </c>
    </row>
    <row r="1400" spans="1:34" x14ac:dyDescent="0.3">
      <c r="A1400" t="s">
        <v>59</v>
      </c>
      <c r="B1400">
        <v>0</v>
      </c>
      <c r="C1400" t="s">
        <v>39</v>
      </c>
      <c r="D1400">
        <v>1303</v>
      </c>
      <c r="E1400" t="s">
        <v>40</v>
      </c>
      <c r="F1400">
        <v>7</v>
      </c>
      <c r="G1400" t="str">
        <f>IF(Table2[[#This Row],[DistanceFromHome]]&lt;=5, "short", IF(Table2[[#This Row],[DistanceFromHome]]&lt;=15, "medium", "long"))</f>
        <v>medium</v>
      </c>
      <c r="H1400">
        <v>2</v>
      </c>
      <c r="I1400" t="s">
        <v>34</v>
      </c>
      <c r="J1400">
        <v>1970</v>
      </c>
      <c r="K1400">
        <v>4</v>
      </c>
      <c r="L1400" t="s">
        <v>41</v>
      </c>
      <c r="M1400">
        <v>36</v>
      </c>
      <c r="N1400">
        <v>3</v>
      </c>
      <c r="O1400">
        <v>2</v>
      </c>
      <c r="P1400" t="s">
        <v>49</v>
      </c>
      <c r="Q1400">
        <v>3</v>
      </c>
      <c r="R1400" t="s">
        <v>47</v>
      </c>
      <c r="S1400">
        <v>5968</v>
      </c>
      <c r="T1400">
        <v>18079</v>
      </c>
      <c r="U1400">
        <v>1</v>
      </c>
      <c r="V1400" t="s">
        <v>38</v>
      </c>
      <c r="W1400">
        <v>20</v>
      </c>
      <c r="X1400">
        <v>4</v>
      </c>
      <c r="Y1400">
        <v>3</v>
      </c>
      <c r="Z1400">
        <v>3</v>
      </c>
      <c r="AA1400">
        <v>9</v>
      </c>
      <c r="AB1400" t="str">
        <f>IF(Table2[[#This Row],[TotalWorkingYears]]&lt;=5,"Early (0-5)",IF(Table2[[#This Row],[TotalWorkingYears]]&lt;=15,"Mid (6-15)","Senior (16+)"))</f>
        <v>Mid (6-15)</v>
      </c>
      <c r="AC1400">
        <v>2</v>
      </c>
      <c r="AD1400">
        <v>3</v>
      </c>
      <c r="AE1400" t="s">
        <v>62</v>
      </c>
      <c r="AF1400">
        <v>7</v>
      </c>
      <c r="AG1400">
        <v>2</v>
      </c>
      <c r="AH1400">
        <v>8</v>
      </c>
    </row>
    <row r="1401" spans="1:34" x14ac:dyDescent="0.3">
      <c r="A1401" t="s">
        <v>57</v>
      </c>
      <c r="B1401">
        <v>0</v>
      </c>
      <c r="C1401" t="s">
        <v>32</v>
      </c>
      <c r="D1401">
        <v>574</v>
      </c>
      <c r="E1401" t="s">
        <v>40</v>
      </c>
      <c r="F1401">
        <v>11</v>
      </c>
      <c r="G1401" t="str">
        <f>IF(Table2[[#This Row],[DistanceFromHome]]&lt;=5, "short", IF(Table2[[#This Row],[DistanceFromHome]]&lt;=15, "medium", "long"))</f>
        <v>medium</v>
      </c>
      <c r="H1401">
        <v>3</v>
      </c>
      <c r="I1401" t="s">
        <v>34</v>
      </c>
      <c r="J1401">
        <v>1971</v>
      </c>
      <c r="K1401">
        <v>1</v>
      </c>
      <c r="L1401" t="s">
        <v>41</v>
      </c>
      <c r="M1401">
        <v>30</v>
      </c>
      <c r="N1401">
        <v>3</v>
      </c>
      <c r="O1401">
        <v>3</v>
      </c>
      <c r="P1401" t="s">
        <v>49</v>
      </c>
      <c r="Q1401">
        <v>3</v>
      </c>
      <c r="R1401" t="s">
        <v>43</v>
      </c>
      <c r="S1401">
        <v>7510</v>
      </c>
      <c r="T1401">
        <v>16873</v>
      </c>
      <c r="U1401">
        <v>1</v>
      </c>
      <c r="V1401" t="s">
        <v>38</v>
      </c>
      <c r="W1401">
        <v>17</v>
      </c>
      <c r="X1401">
        <v>3</v>
      </c>
      <c r="Y1401">
        <v>2</v>
      </c>
      <c r="Z1401">
        <v>1</v>
      </c>
      <c r="AA1401">
        <v>10</v>
      </c>
      <c r="AB1401" t="str">
        <f>IF(Table2[[#This Row],[TotalWorkingYears]]&lt;=5,"Early (0-5)",IF(Table2[[#This Row],[TotalWorkingYears]]&lt;=15,"Mid (6-15)","Senior (16+)"))</f>
        <v>Mid (6-15)</v>
      </c>
      <c r="AC1401">
        <v>1</v>
      </c>
      <c r="AD1401">
        <v>3</v>
      </c>
      <c r="AE1401" t="s">
        <v>62</v>
      </c>
      <c r="AF1401">
        <v>9</v>
      </c>
      <c r="AG1401">
        <v>0</v>
      </c>
      <c r="AH1401">
        <v>9</v>
      </c>
    </row>
    <row r="1402" spans="1:34" x14ac:dyDescent="0.3">
      <c r="A1402" t="s">
        <v>57</v>
      </c>
      <c r="B1402">
        <v>0</v>
      </c>
      <c r="C1402" t="s">
        <v>39</v>
      </c>
      <c r="D1402">
        <v>1444</v>
      </c>
      <c r="E1402" t="s">
        <v>56</v>
      </c>
      <c r="F1402">
        <v>1</v>
      </c>
      <c r="G1402" t="str">
        <f>IF(Table2[[#This Row],[DistanceFromHome]]&lt;=5, "short", IF(Table2[[#This Row],[DistanceFromHome]]&lt;=15, "medium", "long"))</f>
        <v>short</v>
      </c>
      <c r="H1402">
        <v>4</v>
      </c>
      <c r="I1402" t="s">
        <v>44</v>
      </c>
      <c r="J1402">
        <v>1972</v>
      </c>
      <c r="K1402">
        <v>4</v>
      </c>
      <c r="L1402" t="s">
        <v>41</v>
      </c>
      <c r="M1402">
        <v>88</v>
      </c>
      <c r="N1402">
        <v>3</v>
      </c>
      <c r="O1402">
        <v>1</v>
      </c>
      <c r="P1402" t="s">
        <v>56</v>
      </c>
      <c r="Q1402">
        <v>2</v>
      </c>
      <c r="R1402" t="s">
        <v>43</v>
      </c>
      <c r="S1402">
        <v>2991</v>
      </c>
      <c r="T1402">
        <v>5224</v>
      </c>
      <c r="U1402">
        <v>0</v>
      </c>
      <c r="V1402" t="s">
        <v>31</v>
      </c>
      <c r="W1402">
        <v>11</v>
      </c>
      <c r="X1402">
        <v>3</v>
      </c>
      <c r="Y1402">
        <v>2</v>
      </c>
      <c r="Z1402">
        <v>1</v>
      </c>
      <c r="AA1402">
        <v>7</v>
      </c>
      <c r="AB1402" t="str">
        <f>IF(Table2[[#This Row],[TotalWorkingYears]]&lt;=5,"Early (0-5)",IF(Table2[[#This Row],[TotalWorkingYears]]&lt;=15,"Mid (6-15)","Senior (16+)"))</f>
        <v>Mid (6-15)</v>
      </c>
      <c r="AC1402">
        <v>2</v>
      </c>
      <c r="AD1402">
        <v>3</v>
      </c>
      <c r="AE1402" t="s">
        <v>62</v>
      </c>
      <c r="AF1402">
        <v>2</v>
      </c>
      <c r="AG1402">
        <v>1</v>
      </c>
      <c r="AH1402">
        <v>2</v>
      </c>
    </row>
    <row r="1403" spans="1:34" x14ac:dyDescent="0.3">
      <c r="A1403" t="s">
        <v>58</v>
      </c>
      <c r="B1403">
        <v>0</v>
      </c>
      <c r="C1403" t="s">
        <v>32</v>
      </c>
      <c r="D1403">
        <v>189</v>
      </c>
      <c r="E1403" t="s">
        <v>56</v>
      </c>
      <c r="F1403">
        <v>26</v>
      </c>
      <c r="G1403" t="str">
        <f>IF(Table2[[#This Row],[DistanceFromHome]]&lt;=5, "short", IF(Table2[[#This Row],[DistanceFromHome]]&lt;=15, "medium", "long"))</f>
        <v>long</v>
      </c>
      <c r="H1403">
        <v>4</v>
      </c>
      <c r="I1403" t="s">
        <v>56</v>
      </c>
      <c r="J1403">
        <v>1973</v>
      </c>
      <c r="K1403">
        <v>3</v>
      </c>
      <c r="L1403" t="s">
        <v>41</v>
      </c>
      <c r="M1403">
        <v>71</v>
      </c>
      <c r="N1403">
        <v>4</v>
      </c>
      <c r="O1403">
        <v>5</v>
      </c>
      <c r="P1403" t="s">
        <v>51</v>
      </c>
      <c r="Q1403">
        <v>2</v>
      </c>
      <c r="R1403" t="s">
        <v>43</v>
      </c>
      <c r="S1403">
        <v>19636</v>
      </c>
      <c r="T1403">
        <v>25811</v>
      </c>
      <c r="U1403">
        <v>4</v>
      </c>
      <c r="V1403" t="s">
        <v>31</v>
      </c>
      <c r="W1403">
        <v>18</v>
      </c>
      <c r="X1403">
        <v>3</v>
      </c>
      <c r="Y1403">
        <v>1</v>
      </c>
      <c r="Z1403">
        <v>1</v>
      </c>
      <c r="AA1403">
        <v>35</v>
      </c>
      <c r="AB1403" t="str">
        <f>IF(Table2[[#This Row],[TotalWorkingYears]]&lt;=5,"Early (0-5)",IF(Table2[[#This Row],[TotalWorkingYears]]&lt;=15,"Mid (6-15)","Senior (16+)"))</f>
        <v>Senior (16+)</v>
      </c>
      <c r="AC1403">
        <v>0</v>
      </c>
      <c r="AD1403">
        <v>3</v>
      </c>
      <c r="AE1403" t="s">
        <v>62</v>
      </c>
      <c r="AF1403">
        <v>9</v>
      </c>
      <c r="AG1403">
        <v>1</v>
      </c>
      <c r="AH1403">
        <v>4</v>
      </c>
    </row>
    <row r="1404" spans="1:34" x14ac:dyDescent="0.3">
      <c r="A1404" t="s">
        <v>59</v>
      </c>
      <c r="B1404">
        <v>0</v>
      </c>
      <c r="C1404" t="s">
        <v>32</v>
      </c>
      <c r="D1404">
        <v>1276</v>
      </c>
      <c r="E1404" t="s">
        <v>40</v>
      </c>
      <c r="F1404">
        <v>2</v>
      </c>
      <c r="G1404" t="str">
        <f>IF(Table2[[#This Row],[DistanceFromHome]]&lt;=5, "short", IF(Table2[[#This Row],[DistanceFromHome]]&lt;=15, "medium", "long"))</f>
        <v>short</v>
      </c>
      <c r="H1404">
        <v>1</v>
      </c>
      <c r="I1404" t="s">
        <v>46</v>
      </c>
      <c r="J1404">
        <v>1974</v>
      </c>
      <c r="K1404">
        <v>4</v>
      </c>
      <c r="L1404" t="s">
        <v>35</v>
      </c>
      <c r="M1404">
        <v>59</v>
      </c>
      <c r="N1404">
        <v>1</v>
      </c>
      <c r="O1404">
        <v>1</v>
      </c>
      <c r="P1404" t="s">
        <v>45</v>
      </c>
      <c r="Q1404">
        <v>4</v>
      </c>
      <c r="R1404" t="s">
        <v>47</v>
      </c>
      <c r="S1404">
        <v>1129</v>
      </c>
      <c r="T1404">
        <v>17536</v>
      </c>
      <c r="U1404">
        <v>1</v>
      </c>
      <c r="V1404" t="s">
        <v>31</v>
      </c>
      <c r="W1404">
        <v>11</v>
      </c>
      <c r="X1404">
        <v>3</v>
      </c>
      <c r="Y1404">
        <v>3</v>
      </c>
      <c r="Z1404">
        <v>3</v>
      </c>
      <c r="AA1404">
        <v>1</v>
      </c>
      <c r="AB1404" t="str">
        <f>IF(Table2[[#This Row],[TotalWorkingYears]]&lt;=5,"Early (0-5)",IF(Table2[[#This Row],[TotalWorkingYears]]&lt;=15,"Mid (6-15)","Senior (16+)"))</f>
        <v>Early (0-5)</v>
      </c>
      <c r="AC1404">
        <v>4</v>
      </c>
      <c r="AD1404">
        <v>3</v>
      </c>
      <c r="AE1404" t="s">
        <v>63</v>
      </c>
      <c r="AF1404">
        <v>0</v>
      </c>
      <c r="AG1404">
        <v>0</v>
      </c>
      <c r="AH1404">
        <v>0</v>
      </c>
    </row>
    <row r="1405" spans="1:34" x14ac:dyDescent="0.3">
      <c r="A1405" t="s">
        <v>57</v>
      </c>
      <c r="B1405">
        <v>0</v>
      </c>
      <c r="C1405" t="s">
        <v>32</v>
      </c>
      <c r="D1405">
        <v>119</v>
      </c>
      <c r="E1405" t="s">
        <v>33</v>
      </c>
      <c r="F1405">
        <v>15</v>
      </c>
      <c r="G1405" t="str">
        <f>IF(Table2[[#This Row],[DistanceFromHome]]&lt;=5, "short", IF(Table2[[#This Row],[DistanceFromHome]]&lt;=15, "medium", "long"))</f>
        <v>medium</v>
      </c>
      <c r="H1405">
        <v>4</v>
      </c>
      <c r="I1405" t="s">
        <v>54</v>
      </c>
      <c r="J1405">
        <v>1975</v>
      </c>
      <c r="K1405">
        <v>2</v>
      </c>
      <c r="L1405" t="s">
        <v>41</v>
      </c>
      <c r="M1405">
        <v>77</v>
      </c>
      <c r="N1405">
        <v>3</v>
      </c>
      <c r="O1405">
        <v>4</v>
      </c>
      <c r="P1405" t="s">
        <v>36</v>
      </c>
      <c r="Q1405">
        <v>1</v>
      </c>
      <c r="R1405" t="s">
        <v>37</v>
      </c>
      <c r="S1405">
        <v>13341</v>
      </c>
      <c r="T1405">
        <v>25098</v>
      </c>
      <c r="U1405">
        <v>0</v>
      </c>
      <c r="V1405" t="s">
        <v>38</v>
      </c>
      <c r="W1405">
        <v>12</v>
      </c>
      <c r="X1405">
        <v>3</v>
      </c>
      <c r="Y1405">
        <v>1</v>
      </c>
      <c r="Z1405">
        <v>0</v>
      </c>
      <c r="AA1405">
        <v>21</v>
      </c>
      <c r="AB1405" t="str">
        <f>IF(Table2[[#This Row],[TotalWorkingYears]]&lt;=5,"Early (0-5)",IF(Table2[[#This Row],[TotalWorkingYears]]&lt;=15,"Mid (6-15)","Senior (16+)"))</f>
        <v>Senior (16+)</v>
      </c>
      <c r="AC1405">
        <v>3</v>
      </c>
      <c r="AD1405">
        <v>3</v>
      </c>
      <c r="AE1405" t="s">
        <v>65</v>
      </c>
      <c r="AF1405">
        <v>8</v>
      </c>
      <c r="AG1405">
        <v>11</v>
      </c>
      <c r="AH1405">
        <v>10</v>
      </c>
    </row>
    <row r="1406" spans="1:34" x14ac:dyDescent="0.3">
      <c r="A1406" t="s">
        <v>57</v>
      </c>
      <c r="B1406">
        <v>0</v>
      </c>
      <c r="C1406" t="s">
        <v>50</v>
      </c>
      <c r="D1406">
        <v>335</v>
      </c>
      <c r="E1406" t="s">
        <v>40</v>
      </c>
      <c r="F1406">
        <v>23</v>
      </c>
      <c r="G1406" t="str">
        <f>IF(Table2[[#This Row],[DistanceFromHome]]&lt;=5, "short", IF(Table2[[#This Row],[DistanceFromHome]]&lt;=15, "medium", "long"))</f>
        <v>long</v>
      </c>
      <c r="H1406">
        <v>2</v>
      </c>
      <c r="I1406" t="s">
        <v>34</v>
      </c>
      <c r="J1406">
        <v>1976</v>
      </c>
      <c r="K1406">
        <v>4</v>
      </c>
      <c r="L1406" t="s">
        <v>41</v>
      </c>
      <c r="M1406">
        <v>37</v>
      </c>
      <c r="N1406">
        <v>2</v>
      </c>
      <c r="O1406">
        <v>2</v>
      </c>
      <c r="P1406" t="s">
        <v>42</v>
      </c>
      <c r="Q1406">
        <v>3</v>
      </c>
      <c r="R1406" t="s">
        <v>37</v>
      </c>
      <c r="S1406">
        <v>4332</v>
      </c>
      <c r="T1406">
        <v>14811</v>
      </c>
      <c r="U1406">
        <v>1</v>
      </c>
      <c r="V1406" t="s">
        <v>38</v>
      </c>
      <c r="W1406">
        <v>12</v>
      </c>
      <c r="X1406">
        <v>3</v>
      </c>
      <c r="Y1406">
        <v>4</v>
      </c>
      <c r="Z1406">
        <v>0</v>
      </c>
      <c r="AA1406">
        <v>20</v>
      </c>
      <c r="AB1406" t="str">
        <f>IF(Table2[[#This Row],[TotalWorkingYears]]&lt;=5,"Early (0-5)",IF(Table2[[#This Row],[TotalWorkingYears]]&lt;=15,"Mid (6-15)","Senior (16+)"))</f>
        <v>Senior (16+)</v>
      </c>
      <c r="AC1406">
        <v>2</v>
      </c>
      <c r="AD1406">
        <v>3</v>
      </c>
      <c r="AE1406" t="s">
        <v>65</v>
      </c>
      <c r="AF1406">
        <v>9</v>
      </c>
      <c r="AG1406">
        <v>3</v>
      </c>
      <c r="AH1406">
        <v>7</v>
      </c>
    </row>
    <row r="1407" spans="1:34" x14ac:dyDescent="0.3">
      <c r="A1407" t="s">
        <v>59</v>
      </c>
      <c r="B1407">
        <v>0</v>
      </c>
      <c r="C1407" t="s">
        <v>50</v>
      </c>
      <c r="D1407">
        <v>697</v>
      </c>
      <c r="E1407" t="s">
        <v>40</v>
      </c>
      <c r="F1407">
        <v>10</v>
      </c>
      <c r="G1407" t="str">
        <f>IF(Table2[[#This Row],[DistanceFromHome]]&lt;=5, "short", IF(Table2[[#This Row],[DistanceFromHome]]&lt;=15, "medium", "long"))</f>
        <v>medium</v>
      </c>
      <c r="H1407">
        <v>3</v>
      </c>
      <c r="I1407" t="s">
        <v>46</v>
      </c>
      <c r="J1407">
        <v>1979</v>
      </c>
      <c r="K1407">
        <v>3</v>
      </c>
      <c r="L1407" t="s">
        <v>35</v>
      </c>
      <c r="M1407">
        <v>40</v>
      </c>
      <c r="N1407">
        <v>3</v>
      </c>
      <c r="O1407">
        <v>3</v>
      </c>
      <c r="P1407" t="s">
        <v>53</v>
      </c>
      <c r="Q1407">
        <v>3</v>
      </c>
      <c r="R1407" t="s">
        <v>43</v>
      </c>
      <c r="S1407">
        <v>11031</v>
      </c>
      <c r="T1407">
        <v>26862</v>
      </c>
      <c r="U1407">
        <v>4</v>
      </c>
      <c r="V1407" t="s">
        <v>38</v>
      </c>
      <c r="W1407">
        <v>20</v>
      </c>
      <c r="X1407">
        <v>4</v>
      </c>
      <c r="Y1407">
        <v>3</v>
      </c>
      <c r="Z1407">
        <v>1</v>
      </c>
      <c r="AA1407">
        <v>13</v>
      </c>
      <c r="AB1407" t="str">
        <f>IF(Table2[[#This Row],[TotalWorkingYears]]&lt;=5,"Early (0-5)",IF(Table2[[#This Row],[TotalWorkingYears]]&lt;=15,"Mid (6-15)","Senior (16+)"))</f>
        <v>Mid (6-15)</v>
      </c>
      <c r="AC1407">
        <v>2</v>
      </c>
      <c r="AD1407">
        <v>4</v>
      </c>
      <c r="AE1407" t="s">
        <v>65</v>
      </c>
      <c r="AF1407">
        <v>7</v>
      </c>
      <c r="AG1407">
        <v>4</v>
      </c>
      <c r="AH1407">
        <v>8</v>
      </c>
    </row>
    <row r="1408" spans="1:34" x14ac:dyDescent="0.3">
      <c r="A1408" t="s">
        <v>58</v>
      </c>
      <c r="B1408">
        <v>0</v>
      </c>
      <c r="C1408" t="s">
        <v>32</v>
      </c>
      <c r="D1408">
        <v>157</v>
      </c>
      <c r="E1408" t="s">
        <v>40</v>
      </c>
      <c r="F1408">
        <v>10</v>
      </c>
      <c r="G1408" t="str">
        <f>IF(Table2[[#This Row],[DistanceFromHome]]&lt;=5, "short", IF(Table2[[#This Row],[DistanceFromHome]]&lt;=15, "medium", "long"))</f>
        <v>medium</v>
      </c>
      <c r="H1408">
        <v>3</v>
      </c>
      <c r="I1408" t="s">
        <v>46</v>
      </c>
      <c r="J1408">
        <v>1980</v>
      </c>
      <c r="K1408">
        <v>3</v>
      </c>
      <c r="L1408" t="s">
        <v>35</v>
      </c>
      <c r="M1408">
        <v>77</v>
      </c>
      <c r="N1408">
        <v>3</v>
      </c>
      <c r="O1408">
        <v>2</v>
      </c>
      <c r="P1408" t="s">
        <v>48</v>
      </c>
      <c r="Q1408">
        <v>1</v>
      </c>
      <c r="R1408" t="s">
        <v>37</v>
      </c>
      <c r="S1408">
        <v>4440</v>
      </c>
      <c r="T1408">
        <v>25198</v>
      </c>
      <c r="U1408">
        <v>6</v>
      </c>
      <c r="V1408" t="s">
        <v>31</v>
      </c>
      <c r="W1408">
        <v>19</v>
      </c>
      <c r="X1408">
        <v>3</v>
      </c>
      <c r="Y1408">
        <v>4</v>
      </c>
      <c r="Z1408">
        <v>0</v>
      </c>
      <c r="AA1408">
        <v>9</v>
      </c>
      <c r="AB1408" t="str">
        <f>IF(Table2[[#This Row],[TotalWorkingYears]]&lt;=5,"Early (0-5)",IF(Table2[[#This Row],[TotalWorkingYears]]&lt;=15,"Mid (6-15)","Senior (16+)"))</f>
        <v>Mid (6-15)</v>
      </c>
      <c r="AC1408">
        <v>3</v>
      </c>
      <c r="AD1408">
        <v>3</v>
      </c>
      <c r="AE1408" t="s">
        <v>64</v>
      </c>
      <c r="AF1408">
        <v>2</v>
      </c>
      <c r="AG1408">
        <v>1</v>
      </c>
      <c r="AH1408">
        <v>4</v>
      </c>
    </row>
    <row r="1409" spans="1:34" x14ac:dyDescent="0.3">
      <c r="A1409" t="s">
        <v>60</v>
      </c>
      <c r="B1409">
        <v>0</v>
      </c>
      <c r="C1409" t="s">
        <v>32</v>
      </c>
      <c r="D1409">
        <v>771</v>
      </c>
      <c r="E1409" t="s">
        <v>40</v>
      </c>
      <c r="F1409">
        <v>1</v>
      </c>
      <c r="G1409" t="str">
        <f>IF(Table2[[#This Row],[DistanceFromHome]]&lt;=5, "short", IF(Table2[[#This Row],[DistanceFromHome]]&lt;=15, "medium", "long"))</f>
        <v>short</v>
      </c>
      <c r="H1409">
        <v>2</v>
      </c>
      <c r="I1409" t="s">
        <v>34</v>
      </c>
      <c r="J1409">
        <v>1981</v>
      </c>
      <c r="K1409">
        <v>2</v>
      </c>
      <c r="L1409" t="s">
        <v>41</v>
      </c>
      <c r="M1409">
        <v>45</v>
      </c>
      <c r="N1409">
        <v>2</v>
      </c>
      <c r="O1409">
        <v>2</v>
      </c>
      <c r="P1409" t="s">
        <v>49</v>
      </c>
      <c r="Q1409">
        <v>3</v>
      </c>
      <c r="R1409" t="s">
        <v>37</v>
      </c>
      <c r="S1409">
        <v>4617</v>
      </c>
      <c r="T1409">
        <v>14120</v>
      </c>
      <c r="U1409">
        <v>1</v>
      </c>
      <c r="V1409" t="s">
        <v>38</v>
      </c>
      <c r="W1409">
        <v>12</v>
      </c>
      <c r="X1409">
        <v>3</v>
      </c>
      <c r="Y1409">
        <v>2</v>
      </c>
      <c r="Z1409">
        <v>0</v>
      </c>
      <c r="AA1409">
        <v>4</v>
      </c>
      <c r="AB1409" t="str">
        <f>IF(Table2[[#This Row],[TotalWorkingYears]]&lt;=5,"Early (0-5)",IF(Table2[[#This Row],[TotalWorkingYears]]&lt;=15,"Mid (6-15)","Senior (16+)"))</f>
        <v>Early (0-5)</v>
      </c>
      <c r="AC1409">
        <v>2</v>
      </c>
      <c r="AD1409">
        <v>2</v>
      </c>
      <c r="AE1409" t="s">
        <v>64</v>
      </c>
      <c r="AF1409">
        <v>3</v>
      </c>
      <c r="AG1409">
        <v>1</v>
      </c>
      <c r="AH1409">
        <v>2</v>
      </c>
    </row>
    <row r="1410" spans="1:34" x14ac:dyDescent="0.3">
      <c r="A1410" t="s">
        <v>60</v>
      </c>
      <c r="B1410">
        <v>0</v>
      </c>
      <c r="C1410" t="s">
        <v>32</v>
      </c>
      <c r="D1410">
        <v>571</v>
      </c>
      <c r="E1410" t="s">
        <v>40</v>
      </c>
      <c r="F1410">
        <v>12</v>
      </c>
      <c r="G1410" t="str">
        <f>IF(Table2[[#This Row],[DistanceFromHome]]&lt;=5, "short", IF(Table2[[#This Row],[DistanceFromHome]]&lt;=15, "medium", "long"))</f>
        <v>medium</v>
      </c>
      <c r="H1410">
        <v>2</v>
      </c>
      <c r="I1410" t="s">
        <v>44</v>
      </c>
      <c r="J1410">
        <v>1982</v>
      </c>
      <c r="K1410">
        <v>4</v>
      </c>
      <c r="L1410" t="s">
        <v>41</v>
      </c>
      <c r="M1410">
        <v>78</v>
      </c>
      <c r="N1410">
        <v>3</v>
      </c>
      <c r="O1410">
        <v>1</v>
      </c>
      <c r="P1410" t="s">
        <v>45</v>
      </c>
      <c r="Q1410">
        <v>4</v>
      </c>
      <c r="R1410" t="s">
        <v>37</v>
      </c>
      <c r="S1410">
        <v>2647</v>
      </c>
      <c r="T1410">
        <v>13672</v>
      </c>
      <c r="U1410">
        <v>1</v>
      </c>
      <c r="V1410" t="s">
        <v>38</v>
      </c>
      <c r="W1410">
        <v>13</v>
      </c>
      <c r="X1410">
        <v>3</v>
      </c>
      <c r="Y1410">
        <v>3</v>
      </c>
      <c r="Z1410">
        <v>0</v>
      </c>
      <c r="AA1410">
        <v>5</v>
      </c>
      <c r="AB1410" t="str">
        <f>IF(Table2[[#This Row],[TotalWorkingYears]]&lt;=5,"Early (0-5)",IF(Table2[[#This Row],[TotalWorkingYears]]&lt;=15,"Mid (6-15)","Senior (16+)"))</f>
        <v>Early (0-5)</v>
      </c>
      <c r="AC1410">
        <v>6</v>
      </c>
      <c r="AD1410">
        <v>4</v>
      </c>
      <c r="AE1410" t="s">
        <v>64</v>
      </c>
      <c r="AF1410">
        <v>2</v>
      </c>
      <c r="AG1410">
        <v>1</v>
      </c>
      <c r="AH1410">
        <v>4</v>
      </c>
    </row>
    <row r="1411" spans="1:34" x14ac:dyDescent="0.3">
      <c r="A1411" t="s">
        <v>57</v>
      </c>
      <c r="B1411">
        <v>0</v>
      </c>
      <c r="C1411" t="s">
        <v>39</v>
      </c>
      <c r="D1411">
        <v>692</v>
      </c>
      <c r="E1411" t="s">
        <v>40</v>
      </c>
      <c r="F1411">
        <v>11</v>
      </c>
      <c r="G1411" t="str">
        <f>IF(Table2[[#This Row],[DistanceFromHome]]&lt;=5, "short", IF(Table2[[#This Row],[DistanceFromHome]]&lt;=15, "medium", "long"))</f>
        <v>medium</v>
      </c>
      <c r="H1411">
        <v>3</v>
      </c>
      <c r="I1411" t="s">
        <v>55</v>
      </c>
      <c r="J1411">
        <v>1985</v>
      </c>
      <c r="K1411">
        <v>4</v>
      </c>
      <c r="L1411" t="s">
        <v>35</v>
      </c>
      <c r="M1411">
        <v>73</v>
      </c>
      <c r="N1411">
        <v>3</v>
      </c>
      <c r="O1411">
        <v>2</v>
      </c>
      <c r="P1411" t="s">
        <v>45</v>
      </c>
      <c r="Q1411">
        <v>3</v>
      </c>
      <c r="R1411" t="s">
        <v>43</v>
      </c>
      <c r="S1411">
        <v>6323</v>
      </c>
      <c r="T1411">
        <v>26849</v>
      </c>
      <c r="U1411">
        <v>1</v>
      </c>
      <c r="V1411" t="s">
        <v>38</v>
      </c>
      <c r="W1411">
        <v>11</v>
      </c>
      <c r="X1411">
        <v>3</v>
      </c>
      <c r="Y1411">
        <v>1</v>
      </c>
      <c r="Z1411">
        <v>1</v>
      </c>
      <c r="AA1411">
        <v>10</v>
      </c>
      <c r="AB1411" t="str">
        <f>IF(Table2[[#This Row],[TotalWorkingYears]]&lt;=5,"Early (0-5)",IF(Table2[[#This Row],[TotalWorkingYears]]&lt;=15,"Mid (6-15)","Senior (16+)"))</f>
        <v>Mid (6-15)</v>
      </c>
      <c r="AC1411">
        <v>2</v>
      </c>
      <c r="AD1411">
        <v>4</v>
      </c>
      <c r="AE1411" t="s">
        <v>62</v>
      </c>
      <c r="AF1411">
        <v>9</v>
      </c>
      <c r="AG1411">
        <v>9</v>
      </c>
      <c r="AH1411">
        <v>4</v>
      </c>
    </row>
    <row r="1412" spans="1:34" x14ac:dyDescent="0.3">
      <c r="A1412" t="s">
        <v>57</v>
      </c>
      <c r="B1412">
        <v>0</v>
      </c>
      <c r="C1412" t="s">
        <v>32</v>
      </c>
      <c r="D1412">
        <v>444</v>
      </c>
      <c r="E1412" t="s">
        <v>33</v>
      </c>
      <c r="F1412">
        <v>2</v>
      </c>
      <c r="G1412" t="str">
        <f>IF(Table2[[#This Row],[DistanceFromHome]]&lt;=5, "short", IF(Table2[[#This Row],[DistanceFromHome]]&lt;=15, "medium", "long"))</f>
        <v>short</v>
      </c>
      <c r="H1412">
        <v>2</v>
      </c>
      <c r="I1412" t="s">
        <v>54</v>
      </c>
      <c r="J1412">
        <v>1986</v>
      </c>
      <c r="K1412">
        <v>2</v>
      </c>
      <c r="L1412" t="s">
        <v>35</v>
      </c>
      <c r="M1412">
        <v>92</v>
      </c>
      <c r="N1412">
        <v>3</v>
      </c>
      <c r="O1412">
        <v>2</v>
      </c>
      <c r="P1412" t="s">
        <v>36</v>
      </c>
      <c r="Q1412">
        <v>2</v>
      </c>
      <c r="R1412" t="s">
        <v>43</v>
      </c>
      <c r="S1412">
        <v>5677</v>
      </c>
      <c r="T1412">
        <v>4258</v>
      </c>
      <c r="U1412">
        <v>3</v>
      </c>
      <c r="V1412" t="s">
        <v>38</v>
      </c>
      <c r="W1412">
        <v>14</v>
      </c>
      <c r="X1412">
        <v>3</v>
      </c>
      <c r="Y1412">
        <v>3</v>
      </c>
      <c r="Z1412">
        <v>1</v>
      </c>
      <c r="AA1412">
        <v>15</v>
      </c>
      <c r="AB1412" t="str">
        <f>IF(Table2[[#This Row],[TotalWorkingYears]]&lt;=5,"Early (0-5)",IF(Table2[[#This Row],[TotalWorkingYears]]&lt;=15,"Mid (6-15)","Senior (16+)"))</f>
        <v>Mid (6-15)</v>
      </c>
      <c r="AC1412">
        <v>4</v>
      </c>
      <c r="AD1412">
        <v>3</v>
      </c>
      <c r="AE1412" t="s">
        <v>65</v>
      </c>
      <c r="AF1412">
        <v>8</v>
      </c>
      <c r="AG1412">
        <v>5</v>
      </c>
      <c r="AH1412">
        <v>10</v>
      </c>
    </row>
    <row r="1413" spans="1:34" x14ac:dyDescent="0.3">
      <c r="A1413" t="s">
        <v>60</v>
      </c>
      <c r="B1413">
        <v>0</v>
      </c>
      <c r="C1413" t="s">
        <v>32</v>
      </c>
      <c r="D1413">
        <v>309</v>
      </c>
      <c r="E1413" t="s">
        <v>56</v>
      </c>
      <c r="F1413">
        <v>2</v>
      </c>
      <c r="G1413" t="str">
        <f>IF(Table2[[#This Row],[DistanceFromHome]]&lt;=5, "short", IF(Table2[[#This Row],[DistanceFromHome]]&lt;=15, "medium", "long"))</f>
        <v>short</v>
      </c>
      <c r="H1413">
        <v>3</v>
      </c>
      <c r="I1413" t="s">
        <v>56</v>
      </c>
      <c r="J1413">
        <v>1987</v>
      </c>
      <c r="K1413">
        <v>3</v>
      </c>
      <c r="L1413" t="s">
        <v>35</v>
      </c>
      <c r="M1413">
        <v>82</v>
      </c>
      <c r="N1413">
        <v>3</v>
      </c>
      <c r="O1413">
        <v>1</v>
      </c>
      <c r="P1413" t="s">
        <v>56</v>
      </c>
      <c r="Q1413">
        <v>2</v>
      </c>
      <c r="R1413" t="s">
        <v>43</v>
      </c>
      <c r="S1413">
        <v>2187</v>
      </c>
      <c r="T1413">
        <v>19655</v>
      </c>
      <c r="U1413">
        <v>4</v>
      </c>
      <c r="V1413" t="s">
        <v>38</v>
      </c>
      <c r="W1413">
        <v>14</v>
      </c>
      <c r="X1413">
        <v>3</v>
      </c>
      <c r="Y1413">
        <v>3</v>
      </c>
      <c r="Z1413">
        <v>0</v>
      </c>
      <c r="AA1413">
        <v>6</v>
      </c>
      <c r="AB1413" t="str">
        <f>IF(Table2[[#This Row],[TotalWorkingYears]]&lt;=5,"Early (0-5)",IF(Table2[[#This Row],[TotalWorkingYears]]&lt;=15,"Mid (6-15)","Senior (16+)"))</f>
        <v>Mid (6-15)</v>
      </c>
      <c r="AC1413">
        <v>3</v>
      </c>
      <c r="AD1413">
        <v>3</v>
      </c>
      <c r="AE1413" t="s">
        <v>63</v>
      </c>
      <c r="AF1413">
        <v>0</v>
      </c>
      <c r="AG1413">
        <v>1</v>
      </c>
      <c r="AH1413">
        <v>2</v>
      </c>
    </row>
    <row r="1414" spans="1:34" x14ac:dyDescent="0.3">
      <c r="A1414" t="s">
        <v>59</v>
      </c>
      <c r="B1414">
        <v>0</v>
      </c>
      <c r="C1414" t="s">
        <v>32</v>
      </c>
      <c r="D1414">
        <v>911</v>
      </c>
      <c r="E1414" t="s">
        <v>40</v>
      </c>
      <c r="F1414">
        <v>1</v>
      </c>
      <c r="G1414" t="str">
        <f>IF(Table2[[#This Row],[DistanceFromHome]]&lt;=5, "short", IF(Table2[[#This Row],[DistanceFromHome]]&lt;=15, "medium", "long"))</f>
        <v>short</v>
      </c>
      <c r="H1414">
        <v>2</v>
      </c>
      <c r="I1414" t="s">
        <v>46</v>
      </c>
      <c r="J1414">
        <v>1989</v>
      </c>
      <c r="K1414">
        <v>4</v>
      </c>
      <c r="L1414" t="s">
        <v>41</v>
      </c>
      <c r="M1414">
        <v>76</v>
      </c>
      <c r="N1414">
        <v>3</v>
      </c>
      <c r="O1414">
        <v>1</v>
      </c>
      <c r="P1414" t="s">
        <v>45</v>
      </c>
      <c r="Q1414">
        <v>2</v>
      </c>
      <c r="R1414" t="s">
        <v>43</v>
      </c>
      <c r="S1414">
        <v>3748</v>
      </c>
      <c r="T1414">
        <v>4077</v>
      </c>
      <c r="U1414">
        <v>1</v>
      </c>
      <c r="V1414" t="s">
        <v>38</v>
      </c>
      <c r="W1414">
        <v>13</v>
      </c>
      <c r="X1414">
        <v>3</v>
      </c>
      <c r="Y1414">
        <v>3</v>
      </c>
      <c r="Z1414">
        <v>0</v>
      </c>
      <c r="AA1414">
        <v>12</v>
      </c>
      <c r="AB1414" t="str">
        <f>IF(Table2[[#This Row],[TotalWorkingYears]]&lt;=5,"Early (0-5)",IF(Table2[[#This Row],[TotalWorkingYears]]&lt;=15,"Mid (6-15)","Senior (16+)"))</f>
        <v>Mid (6-15)</v>
      </c>
      <c r="AC1414">
        <v>6</v>
      </c>
      <c r="AD1414">
        <v>2</v>
      </c>
      <c r="AE1414" t="s">
        <v>65</v>
      </c>
      <c r="AF1414">
        <v>8</v>
      </c>
      <c r="AG1414">
        <v>1</v>
      </c>
      <c r="AH1414">
        <v>7</v>
      </c>
    </row>
    <row r="1415" spans="1:34" x14ac:dyDescent="0.3">
      <c r="A1415" t="s">
        <v>60</v>
      </c>
      <c r="B1415">
        <v>0</v>
      </c>
      <c r="C1415" t="s">
        <v>32</v>
      </c>
      <c r="D1415">
        <v>977</v>
      </c>
      <c r="E1415" t="s">
        <v>40</v>
      </c>
      <c r="F1415">
        <v>2</v>
      </c>
      <c r="G1415" t="str">
        <f>IF(Table2[[#This Row],[DistanceFromHome]]&lt;=5, "short", IF(Table2[[#This Row],[DistanceFromHome]]&lt;=15, "medium", "long"))</f>
        <v>short</v>
      </c>
      <c r="H1415">
        <v>1</v>
      </c>
      <c r="I1415" t="s">
        <v>44</v>
      </c>
      <c r="J1415">
        <v>1992</v>
      </c>
      <c r="K1415">
        <v>4</v>
      </c>
      <c r="L1415" t="s">
        <v>41</v>
      </c>
      <c r="M1415">
        <v>57</v>
      </c>
      <c r="N1415">
        <v>3</v>
      </c>
      <c r="O1415">
        <v>1</v>
      </c>
      <c r="P1415" t="s">
        <v>45</v>
      </c>
      <c r="Q1415">
        <v>3</v>
      </c>
      <c r="R1415" t="s">
        <v>47</v>
      </c>
      <c r="S1415">
        <v>3977</v>
      </c>
      <c r="T1415">
        <v>7298</v>
      </c>
      <c r="U1415">
        <v>6</v>
      </c>
      <c r="V1415" t="s">
        <v>31</v>
      </c>
      <c r="W1415">
        <v>19</v>
      </c>
      <c r="X1415">
        <v>3</v>
      </c>
      <c r="Y1415">
        <v>3</v>
      </c>
      <c r="Z1415">
        <v>1</v>
      </c>
      <c r="AA1415">
        <v>7</v>
      </c>
      <c r="AB1415" t="str">
        <f>IF(Table2[[#This Row],[TotalWorkingYears]]&lt;=5,"Early (0-5)",IF(Table2[[#This Row],[TotalWorkingYears]]&lt;=15,"Mid (6-15)","Senior (16+)"))</f>
        <v>Mid (6-15)</v>
      </c>
      <c r="AC1415">
        <v>2</v>
      </c>
      <c r="AD1415">
        <v>2</v>
      </c>
      <c r="AE1415" t="s">
        <v>63</v>
      </c>
      <c r="AF1415">
        <v>2</v>
      </c>
      <c r="AG1415">
        <v>0</v>
      </c>
      <c r="AH1415">
        <v>2</v>
      </c>
    </row>
    <row r="1416" spans="1:34" x14ac:dyDescent="0.3">
      <c r="A1416" t="s">
        <v>58</v>
      </c>
      <c r="B1416">
        <v>0</v>
      </c>
      <c r="C1416" t="s">
        <v>32</v>
      </c>
      <c r="D1416">
        <v>1180</v>
      </c>
      <c r="E1416" t="s">
        <v>40</v>
      </c>
      <c r="F1416">
        <v>25</v>
      </c>
      <c r="G1416" t="str">
        <f>IF(Table2[[#This Row],[DistanceFromHome]]&lt;=5, "short", IF(Table2[[#This Row],[DistanceFromHome]]&lt;=15, "medium", "long"))</f>
        <v>long</v>
      </c>
      <c r="H1416">
        <v>3</v>
      </c>
      <c r="I1416" t="s">
        <v>46</v>
      </c>
      <c r="J1416">
        <v>1993</v>
      </c>
      <c r="K1416">
        <v>1</v>
      </c>
      <c r="L1416" t="s">
        <v>41</v>
      </c>
      <c r="M1416">
        <v>84</v>
      </c>
      <c r="N1416">
        <v>3</v>
      </c>
      <c r="O1416">
        <v>3</v>
      </c>
      <c r="P1416" t="s">
        <v>49</v>
      </c>
      <c r="Q1416">
        <v>3</v>
      </c>
      <c r="R1416" t="s">
        <v>37</v>
      </c>
      <c r="S1416">
        <v>8633</v>
      </c>
      <c r="T1416">
        <v>13084</v>
      </c>
      <c r="U1416">
        <v>2</v>
      </c>
      <c r="V1416" t="s">
        <v>38</v>
      </c>
      <c r="W1416">
        <v>23</v>
      </c>
      <c r="X1416">
        <v>4</v>
      </c>
      <c r="Y1416">
        <v>2</v>
      </c>
      <c r="Z1416">
        <v>0</v>
      </c>
      <c r="AA1416">
        <v>25</v>
      </c>
      <c r="AB1416" t="str">
        <f>IF(Table2[[#This Row],[TotalWorkingYears]]&lt;=5,"Early (0-5)",IF(Table2[[#This Row],[TotalWorkingYears]]&lt;=15,"Mid (6-15)","Senior (16+)"))</f>
        <v>Senior (16+)</v>
      </c>
      <c r="AC1416">
        <v>3</v>
      </c>
      <c r="AD1416">
        <v>3</v>
      </c>
      <c r="AE1416" t="s">
        <v>65</v>
      </c>
      <c r="AF1416">
        <v>14</v>
      </c>
      <c r="AG1416">
        <v>12</v>
      </c>
      <c r="AH1416">
        <v>11</v>
      </c>
    </row>
    <row r="1417" spans="1:34" x14ac:dyDescent="0.3">
      <c r="A1417" t="s">
        <v>59</v>
      </c>
      <c r="B1417">
        <v>0</v>
      </c>
      <c r="C1417" t="s">
        <v>50</v>
      </c>
      <c r="D1417">
        <v>1313</v>
      </c>
      <c r="E1417" t="s">
        <v>40</v>
      </c>
      <c r="F1417">
        <v>1</v>
      </c>
      <c r="G1417" t="str">
        <f>IF(Table2[[#This Row],[DistanceFromHome]]&lt;=5, "short", IF(Table2[[#This Row],[DistanceFromHome]]&lt;=15, "medium", "long"))</f>
        <v>short</v>
      </c>
      <c r="H1417">
        <v>2</v>
      </c>
      <c r="I1417" t="s">
        <v>46</v>
      </c>
      <c r="J1417">
        <v>1994</v>
      </c>
      <c r="K1417">
        <v>2</v>
      </c>
      <c r="L1417" t="s">
        <v>41</v>
      </c>
      <c r="M1417">
        <v>59</v>
      </c>
      <c r="N1417">
        <v>2</v>
      </c>
      <c r="O1417">
        <v>1</v>
      </c>
      <c r="P1417" t="s">
        <v>45</v>
      </c>
      <c r="Q1417">
        <v>3</v>
      </c>
      <c r="R1417" t="s">
        <v>47</v>
      </c>
      <c r="S1417">
        <v>2008</v>
      </c>
      <c r="T1417">
        <v>20439</v>
      </c>
      <c r="U1417">
        <v>1</v>
      </c>
      <c r="V1417" t="s">
        <v>38</v>
      </c>
      <c r="W1417">
        <v>12</v>
      </c>
      <c r="X1417">
        <v>3</v>
      </c>
      <c r="Y1417">
        <v>3</v>
      </c>
      <c r="Z1417">
        <v>3</v>
      </c>
      <c r="AA1417">
        <v>1</v>
      </c>
      <c r="AB1417" t="str">
        <f>IF(Table2[[#This Row],[TotalWorkingYears]]&lt;=5,"Early (0-5)",IF(Table2[[#This Row],[TotalWorkingYears]]&lt;=15,"Mid (6-15)","Senior (16+)"))</f>
        <v>Early (0-5)</v>
      </c>
      <c r="AC1417">
        <v>2</v>
      </c>
      <c r="AD1417">
        <v>2</v>
      </c>
      <c r="AE1417" t="s">
        <v>63</v>
      </c>
      <c r="AF1417">
        <v>1</v>
      </c>
      <c r="AG1417">
        <v>0</v>
      </c>
      <c r="AH1417">
        <v>0</v>
      </c>
    </row>
    <row r="1418" spans="1:34" x14ac:dyDescent="0.3">
      <c r="A1418" t="s">
        <v>57</v>
      </c>
      <c r="B1418">
        <v>0</v>
      </c>
      <c r="C1418" t="s">
        <v>32</v>
      </c>
      <c r="D1418">
        <v>1321</v>
      </c>
      <c r="E1418" t="s">
        <v>33</v>
      </c>
      <c r="F1418">
        <v>1</v>
      </c>
      <c r="G1418" t="str">
        <f>IF(Table2[[#This Row],[DistanceFromHome]]&lt;=5, "short", IF(Table2[[#This Row],[DistanceFromHome]]&lt;=15, "medium", "long"))</f>
        <v>short</v>
      </c>
      <c r="H1418">
        <v>4</v>
      </c>
      <c r="I1418" t="s">
        <v>34</v>
      </c>
      <c r="J1418">
        <v>1995</v>
      </c>
      <c r="K1418">
        <v>4</v>
      </c>
      <c r="L1418" t="s">
        <v>41</v>
      </c>
      <c r="M1418">
        <v>86</v>
      </c>
      <c r="N1418">
        <v>3</v>
      </c>
      <c r="O1418">
        <v>2</v>
      </c>
      <c r="P1418" t="s">
        <v>36</v>
      </c>
      <c r="Q1418">
        <v>2</v>
      </c>
      <c r="R1418" t="s">
        <v>43</v>
      </c>
      <c r="S1418">
        <v>4440</v>
      </c>
      <c r="T1418">
        <v>7636</v>
      </c>
      <c r="U1418">
        <v>0</v>
      </c>
      <c r="V1418" t="s">
        <v>38</v>
      </c>
      <c r="W1418">
        <v>15</v>
      </c>
      <c r="X1418">
        <v>3</v>
      </c>
      <c r="Y1418">
        <v>1</v>
      </c>
      <c r="Z1418">
        <v>2</v>
      </c>
      <c r="AA1418">
        <v>16</v>
      </c>
      <c r="AB1418" t="str">
        <f>IF(Table2[[#This Row],[TotalWorkingYears]]&lt;=5,"Early (0-5)",IF(Table2[[#This Row],[TotalWorkingYears]]&lt;=15,"Mid (6-15)","Senior (16+)"))</f>
        <v>Senior (16+)</v>
      </c>
      <c r="AC1418">
        <v>3</v>
      </c>
      <c r="AD1418">
        <v>3</v>
      </c>
      <c r="AE1418" t="s">
        <v>65</v>
      </c>
      <c r="AF1418">
        <v>13</v>
      </c>
      <c r="AG1418">
        <v>5</v>
      </c>
      <c r="AH1418">
        <v>8</v>
      </c>
    </row>
    <row r="1419" spans="1:34" x14ac:dyDescent="0.3">
      <c r="A1419" t="s">
        <v>59</v>
      </c>
      <c r="B1419">
        <v>0</v>
      </c>
      <c r="C1419" t="s">
        <v>32</v>
      </c>
      <c r="D1419">
        <v>1154</v>
      </c>
      <c r="E1419" t="s">
        <v>33</v>
      </c>
      <c r="F1419">
        <v>2</v>
      </c>
      <c r="G1419" t="str">
        <f>IF(Table2[[#This Row],[DistanceFromHome]]&lt;=5, "short", IF(Table2[[#This Row],[DistanceFromHome]]&lt;=15, "medium", "long"))</f>
        <v>short</v>
      </c>
      <c r="H1419">
        <v>2</v>
      </c>
      <c r="I1419" t="s">
        <v>34</v>
      </c>
      <c r="J1419">
        <v>1996</v>
      </c>
      <c r="K1419">
        <v>1</v>
      </c>
      <c r="L1419" t="s">
        <v>41</v>
      </c>
      <c r="M1419">
        <v>54</v>
      </c>
      <c r="N1419">
        <v>3</v>
      </c>
      <c r="O1419">
        <v>1</v>
      </c>
      <c r="P1419" t="s">
        <v>52</v>
      </c>
      <c r="Q1419">
        <v>3</v>
      </c>
      <c r="R1419" t="s">
        <v>43</v>
      </c>
      <c r="S1419">
        <v>3067</v>
      </c>
      <c r="T1419">
        <v>6393</v>
      </c>
      <c r="U1419">
        <v>0</v>
      </c>
      <c r="V1419" t="s">
        <v>38</v>
      </c>
      <c r="W1419">
        <v>19</v>
      </c>
      <c r="X1419">
        <v>3</v>
      </c>
      <c r="Y1419">
        <v>3</v>
      </c>
      <c r="Z1419">
        <v>1</v>
      </c>
      <c r="AA1419">
        <v>3</v>
      </c>
      <c r="AB1419" t="str">
        <f>IF(Table2[[#This Row],[TotalWorkingYears]]&lt;=5,"Early (0-5)",IF(Table2[[#This Row],[TotalWorkingYears]]&lt;=15,"Mid (6-15)","Senior (16+)"))</f>
        <v>Early (0-5)</v>
      </c>
      <c r="AC1419">
        <v>1</v>
      </c>
      <c r="AD1419">
        <v>3</v>
      </c>
      <c r="AE1419" t="s">
        <v>63</v>
      </c>
      <c r="AF1419">
        <v>2</v>
      </c>
      <c r="AG1419">
        <v>1</v>
      </c>
      <c r="AH1419">
        <v>2</v>
      </c>
    </row>
    <row r="1420" spans="1:34" x14ac:dyDescent="0.3">
      <c r="A1420" t="s">
        <v>57</v>
      </c>
      <c r="B1420">
        <v>0</v>
      </c>
      <c r="C1420" t="s">
        <v>39</v>
      </c>
      <c r="D1420">
        <v>508</v>
      </c>
      <c r="E1420" t="s">
        <v>40</v>
      </c>
      <c r="F1420">
        <v>6</v>
      </c>
      <c r="G1420" t="str">
        <f>IF(Table2[[#This Row],[DistanceFromHome]]&lt;=5, "short", IF(Table2[[#This Row],[DistanceFromHome]]&lt;=15, "medium", "long"))</f>
        <v>medium</v>
      </c>
      <c r="H1420">
        <v>4</v>
      </c>
      <c r="I1420" t="s">
        <v>34</v>
      </c>
      <c r="J1420">
        <v>1997</v>
      </c>
      <c r="K1420">
        <v>1</v>
      </c>
      <c r="L1420" t="s">
        <v>41</v>
      </c>
      <c r="M1420">
        <v>72</v>
      </c>
      <c r="N1420">
        <v>2</v>
      </c>
      <c r="O1420">
        <v>2</v>
      </c>
      <c r="P1420" t="s">
        <v>48</v>
      </c>
      <c r="Q1420">
        <v>3</v>
      </c>
      <c r="R1420" t="s">
        <v>43</v>
      </c>
      <c r="S1420">
        <v>5321</v>
      </c>
      <c r="T1420">
        <v>14284</v>
      </c>
      <c r="U1420">
        <v>2</v>
      </c>
      <c r="V1420" t="s">
        <v>38</v>
      </c>
      <c r="W1420">
        <v>11</v>
      </c>
      <c r="X1420">
        <v>3</v>
      </c>
      <c r="Y1420">
        <v>4</v>
      </c>
      <c r="Z1420">
        <v>1</v>
      </c>
      <c r="AA1420">
        <v>10</v>
      </c>
      <c r="AB1420" t="str">
        <f>IF(Table2[[#This Row],[TotalWorkingYears]]&lt;=5,"Early (0-5)",IF(Table2[[#This Row],[TotalWorkingYears]]&lt;=15,"Mid (6-15)","Senior (16+)"))</f>
        <v>Mid (6-15)</v>
      </c>
      <c r="AC1420">
        <v>1</v>
      </c>
      <c r="AD1420">
        <v>3</v>
      </c>
      <c r="AE1420" t="s">
        <v>62</v>
      </c>
      <c r="AF1420">
        <v>3</v>
      </c>
      <c r="AG1420">
        <v>7</v>
      </c>
      <c r="AH1420">
        <v>7</v>
      </c>
    </row>
    <row r="1421" spans="1:34" x14ac:dyDescent="0.3">
      <c r="A1421" t="s">
        <v>57</v>
      </c>
      <c r="B1421">
        <v>0</v>
      </c>
      <c r="C1421" t="s">
        <v>32</v>
      </c>
      <c r="D1421">
        <v>557</v>
      </c>
      <c r="E1421" t="s">
        <v>40</v>
      </c>
      <c r="F1421">
        <v>18</v>
      </c>
      <c r="G1421" t="str">
        <f>IF(Table2[[#This Row],[DistanceFromHome]]&lt;=5, "short", IF(Table2[[#This Row],[DistanceFromHome]]&lt;=15, "medium", "long"))</f>
        <v>long</v>
      </c>
      <c r="H1421">
        <v>4</v>
      </c>
      <c r="I1421" t="s">
        <v>34</v>
      </c>
      <c r="J1421">
        <v>1998</v>
      </c>
      <c r="K1421">
        <v>4</v>
      </c>
      <c r="L1421" t="s">
        <v>41</v>
      </c>
      <c r="M1421">
        <v>35</v>
      </c>
      <c r="N1421">
        <v>3</v>
      </c>
      <c r="O1421">
        <v>2</v>
      </c>
      <c r="P1421" t="s">
        <v>42</v>
      </c>
      <c r="Q1421">
        <v>1</v>
      </c>
      <c r="R1421" t="s">
        <v>47</v>
      </c>
      <c r="S1421">
        <v>5410</v>
      </c>
      <c r="T1421">
        <v>11189</v>
      </c>
      <c r="U1421">
        <v>6</v>
      </c>
      <c r="V1421" t="s">
        <v>31</v>
      </c>
      <c r="W1421">
        <v>17</v>
      </c>
      <c r="X1421">
        <v>3</v>
      </c>
      <c r="Y1421">
        <v>3</v>
      </c>
      <c r="Z1421">
        <v>1</v>
      </c>
      <c r="AA1421">
        <v>9</v>
      </c>
      <c r="AB1421" t="str">
        <f>IF(Table2[[#This Row],[TotalWorkingYears]]&lt;=5,"Early (0-5)",IF(Table2[[#This Row],[TotalWorkingYears]]&lt;=15,"Mid (6-15)","Senior (16+)"))</f>
        <v>Mid (6-15)</v>
      </c>
      <c r="AC1421">
        <v>3</v>
      </c>
      <c r="AD1421">
        <v>2</v>
      </c>
      <c r="AE1421" t="s">
        <v>64</v>
      </c>
      <c r="AF1421">
        <v>3</v>
      </c>
      <c r="AG1421">
        <v>1</v>
      </c>
      <c r="AH1421">
        <v>2</v>
      </c>
    </row>
    <row r="1422" spans="1:34" x14ac:dyDescent="0.3">
      <c r="A1422" t="s">
        <v>57</v>
      </c>
      <c r="B1422">
        <v>0</v>
      </c>
      <c r="C1422" t="s">
        <v>32</v>
      </c>
      <c r="D1422">
        <v>642</v>
      </c>
      <c r="E1422" t="s">
        <v>40</v>
      </c>
      <c r="F1422">
        <v>1</v>
      </c>
      <c r="G1422" t="str">
        <f>IF(Table2[[#This Row],[DistanceFromHome]]&lt;=5, "short", IF(Table2[[#This Row],[DistanceFromHome]]&lt;=15, "medium", "long"))</f>
        <v>short</v>
      </c>
      <c r="H1422">
        <v>3</v>
      </c>
      <c r="I1422" t="s">
        <v>34</v>
      </c>
      <c r="J1422">
        <v>1999</v>
      </c>
      <c r="K1422">
        <v>4</v>
      </c>
      <c r="L1422" t="s">
        <v>41</v>
      </c>
      <c r="M1422">
        <v>76</v>
      </c>
      <c r="N1422">
        <v>3</v>
      </c>
      <c r="O1422">
        <v>1</v>
      </c>
      <c r="P1422" t="s">
        <v>42</v>
      </c>
      <c r="Q1422">
        <v>4</v>
      </c>
      <c r="R1422" t="s">
        <v>43</v>
      </c>
      <c r="S1422">
        <v>2782</v>
      </c>
      <c r="T1422">
        <v>21412</v>
      </c>
      <c r="U1422">
        <v>3</v>
      </c>
      <c r="V1422" t="s">
        <v>38</v>
      </c>
      <c r="W1422">
        <v>22</v>
      </c>
      <c r="X1422">
        <v>4</v>
      </c>
      <c r="Y1422">
        <v>1</v>
      </c>
      <c r="Z1422">
        <v>1</v>
      </c>
      <c r="AA1422">
        <v>12</v>
      </c>
      <c r="AB1422" t="str">
        <f>IF(Table2[[#This Row],[TotalWorkingYears]]&lt;=5,"Early (0-5)",IF(Table2[[#This Row],[TotalWorkingYears]]&lt;=15,"Mid (6-15)","Senior (16+)"))</f>
        <v>Mid (6-15)</v>
      </c>
      <c r="AC1422">
        <v>3</v>
      </c>
      <c r="AD1422">
        <v>3</v>
      </c>
      <c r="AE1422" t="s">
        <v>64</v>
      </c>
      <c r="AF1422">
        <v>3</v>
      </c>
      <c r="AG1422">
        <v>1</v>
      </c>
      <c r="AH1422">
        <v>0</v>
      </c>
    </row>
    <row r="1423" spans="1:34" x14ac:dyDescent="0.3">
      <c r="A1423" t="s">
        <v>58</v>
      </c>
      <c r="B1423">
        <v>0</v>
      </c>
      <c r="C1423" t="s">
        <v>50</v>
      </c>
      <c r="D1423">
        <v>1162</v>
      </c>
      <c r="E1423" t="s">
        <v>40</v>
      </c>
      <c r="F1423">
        <v>1</v>
      </c>
      <c r="G1423" t="str">
        <f>IF(Table2[[#This Row],[DistanceFromHome]]&lt;=5, "short", IF(Table2[[#This Row],[DistanceFromHome]]&lt;=15, "medium", "long"))</f>
        <v>short</v>
      </c>
      <c r="H1423">
        <v>1</v>
      </c>
      <c r="I1423" t="s">
        <v>46</v>
      </c>
      <c r="J1423">
        <v>2000</v>
      </c>
      <c r="K1423">
        <v>3</v>
      </c>
      <c r="L1423" t="s">
        <v>35</v>
      </c>
      <c r="M1423">
        <v>98</v>
      </c>
      <c r="N1423">
        <v>3</v>
      </c>
      <c r="O1423">
        <v>3</v>
      </c>
      <c r="P1423" t="s">
        <v>53</v>
      </c>
      <c r="Q1423">
        <v>2</v>
      </c>
      <c r="R1423" t="s">
        <v>43</v>
      </c>
      <c r="S1423">
        <v>11957</v>
      </c>
      <c r="T1423">
        <v>17231</v>
      </c>
      <c r="U1423">
        <v>0</v>
      </c>
      <c r="V1423" t="s">
        <v>38</v>
      </c>
      <c r="W1423">
        <v>18</v>
      </c>
      <c r="X1423">
        <v>3</v>
      </c>
      <c r="Y1423">
        <v>1</v>
      </c>
      <c r="Z1423">
        <v>2</v>
      </c>
      <c r="AA1423">
        <v>14</v>
      </c>
      <c r="AB1423" t="str">
        <f>IF(Table2[[#This Row],[TotalWorkingYears]]&lt;=5,"Early (0-5)",IF(Table2[[#This Row],[TotalWorkingYears]]&lt;=15,"Mid (6-15)","Senior (16+)"))</f>
        <v>Mid (6-15)</v>
      </c>
      <c r="AC1423">
        <v>3</v>
      </c>
      <c r="AD1423">
        <v>1</v>
      </c>
      <c r="AE1423" t="s">
        <v>65</v>
      </c>
      <c r="AF1423">
        <v>8</v>
      </c>
      <c r="AG1423">
        <v>5</v>
      </c>
      <c r="AH1423">
        <v>12</v>
      </c>
    </row>
    <row r="1424" spans="1:34" x14ac:dyDescent="0.3">
      <c r="A1424" t="s">
        <v>59</v>
      </c>
      <c r="B1424">
        <v>0</v>
      </c>
      <c r="C1424" t="s">
        <v>32</v>
      </c>
      <c r="D1424">
        <v>1490</v>
      </c>
      <c r="E1424" t="s">
        <v>40</v>
      </c>
      <c r="F1424">
        <v>11</v>
      </c>
      <c r="G1424" t="str">
        <f>IF(Table2[[#This Row],[DistanceFromHome]]&lt;=5, "short", IF(Table2[[#This Row],[DistanceFromHome]]&lt;=15, "medium", "long"))</f>
        <v>medium</v>
      </c>
      <c r="H1424">
        <v>4</v>
      </c>
      <c r="I1424" t="s">
        <v>46</v>
      </c>
      <c r="J1424">
        <v>2003</v>
      </c>
      <c r="K1424">
        <v>4</v>
      </c>
      <c r="L1424" t="s">
        <v>41</v>
      </c>
      <c r="M1424">
        <v>43</v>
      </c>
      <c r="N1424">
        <v>3</v>
      </c>
      <c r="O1424">
        <v>1</v>
      </c>
      <c r="P1424" t="s">
        <v>45</v>
      </c>
      <c r="Q1424">
        <v>3</v>
      </c>
      <c r="R1424" t="s">
        <v>43</v>
      </c>
      <c r="S1424">
        <v>2660</v>
      </c>
      <c r="T1424">
        <v>20232</v>
      </c>
      <c r="U1424">
        <v>7</v>
      </c>
      <c r="V1424" t="s">
        <v>31</v>
      </c>
      <c r="W1424">
        <v>11</v>
      </c>
      <c r="X1424">
        <v>3</v>
      </c>
      <c r="Y1424">
        <v>3</v>
      </c>
      <c r="Z1424">
        <v>1</v>
      </c>
      <c r="AA1424">
        <v>5</v>
      </c>
      <c r="AB1424" t="str">
        <f>IF(Table2[[#This Row],[TotalWorkingYears]]&lt;=5,"Early (0-5)",IF(Table2[[#This Row],[TotalWorkingYears]]&lt;=15,"Mid (6-15)","Senior (16+)"))</f>
        <v>Early (0-5)</v>
      </c>
      <c r="AC1424">
        <v>3</v>
      </c>
      <c r="AD1424">
        <v>3</v>
      </c>
      <c r="AE1424" t="s">
        <v>63</v>
      </c>
      <c r="AF1424">
        <v>2</v>
      </c>
      <c r="AG1424">
        <v>2</v>
      </c>
      <c r="AH1424">
        <v>2</v>
      </c>
    </row>
    <row r="1425" spans="1:34" x14ac:dyDescent="0.3">
      <c r="A1425" t="s">
        <v>60</v>
      </c>
      <c r="B1425">
        <v>0</v>
      </c>
      <c r="C1425" t="s">
        <v>32</v>
      </c>
      <c r="D1425">
        <v>581</v>
      </c>
      <c r="E1425" t="s">
        <v>40</v>
      </c>
      <c r="F1425">
        <v>1</v>
      </c>
      <c r="G1425" t="str">
        <f>IF(Table2[[#This Row],[DistanceFromHome]]&lt;=5, "short", IF(Table2[[#This Row],[DistanceFromHome]]&lt;=15, "medium", "long"))</f>
        <v>short</v>
      </c>
      <c r="H1425">
        <v>2</v>
      </c>
      <c r="I1425" t="s">
        <v>34</v>
      </c>
      <c r="J1425">
        <v>2007</v>
      </c>
      <c r="K1425">
        <v>4</v>
      </c>
      <c r="L1425" t="s">
        <v>41</v>
      </c>
      <c r="M1425">
        <v>63</v>
      </c>
      <c r="N1425">
        <v>3</v>
      </c>
      <c r="O1425">
        <v>1</v>
      </c>
      <c r="P1425" t="s">
        <v>42</v>
      </c>
      <c r="Q1425">
        <v>3</v>
      </c>
      <c r="R1425" t="s">
        <v>37</v>
      </c>
      <c r="S1425">
        <v>3375</v>
      </c>
      <c r="T1425">
        <v>17624</v>
      </c>
      <c r="U1425">
        <v>0</v>
      </c>
      <c r="V1425" t="s">
        <v>38</v>
      </c>
      <c r="W1425">
        <v>12</v>
      </c>
      <c r="X1425">
        <v>3</v>
      </c>
      <c r="Y1425">
        <v>4</v>
      </c>
      <c r="Z1425">
        <v>0</v>
      </c>
      <c r="AA1425">
        <v>4</v>
      </c>
      <c r="AB1425" t="str">
        <f>IF(Table2[[#This Row],[TotalWorkingYears]]&lt;=5,"Early (0-5)",IF(Table2[[#This Row],[TotalWorkingYears]]&lt;=15,"Mid (6-15)","Senior (16+)"))</f>
        <v>Early (0-5)</v>
      </c>
      <c r="AC1425">
        <v>2</v>
      </c>
      <c r="AD1425">
        <v>4</v>
      </c>
      <c r="AE1425" t="s">
        <v>64</v>
      </c>
      <c r="AF1425">
        <v>2</v>
      </c>
      <c r="AG1425">
        <v>1</v>
      </c>
      <c r="AH1425">
        <v>2</v>
      </c>
    </row>
    <row r="1426" spans="1:34" x14ac:dyDescent="0.3">
      <c r="A1426" t="s">
        <v>59</v>
      </c>
      <c r="B1426">
        <v>0</v>
      </c>
      <c r="C1426" t="s">
        <v>32</v>
      </c>
      <c r="D1426">
        <v>1395</v>
      </c>
      <c r="E1426" t="s">
        <v>40</v>
      </c>
      <c r="F1426">
        <v>9</v>
      </c>
      <c r="G1426" t="str">
        <f>IF(Table2[[#This Row],[DistanceFromHome]]&lt;=5, "short", IF(Table2[[#This Row],[DistanceFromHome]]&lt;=15, "medium", "long"))</f>
        <v>medium</v>
      </c>
      <c r="H1426">
        <v>4</v>
      </c>
      <c r="I1426" t="s">
        <v>46</v>
      </c>
      <c r="J1426">
        <v>2008</v>
      </c>
      <c r="K1426">
        <v>2</v>
      </c>
      <c r="L1426" t="s">
        <v>41</v>
      </c>
      <c r="M1426">
        <v>48</v>
      </c>
      <c r="N1426">
        <v>3</v>
      </c>
      <c r="O1426">
        <v>2</v>
      </c>
      <c r="P1426" t="s">
        <v>42</v>
      </c>
      <c r="Q1426">
        <v>3</v>
      </c>
      <c r="R1426" t="s">
        <v>37</v>
      </c>
      <c r="S1426">
        <v>5098</v>
      </c>
      <c r="T1426">
        <v>18698</v>
      </c>
      <c r="U1426">
        <v>1</v>
      </c>
      <c r="V1426" t="s">
        <v>38</v>
      </c>
      <c r="W1426">
        <v>19</v>
      </c>
      <c r="X1426">
        <v>3</v>
      </c>
      <c r="Y1426">
        <v>2</v>
      </c>
      <c r="Z1426">
        <v>0</v>
      </c>
      <c r="AA1426">
        <v>10</v>
      </c>
      <c r="AB1426" t="str">
        <f>IF(Table2[[#This Row],[TotalWorkingYears]]&lt;=5,"Early (0-5)",IF(Table2[[#This Row],[TotalWorkingYears]]&lt;=15,"Mid (6-15)","Senior (16+)"))</f>
        <v>Mid (6-15)</v>
      </c>
      <c r="AC1426">
        <v>5</v>
      </c>
      <c r="AD1426">
        <v>3</v>
      </c>
      <c r="AE1426" t="s">
        <v>62</v>
      </c>
      <c r="AF1426">
        <v>7</v>
      </c>
      <c r="AG1426">
        <v>0</v>
      </c>
      <c r="AH1426">
        <v>8</v>
      </c>
    </row>
    <row r="1427" spans="1:34" x14ac:dyDescent="0.3">
      <c r="A1427" t="s">
        <v>59</v>
      </c>
      <c r="B1427">
        <v>0</v>
      </c>
      <c r="C1427" t="s">
        <v>32</v>
      </c>
      <c r="D1427">
        <v>501</v>
      </c>
      <c r="E1427" t="s">
        <v>40</v>
      </c>
      <c r="F1427">
        <v>15</v>
      </c>
      <c r="G1427" t="str">
        <f>IF(Table2[[#This Row],[DistanceFromHome]]&lt;=5, "short", IF(Table2[[#This Row],[DistanceFromHome]]&lt;=15, "medium", "long"))</f>
        <v>medium</v>
      </c>
      <c r="H1427">
        <v>2</v>
      </c>
      <c r="I1427" t="s">
        <v>46</v>
      </c>
      <c r="J1427">
        <v>2009</v>
      </c>
      <c r="K1427">
        <v>2</v>
      </c>
      <c r="L1427" t="s">
        <v>35</v>
      </c>
      <c r="M1427">
        <v>95</v>
      </c>
      <c r="N1427">
        <v>3</v>
      </c>
      <c r="O1427">
        <v>2</v>
      </c>
      <c r="P1427" t="s">
        <v>49</v>
      </c>
      <c r="Q1427">
        <v>4</v>
      </c>
      <c r="R1427" t="s">
        <v>43</v>
      </c>
      <c r="S1427">
        <v>4878</v>
      </c>
      <c r="T1427">
        <v>21653</v>
      </c>
      <c r="U1427">
        <v>0</v>
      </c>
      <c r="V1427" t="s">
        <v>31</v>
      </c>
      <c r="W1427">
        <v>13</v>
      </c>
      <c r="X1427">
        <v>3</v>
      </c>
      <c r="Y1427">
        <v>1</v>
      </c>
      <c r="Z1427">
        <v>1</v>
      </c>
      <c r="AA1427">
        <v>10</v>
      </c>
      <c r="AB1427" t="str">
        <f>IF(Table2[[#This Row],[TotalWorkingYears]]&lt;=5,"Early (0-5)",IF(Table2[[#This Row],[TotalWorkingYears]]&lt;=15,"Mid (6-15)","Senior (16+)"))</f>
        <v>Mid (6-15)</v>
      </c>
      <c r="AC1427">
        <v>6</v>
      </c>
      <c r="AD1427">
        <v>3</v>
      </c>
      <c r="AE1427" t="s">
        <v>62</v>
      </c>
      <c r="AF1427">
        <v>7</v>
      </c>
      <c r="AG1427">
        <v>8</v>
      </c>
      <c r="AH1427">
        <v>1</v>
      </c>
    </row>
    <row r="1428" spans="1:34" x14ac:dyDescent="0.3">
      <c r="A1428" t="s">
        <v>59</v>
      </c>
      <c r="B1428">
        <v>0</v>
      </c>
      <c r="C1428" t="s">
        <v>32</v>
      </c>
      <c r="D1428">
        <v>267</v>
      </c>
      <c r="E1428" t="s">
        <v>40</v>
      </c>
      <c r="F1428">
        <v>29</v>
      </c>
      <c r="G1428" t="str">
        <f>IF(Table2[[#This Row],[DistanceFromHome]]&lt;=5, "short", IF(Table2[[#This Row],[DistanceFromHome]]&lt;=15, "medium", "long"))</f>
        <v>long</v>
      </c>
      <c r="H1428">
        <v>4</v>
      </c>
      <c r="I1428" t="s">
        <v>34</v>
      </c>
      <c r="J1428">
        <v>2010</v>
      </c>
      <c r="K1428">
        <v>3</v>
      </c>
      <c r="L1428" t="s">
        <v>35</v>
      </c>
      <c r="M1428">
        <v>49</v>
      </c>
      <c r="N1428">
        <v>2</v>
      </c>
      <c r="O1428">
        <v>1</v>
      </c>
      <c r="P1428" t="s">
        <v>45</v>
      </c>
      <c r="Q1428">
        <v>2</v>
      </c>
      <c r="R1428" t="s">
        <v>37</v>
      </c>
      <c r="S1428">
        <v>2837</v>
      </c>
      <c r="T1428">
        <v>15919</v>
      </c>
      <c r="U1428">
        <v>1</v>
      </c>
      <c r="V1428" t="s">
        <v>38</v>
      </c>
      <c r="W1428">
        <v>13</v>
      </c>
      <c r="X1428">
        <v>3</v>
      </c>
      <c r="Y1428">
        <v>3</v>
      </c>
      <c r="Z1428">
        <v>0</v>
      </c>
      <c r="AA1428">
        <v>6</v>
      </c>
      <c r="AB1428" t="str">
        <f>IF(Table2[[#This Row],[TotalWorkingYears]]&lt;=5,"Early (0-5)",IF(Table2[[#This Row],[TotalWorkingYears]]&lt;=15,"Mid (6-15)","Senior (16+)"))</f>
        <v>Mid (6-15)</v>
      </c>
      <c r="AC1428">
        <v>3</v>
      </c>
      <c r="AD1428">
        <v>3</v>
      </c>
      <c r="AE1428" t="s">
        <v>62</v>
      </c>
      <c r="AF1428">
        <v>2</v>
      </c>
      <c r="AG1428">
        <v>4</v>
      </c>
      <c r="AH1428">
        <v>1</v>
      </c>
    </row>
    <row r="1429" spans="1:34" x14ac:dyDescent="0.3">
      <c r="A1429" t="s">
        <v>57</v>
      </c>
      <c r="B1429">
        <v>0</v>
      </c>
      <c r="C1429" t="s">
        <v>32</v>
      </c>
      <c r="D1429">
        <v>543</v>
      </c>
      <c r="E1429" t="s">
        <v>40</v>
      </c>
      <c r="F1429">
        <v>1</v>
      </c>
      <c r="G1429" t="str">
        <f>IF(Table2[[#This Row],[DistanceFromHome]]&lt;=5, "short", IF(Table2[[#This Row],[DistanceFromHome]]&lt;=15, "medium", "long"))</f>
        <v>short</v>
      </c>
      <c r="H1429">
        <v>4</v>
      </c>
      <c r="I1429" t="s">
        <v>34</v>
      </c>
      <c r="J1429">
        <v>2012</v>
      </c>
      <c r="K1429">
        <v>1</v>
      </c>
      <c r="L1429" t="s">
        <v>41</v>
      </c>
      <c r="M1429">
        <v>83</v>
      </c>
      <c r="N1429">
        <v>3</v>
      </c>
      <c r="O1429">
        <v>1</v>
      </c>
      <c r="P1429" t="s">
        <v>45</v>
      </c>
      <c r="Q1429">
        <v>4</v>
      </c>
      <c r="R1429" t="s">
        <v>43</v>
      </c>
      <c r="S1429">
        <v>2406</v>
      </c>
      <c r="T1429">
        <v>4060</v>
      </c>
      <c r="U1429">
        <v>8</v>
      </c>
      <c r="V1429" t="s">
        <v>38</v>
      </c>
      <c r="W1429">
        <v>19</v>
      </c>
      <c r="X1429">
        <v>3</v>
      </c>
      <c r="Y1429">
        <v>3</v>
      </c>
      <c r="Z1429">
        <v>2</v>
      </c>
      <c r="AA1429">
        <v>8</v>
      </c>
      <c r="AB1429" t="str">
        <f>IF(Table2[[#This Row],[TotalWorkingYears]]&lt;=5,"Early (0-5)",IF(Table2[[#This Row],[TotalWorkingYears]]&lt;=15,"Mid (6-15)","Senior (16+)"))</f>
        <v>Mid (6-15)</v>
      </c>
      <c r="AC1429">
        <v>3</v>
      </c>
      <c r="AD1429">
        <v>2</v>
      </c>
      <c r="AE1429" t="s">
        <v>63</v>
      </c>
      <c r="AF1429">
        <v>0</v>
      </c>
      <c r="AG1429">
        <v>0</v>
      </c>
      <c r="AH1429">
        <v>0</v>
      </c>
    </row>
    <row r="1430" spans="1:34" x14ac:dyDescent="0.3">
      <c r="A1430" t="s">
        <v>59</v>
      </c>
      <c r="B1430">
        <v>0</v>
      </c>
      <c r="C1430" t="s">
        <v>32</v>
      </c>
      <c r="D1430">
        <v>234</v>
      </c>
      <c r="E1430" t="s">
        <v>33</v>
      </c>
      <c r="F1430">
        <v>1</v>
      </c>
      <c r="G1430" t="str">
        <f>IF(Table2[[#This Row],[DistanceFromHome]]&lt;=5, "short", IF(Table2[[#This Row],[DistanceFromHome]]&lt;=15, "medium", "long"))</f>
        <v>short</v>
      </c>
      <c r="H1430">
        <v>4</v>
      </c>
      <c r="I1430" t="s">
        <v>46</v>
      </c>
      <c r="J1430">
        <v>2013</v>
      </c>
      <c r="K1430">
        <v>2</v>
      </c>
      <c r="L1430" t="s">
        <v>41</v>
      </c>
      <c r="M1430">
        <v>68</v>
      </c>
      <c r="N1430">
        <v>2</v>
      </c>
      <c r="O1430">
        <v>1</v>
      </c>
      <c r="P1430" t="s">
        <v>52</v>
      </c>
      <c r="Q1430">
        <v>2</v>
      </c>
      <c r="R1430" t="s">
        <v>43</v>
      </c>
      <c r="S1430">
        <v>2269</v>
      </c>
      <c r="T1430">
        <v>18024</v>
      </c>
      <c r="U1430">
        <v>0</v>
      </c>
      <c r="V1430" t="s">
        <v>38</v>
      </c>
      <c r="W1430">
        <v>14</v>
      </c>
      <c r="X1430">
        <v>3</v>
      </c>
      <c r="Y1430">
        <v>2</v>
      </c>
      <c r="Z1430">
        <v>1</v>
      </c>
      <c r="AA1430">
        <v>3</v>
      </c>
      <c r="AB1430" t="str">
        <f>IF(Table2[[#This Row],[TotalWorkingYears]]&lt;=5,"Early (0-5)",IF(Table2[[#This Row],[TotalWorkingYears]]&lt;=15,"Mid (6-15)","Senior (16+)"))</f>
        <v>Early (0-5)</v>
      </c>
      <c r="AC1430">
        <v>2</v>
      </c>
      <c r="AD1430">
        <v>3</v>
      </c>
      <c r="AE1430" t="s">
        <v>63</v>
      </c>
      <c r="AF1430">
        <v>2</v>
      </c>
      <c r="AG1430">
        <v>2</v>
      </c>
      <c r="AH1430">
        <v>2</v>
      </c>
    </row>
    <row r="1431" spans="1:34" x14ac:dyDescent="0.3">
      <c r="A1431" t="s">
        <v>57</v>
      </c>
      <c r="B1431">
        <v>0</v>
      </c>
      <c r="C1431" t="s">
        <v>32</v>
      </c>
      <c r="D1431">
        <v>116</v>
      </c>
      <c r="E1431" t="s">
        <v>40</v>
      </c>
      <c r="F1431">
        <v>24</v>
      </c>
      <c r="G1431" t="str">
        <f>IF(Table2[[#This Row],[DistanceFromHome]]&lt;=5, "short", IF(Table2[[#This Row],[DistanceFromHome]]&lt;=15, "medium", "long"))</f>
        <v>long</v>
      </c>
      <c r="H1431">
        <v>1</v>
      </c>
      <c r="I1431" t="s">
        <v>34</v>
      </c>
      <c r="J1431">
        <v>2014</v>
      </c>
      <c r="K1431">
        <v>1</v>
      </c>
      <c r="L1431" t="s">
        <v>41</v>
      </c>
      <c r="M1431">
        <v>52</v>
      </c>
      <c r="N1431">
        <v>3</v>
      </c>
      <c r="O1431">
        <v>2</v>
      </c>
      <c r="P1431" t="s">
        <v>42</v>
      </c>
      <c r="Q1431">
        <v>4</v>
      </c>
      <c r="R1431" t="s">
        <v>37</v>
      </c>
      <c r="S1431">
        <v>4108</v>
      </c>
      <c r="T1431">
        <v>5340</v>
      </c>
      <c r="U1431">
        <v>7</v>
      </c>
      <c r="V1431" t="s">
        <v>38</v>
      </c>
      <c r="W1431">
        <v>13</v>
      </c>
      <c r="X1431">
        <v>3</v>
      </c>
      <c r="Y1431">
        <v>1</v>
      </c>
      <c r="Z1431">
        <v>0</v>
      </c>
      <c r="AA1431">
        <v>18</v>
      </c>
      <c r="AB1431" t="str">
        <f>IF(Table2[[#This Row],[TotalWorkingYears]]&lt;=5,"Early (0-5)",IF(Table2[[#This Row],[TotalWorkingYears]]&lt;=15,"Mid (6-15)","Senior (16+)"))</f>
        <v>Senior (16+)</v>
      </c>
      <c r="AC1431">
        <v>2</v>
      </c>
      <c r="AD1431">
        <v>3</v>
      </c>
      <c r="AE1431" t="s">
        <v>62</v>
      </c>
      <c r="AF1431">
        <v>7</v>
      </c>
      <c r="AG1431">
        <v>1</v>
      </c>
      <c r="AH1431">
        <v>7</v>
      </c>
    </row>
    <row r="1432" spans="1:34" x14ac:dyDescent="0.3">
      <c r="A1432" t="s">
        <v>57</v>
      </c>
      <c r="B1432">
        <v>0</v>
      </c>
      <c r="C1432" t="s">
        <v>32</v>
      </c>
      <c r="D1432">
        <v>201</v>
      </c>
      <c r="E1432" t="s">
        <v>40</v>
      </c>
      <c r="F1432">
        <v>10</v>
      </c>
      <c r="G1432" t="str">
        <f>IF(Table2[[#This Row],[DistanceFromHome]]&lt;=5, "short", IF(Table2[[#This Row],[DistanceFromHome]]&lt;=15, "medium", "long"))</f>
        <v>medium</v>
      </c>
      <c r="H1432">
        <v>3</v>
      </c>
      <c r="I1432" t="s">
        <v>46</v>
      </c>
      <c r="J1432">
        <v>2015</v>
      </c>
      <c r="K1432">
        <v>2</v>
      </c>
      <c r="L1432" t="s">
        <v>35</v>
      </c>
      <c r="M1432">
        <v>99</v>
      </c>
      <c r="N1432">
        <v>1</v>
      </c>
      <c r="O1432">
        <v>3</v>
      </c>
      <c r="P1432" t="s">
        <v>53</v>
      </c>
      <c r="Q1432">
        <v>3</v>
      </c>
      <c r="R1432" t="s">
        <v>43</v>
      </c>
      <c r="S1432">
        <v>13206</v>
      </c>
      <c r="T1432">
        <v>3376</v>
      </c>
      <c r="U1432">
        <v>3</v>
      </c>
      <c r="V1432" t="s">
        <v>38</v>
      </c>
      <c r="W1432">
        <v>12</v>
      </c>
      <c r="X1432">
        <v>3</v>
      </c>
      <c r="Y1432">
        <v>1</v>
      </c>
      <c r="Z1432">
        <v>1</v>
      </c>
      <c r="AA1432">
        <v>20</v>
      </c>
      <c r="AB1432" t="str">
        <f>IF(Table2[[#This Row],[TotalWorkingYears]]&lt;=5,"Early (0-5)",IF(Table2[[#This Row],[TotalWorkingYears]]&lt;=15,"Mid (6-15)","Senior (16+)"))</f>
        <v>Senior (16+)</v>
      </c>
      <c r="AC1432">
        <v>3</v>
      </c>
      <c r="AD1432">
        <v>3</v>
      </c>
      <c r="AE1432" t="s">
        <v>65</v>
      </c>
      <c r="AF1432">
        <v>16</v>
      </c>
      <c r="AG1432">
        <v>1</v>
      </c>
      <c r="AH1432">
        <v>11</v>
      </c>
    </row>
    <row r="1433" spans="1:34" x14ac:dyDescent="0.3">
      <c r="A1433" t="s">
        <v>59</v>
      </c>
      <c r="B1433">
        <v>0</v>
      </c>
      <c r="C1433" t="s">
        <v>32</v>
      </c>
      <c r="D1433">
        <v>801</v>
      </c>
      <c r="E1433" t="s">
        <v>33</v>
      </c>
      <c r="F1433">
        <v>1</v>
      </c>
      <c r="G1433" t="str">
        <f>IF(Table2[[#This Row],[DistanceFromHome]]&lt;=5, "short", IF(Table2[[#This Row],[DistanceFromHome]]&lt;=15, "medium", "long"))</f>
        <v>short</v>
      </c>
      <c r="H1433">
        <v>4</v>
      </c>
      <c r="I1433" t="s">
        <v>54</v>
      </c>
      <c r="J1433">
        <v>2016</v>
      </c>
      <c r="K1433">
        <v>3</v>
      </c>
      <c r="L1433" t="s">
        <v>35</v>
      </c>
      <c r="M1433">
        <v>48</v>
      </c>
      <c r="N1433">
        <v>3</v>
      </c>
      <c r="O1433">
        <v>3</v>
      </c>
      <c r="P1433" t="s">
        <v>36</v>
      </c>
      <c r="Q1433">
        <v>4</v>
      </c>
      <c r="R1433" t="s">
        <v>43</v>
      </c>
      <c r="S1433">
        <v>10422</v>
      </c>
      <c r="T1433">
        <v>24032</v>
      </c>
      <c r="U1433">
        <v>1</v>
      </c>
      <c r="V1433" t="s">
        <v>38</v>
      </c>
      <c r="W1433">
        <v>19</v>
      </c>
      <c r="X1433">
        <v>3</v>
      </c>
      <c r="Y1433">
        <v>3</v>
      </c>
      <c r="Z1433">
        <v>2</v>
      </c>
      <c r="AA1433">
        <v>14</v>
      </c>
      <c r="AB1433" t="str">
        <f>IF(Table2[[#This Row],[TotalWorkingYears]]&lt;=5,"Early (0-5)",IF(Table2[[#This Row],[TotalWorkingYears]]&lt;=15,"Mid (6-15)","Senior (16+)"))</f>
        <v>Mid (6-15)</v>
      </c>
      <c r="AC1433">
        <v>3</v>
      </c>
      <c r="AD1433">
        <v>3</v>
      </c>
      <c r="AE1433" t="s">
        <v>65</v>
      </c>
      <c r="AF1433">
        <v>10</v>
      </c>
      <c r="AG1433">
        <v>5</v>
      </c>
      <c r="AH1433">
        <v>7</v>
      </c>
    </row>
    <row r="1434" spans="1:34" x14ac:dyDescent="0.3">
      <c r="A1434" t="s">
        <v>57</v>
      </c>
      <c r="B1434">
        <v>0</v>
      </c>
      <c r="C1434" t="s">
        <v>32</v>
      </c>
      <c r="D1434">
        <v>161</v>
      </c>
      <c r="E1434" t="s">
        <v>40</v>
      </c>
      <c r="F1434">
        <v>10</v>
      </c>
      <c r="G1434" t="str">
        <f>IF(Table2[[#This Row],[DistanceFromHome]]&lt;=5, "short", IF(Table2[[#This Row],[DistanceFromHome]]&lt;=15, "medium", "long"))</f>
        <v>medium</v>
      </c>
      <c r="H1434">
        <v>3</v>
      </c>
      <c r="I1434" t="s">
        <v>34</v>
      </c>
      <c r="J1434">
        <v>2017</v>
      </c>
      <c r="K1434">
        <v>3</v>
      </c>
      <c r="L1434" t="s">
        <v>35</v>
      </c>
      <c r="M1434">
        <v>42</v>
      </c>
      <c r="N1434">
        <v>4</v>
      </c>
      <c r="O1434">
        <v>3</v>
      </c>
      <c r="P1434" t="s">
        <v>53</v>
      </c>
      <c r="Q1434">
        <v>4</v>
      </c>
      <c r="R1434" t="s">
        <v>43</v>
      </c>
      <c r="S1434">
        <v>13744</v>
      </c>
      <c r="T1434">
        <v>15471</v>
      </c>
      <c r="U1434">
        <v>1</v>
      </c>
      <c r="V1434" t="s">
        <v>31</v>
      </c>
      <c r="W1434">
        <v>25</v>
      </c>
      <c r="X1434">
        <v>4</v>
      </c>
      <c r="Y1434">
        <v>1</v>
      </c>
      <c r="Z1434">
        <v>1</v>
      </c>
      <c r="AA1434">
        <v>16</v>
      </c>
      <c r="AB1434" t="str">
        <f>IF(Table2[[#This Row],[TotalWorkingYears]]&lt;=5,"Early (0-5)",IF(Table2[[#This Row],[TotalWorkingYears]]&lt;=15,"Mid (6-15)","Senior (16+)"))</f>
        <v>Senior (16+)</v>
      </c>
      <c r="AC1434">
        <v>2</v>
      </c>
      <c r="AD1434">
        <v>3</v>
      </c>
      <c r="AE1434" t="s">
        <v>65</v>
      </c>
      <c r="AF1434">
        <v>11</v>
      </c>
      <c r="AG1434">
        <v>6</v>
      </c>
      <c r="AH1434">
        <v>8</v>
      </c>
    </row>
    <row r="1435" spans="1:34" x14ac:dyDescent="0.3">
      <c r="A1435" t="s">
        <v>60</v>
      </c>
      <c r="B1435">
        <v>0</v>
      </c>
      <c r="C1435" t="s">
        <v>32</v>
      </c>
      <c r="D1435">
        <v>1382</v>
      </c>
      <c r="E1435" t="s">
        <v>33</v>
      </c>
      <c r="F1435">
        <v>8</v>
      </c>
      <c r="G1435" t="str">
        <f>IF(Table2[[#This Row],[DistanceFromHome]]&lt;=5, "short", IF(Table2[[#This Row],[DistanceFromHome]]&lt;=15, "medium", "long"))</f>
        <v>medium</v>
      </c>
      <c r="H1435">
        <v>2</v>
      </c>
      <c r="I1435" t="s">
        <v>44</v>
      </c>
      <c r="J1435">
        <v>2018</v>
      </c>
      <c r="K1435">
        <v>1</v>
      </c>
      <c r="L1435" t="s">
        <v>35</v>
      </c>
      <c r="M1435">
        <v>85</v>
      </c>
      <c r="N1435">
        <v>3</v>
      </c>
      <c r="O1435">
        <v>2</v>
      </c>
      <c r="P1435" t="s">
        <v>36</v>
      </c>
      <c r="Q1435">
        <v>3</v>
      </c>
      <c r="R1435" t="s">
        <v>47</v>
      </c>
      <c r="S1435">
        <v>4907</v>
      </c>
      <c r="T1435">
        <v>13684</v>
      </c>
      <c r="U1435">
        <v>0</v>
      </c>
      <c r="V1435" t="s">
        <v>31</v>
      </c>
      <c r="W1435">
        <v>22</v>
      </c>
      <c r="X1435">
        <v>4</v>
      </c>
      <c r="Y1435">
        <v>2</v>
      </c>
      <c r="Z1435">
        <v>1</v>
      </c>
      <c r="AA1435">
        <v>6</v>
      </c>
      <c r="AB1435" t="str">
        <f>IF(Table2[[#This Row],[TotalWorkingYears]]&lt;=5,"Early (0-5)",IF(Table2[[#This Row],[TotalWorkingYears]]&lt;=15,"Mid (6-15)","Senior (16+)"))</f>
        <v>Mid (6-15)</v>
      </c>
      <c r="AC1435">
        <v>3</v>
      </c>
      <c r="AD1435">
        <v>2</v>
      </c>
      <c r="AE1435" t="s">
        <v>64</v>
      </c>
      <c r="AF1435">
        <v>3</v>
      </c>
      <c r="AG1435">
        <v>0</v>
      </c>
      <c r="AH1435">
        <v>4</v>
      </c>
    </row>
    <row r="1436" spans="1:34" x14ac:dyDescent="0.3">
      <c r="A1436" t="s">
        <v>58</v>
      </c>
      <c r="B1436">
        <v>0</v>
      </c>
      <c r="C1436" t="s">
        <v>50</v>
      </c>
      <c r="D1436">
        <v>585</v>
      </c>
      <c r="E1436" t="s">
        <v>33</v>
      </c>
      <c r="F1436">
        <v>29</v>
      </c>
      <c r="G1436" t="str">
        <f>IF(Table2[[#This Row],[DistanceFromHome]]&lt;=5, "short", IF(Table2[[#This Row],[DistanceFromHome]]&lt;=15, "medium", "long"))</f>
        <v>long</v>
      </c>
      <c r="H1436">
        <v>4</v>
      </c>
      <c r="I1436" t="s">
        <v>34</v>
      </c>
      <c r="J1436">
        <v>2019</v>
      </c>
      <c r="K1436">
        <v>1</v>
      </c>
      <c r="L1436" t="s">
        <v>41</v>
      </c>
      <c r="M1436">
        <v>40</v>
      </c>
      <c r="N1436">
        <v>3</v>
      </c>
      <c r="O1436">
        <v>1</v>
      </c>
      <c r="P1436" t="s">
        <v>52</v>
      </c>
      <c r="Q1436">
        <v>4</v>
      </c>
      <c r="R1436" t="s">
        <v>47</v>
      </c>
      <c r="S1436">
        <v>3482</v>
      </c>
      <c r="T1436">
        <v>19788</v>
      </c>
      <c r="U1436">
        <v>2</v>
      </c>
      <c r="V1436" t="s">
        <v>38</v>
      </c>
      <c r="W1436">
        <v>15</v>
      </c>
      <c r="X1436">
        <v>3</v>
      </c>
      <c r="Y1436">
        <v>2</v>
      </c>
      <c r="Z1436">
        <v>2</v>
      </c>
      <c r="AA1436">
        <v>16</v>
      </c>
      <c r="AB1436" t="str">
        <f>IF(Table2[[#This Row],[TotalWorkingYears]]&lt;=5,"Early (0-5)",IF(Table2[[#This Row],[TotalWorkingYears]]&lt;=15,"Mid (6-15)","Senior (16+)"))</f>
        <v>Senior (16+)</v>
      </c>
      <c r="AC1436">
        <v>3</v>
      </c>
      <c r="AD1436">
        <v>2</v>
      </c>
      <c r="AE1436" t="s">
        <v>62</v>
      </c>
      <c r="AF1436">
        <v>8</v>
      </c>
      <c r="AG1436">
        <v>0</v>
      </c>
      <c r="AH1436">
        <v>0</v>
      </c>
    </row>
    <row r="1437" spans="1:34" x14ac:dyDescent="0.3">
      <c r="A1437" t="s">
        <v>57</v>
      </c>
      <c r="B1437">
        <v>0</v>
      </c>
      <c r="C1437" t="s">
        <v>32</v>
      </c>
      <c r="D1437">
        <v>1037</v>
      </c>
      <c r="E1437" t="s">
        <v>40</v>
      </c>
      <c r="F1437">
        <v>1</v>
      </c>
      <c r="G1437" t="str">
        <f>IF(Table2[[#This Row],[DistanceFromHome]]&lt;=5, "short", IF(Table2[[#This Row],[DistanceFromHome]]&lt;=15, "medium", "long"))</f>
        <v>short</v>
      </c>
      <c r="H1437">
        <v>3</v>
      </c>
      <c r="I1437" t="s">
        <v>46</v>
      </c>
      <c r="J1437">
        <v>2020</v>
      </c>
      <c r="K1437">
        <v>2</v>
      </c>
      <c r="L1437" t="s">
        <v>41</v>
      </c>
      <c r="M1437">
        <v>42</v>
      </c>
      <c r="N1437">
        <v>3</v>
      </c>
      <c r="O1437">
        <v>1</v>
      </c>
      <c r="P1437" t="s">
        <v>42</v>
      </c>
      <c r="Q1437">
        <v>4</v>
      </c>
      <c r="R1437" t="s">
        <v>37</v>
      </c>
      <c r="S1437">
        <v>2436</v>
      </c>
      <c r="T1437">
        <v>13422</v>
      </c>
      <c r="U1437">
        <v>6</v>
      </c>
      <c r="V1437" t="s">
        <v>31</v>
      </c>
      <c r="W1437">
        <v>12</v>
      </c>
      <c r="X1437">
        <v>3</v>
      </c>
      <c r="Y1437">
        <v>3</v>
      </c>
      <c r="Z1437">
        <v>0</v>
      </c>
      <c r="AA1437">
        <v>6</v>
      </c>
      <c r="AB1437" t="str">
        <f>IF(Table2[[#This Row],[TotalWorkingYears]]&lt;=5,"Early (0-5)",IF(Table2[[#This Row],[TotalWorkingYears]]&lt;=15,"Mid (6-15)","Senior (16+)"))</f>
        <v>Mid (6-15)</v>
      </c>
      <c r="AC1437">
        <v>2</v>
      </c>
      <c r="AD1437">
        <v>3</v>
      </c>
      <c r="AE1437" t="s">
        <v>64</v>
      </c>
      <c r="AF1437">
        <v>3</v>
      </c>
      <c r="AG1437">
        <v>1</v>
      </c>
      <c r="AH1437">
        <v>2</v>
      </c>
    </row>
    <row r="1438" spans="1:34" x14ac:dyDescent="0.3">
      <c r="A1438" t="s">
        <v>60</v>
      </c>
      <c r="B1438">
        <v>0</v>
      </c>
      <c r="C1438" t="s">
        <v>32</v>
      </c>
      <c r="D1438">
        <v>501</v>
      </c>
      <c r="E1438" t="s">
        <v>33</v>
      </c>
      <c r="F1438">
        <v>5</v>
      </c>
      <c r="G1438" t="str">
        <f>IF(Table2[[#This Row],[DistanceFromHome]]&lt;=5, "short", IF(Table2[[#This Row],[DistanceFromHome]]&lt;=15, "medium", "long"))</f>
        <v>short</v>
      </c>
      <c r="H1438">
        <v>1</v>
      </c>
      <c r="I1438" t="s">
        <v>46</v>
      </c>
      <c r="J1438">
        <v>2021</v>
      </c>
      <c r="K1438">
        <v>3</v>
      </c>
      <c r="L1438" t="s">
        <v>41</v>
      </c>
      <c r="M1438">
        <v>58</v>
      </c>
      <c r="N1438">
        <v>3</v>
      </c>
      <c r="O1438">
        <v>1</v>
      </c>
      <c r="P1438" t="s">
        <v>52</v>
      </c>
      <c r="Q1438">
        <v>1</v>
      </c>
      <c r="R1438" t="s">
        <v>37</v>
      </c>
      <c r="S1438">
        <v>2380</v>
      </c>
      <c r="T1438">
        <v>25479</v>
      </c>
      <c r="U1438">
        <v>1</v>
      </c>
      <c r="V1438" t="s">
        <v>31</v>
      </c>
      <c r="W1438">
        <v>11</v>
      </c>
      <c r="X1438">
        <v>3</v>
      </c>
      <c r="Y1438">
        <v>4</v>
      </c>
      <c r="Z1438">
        <v>0</v>
      </c>
      <c r="AA1438">
        <v>2</v>
      </c>
      <c r="AB1438" t="str">
        <f>IF(Table2[[#This Row],[TotalWorkingYears]]&lt;=5,"Early (0-5)",IF(Table2[[#This Row],[TotalWorkingYears]]&lt;=15,"Mid (6-15)","Senior (16+)"))</f>
        <v>Early (0-5)</v>
      </c>
      <c r="AC1438">
        <v>6</v>
      </c>
      <c r="AD1438">
        <v>3</v>
      </c>
      <c r="AE1438" t="s">
        <v>63</v>
      </c>
      <c r="AF1438">
        <v>2</v>
      </c>
      <c r="AG1438">
        <v>1</v>
      </c>
      <c r="AH1438">
        <v>2</v>
      </c>
    </row>
    <row r="1439" spans="1:34" x14ac:dyDescent="0.3">
      <c r="A1439" t="s">
        <v>57</v>
      </c>
      <c r="B1439">
        <v>0</v>
      </c>
      <c r="C1439" t="s">
        <v>50</v>
      </c>
      <c r="D1439">
        <v>105</v>
      </c>
      <c r="E1439" t="s">
        <v>40</v>
      </c>
      <c r="F1439">
        <v>9</v>
      </c>
      <c r="G1439" t="str">
        <f>IF(Table2[[#This Row],[DistanceFromHome]]&lt;=5, "short", IF(Table2[[#This Row],[DistanceFromHome]]&lt;=15, "medium", "long"))</f>
        <v>medium</v>
      </c>
      <c r="H1439">
        <v>3</v>
      </c>
      <c r="I1439" t="s">
        <v>34</v>
      </c>
      <c r="J1439">
        <v>2022</v>
      </c>
      <c r="K1439">
        <v>4</v>
      </c>
      <c r="L1439" t="s">
        <v>41</v>
      </c>
      <c r="M1439">
        <v>87</v>
      </c>
      <c r="N1439">
        <v>3</v>
      </c>
      <c r="O1439">
        <v>5</v>
      </c>
      <c r="P1439" t="s">
        <v>51</v>
      </c>
      <c r="Q1439">
        <v>4</v>
      </c>
      <c r="R1439" t="s">
        <v>37</v>
      </c>
      <c r="S1439">
        <v>19431</v>
      </c>
      <c r="T1439">
        <v>15302</v>
      </c>
      <c r="U1439">
        <v>2</v>
      </c>
      <c r="V1439" t="s">
        <v>38</v>
      </c>
      <c r="W1439">
        <v>13</v>
      </c>
      <c r="X1439">
        <v>3</v>
      </c>
      <c r="Y1439">
        <v>3</v>
      </c>
      <c r="Z1439">
        <v>0</v>
      </c>
      <c r="AA1439">
        <v>21</v>
      </c>
      <c r="AB1439" t="str">
        <f>IF(Table2[[#This Row],[TotalWorkingYears]]&lt;=5,"Early (0-5)",IF(Table2[[#This Row],[TotalWorkingYears]]&lt;=15,"Mid (6-15)","Senior (16+)"))</f>
        <v>Senior (16+)</v>
      </c>
      <c r="AC1439">
        <v>3</v>
      </c>
      <c r="AD1439">
        <v>2</v>
      </c>
      <c r="AE1439" t="s">
        <v>62</v>
      </c>
      <c r="AF1439">
        <v>0</v>
      </c>
      <c r="AG1439">
        <v>1</v>
      </c>
      <c r="AH1439">
        <v>3</v>
      </c>
    </row>
    <row r="1440" spans="1:34" x14ac:dyDescent="0.3">
      <c r="A1440" t="s">
        <v>60</v>
      </c>
      <c r="B1440">
        <v>1</v>
      </c>
      <c r="C1440" t="s">
        <v>39</v>
      </c>
      <c r="D1440">
        <v>638</v>
      </c>
      <c r="E1440" t="s">
        <v>33</v>
      </c>
      <c r="F1440">
        <v>9</v>
      </c>
      <c r="G1440" t="str">
        <f>IF(Table2[[#This Row],[DistanceFromHome]]&lt;=5, "short", IF(Table2[[#This Row],[DistanceFromHome]]&lt;=15, "medium", "long"))</f>
        <v>medium</v>
      </c>
      <c r="H1440">
        <v>3</v>
      </c>
      <c r="I1440" t="s">
        <v>54</v>
      </c>
      <c r="J1440">
        <v>2023</v>
      </c>
      <c r="K1440">
        <v>4</v>
      </c>
      <c r="L1440" t="s">
        <v>41</v>
      </c>
      <c r="M1440">
        <v>33</v>
      </c>
      <c r="N1440">
        <v>3</v>
      </c>
      <c r="O1440">
        <v>1</v>
      </c>
      <c r="P1440" t="s">
        <v>52</v>
      </c>
      <c r="Q1440">
        <v>1</v>
      </c>
      <c r="R1440" t="s">
        <v>43</v>
      </c>
      <c r="S1440">
        <v>1790</v>
      </c>
      <c r="T1440">
        <v>26956</v>
      </c>
      <c r="U1440">
        <v>1</v>
      </c>
      <c r="V1440" t="s">
        <v>38</v>
      </c>
      <c r="W1440">
        <v>19</v>
      </c>
      <c r="X1440">
        <v>3</v>
      </c>
      <c r="Y1440">
        <v>1</v>
      </c>
      <c r="Z1440">
        <v>1</v>
      </c>
      <c r="AA1440">
        <v>1</v>
      </c>
      <c r="AB1440" t="str">
        <f>IF(Table2[[#This Row],[TotalWorkingYears]]&lt;=5,"Early (0-5)",IF(Table2[[#This Row],[TotalWorkingYears]]&lt;=15,"Mid (6-15)","Senior (16+)"))</f>
        <v>Early (0-5)</v>
      </c>
      <c r="AC1440">
        <v>3</v>
      </c>
      <c r="AD1440">
        <v>2</v>
      </c>
      <c r="AE1440" t="s">
        <v>63</v>
      </c>
      <c r="AF1440">
        <v>0</v>
      </c>
      <c r="AG1440">
        <v>1</v>
      </c>
      <c r="AH1440">
        <v>0</v>
      </c>
    </row>
    <row r="1441" spans="1:34" x14ac:dyDescent="0.3">
      <c r="A1441" t="s">
        <v>57</v>
      </c>
      <c r="B1441">
        <v>0</v>
      </c>
      <c r="C1441" t="s">
        <v>32</v>
      </c>
      <c r="D1441">
        <v>557</v>
      </c>
      <c r="E1441" t="s">
        <v>33</v>
      </c>
      <c r="F1441">
        <v>3</v>
      </c>
      <c r="G1441" t="str">
        <f>IF(Table2[[#This Row],[DistanceFromHome]]&lt;=5, "short", IF(Table2[[#This Row],[DistanceFromHome]]&lt;=15, "medium", "long"))</f>
        <v>short</v>
      </c>
      <c r="H1441">
        <v>3</v>
      </c>
      <c r="I1441" t="s">
        <v>46</v>
      </c>
      <c r="J1441">
        <v>2024</v>
      </c>
      <c r="K1441">
        <v>1</v>
      </c>
      <c r="L1441" t="s">
        <v>35</v>
      </c>
      <c r="M1441">
        <v>94</v>
      </c>
      <c r="N1441">
        <v>2</v>
      </c>
      <c r="O1441">
        <v>3</v>
      </c>
      <c r="P1441" t="s">
        <v>36</v>
      </c>
      <c r="Q1441">
        <v>4</v>
      </c>
      <c r="R1441" t="s">
        <v>43</v>
      </c>
      <c r="S1441">
        <v>7644</v>
      </c>
      <c r="T1441">
        <v>12695</v>
      </c>
      <c r="U1441">
        <v>0</v>
      </c>
      <c r="V1441" t="s">
        <v>38</v>
      </c>
      <c r="W1441">
        <v>19</v>
      </c>
      <c r="X1441">
        <v>3</v>
      </c>
      <c r="Y1441">
        <v>3</v>
      </c>
      <c r="Z1441">
        <v>2</v>
      </c>
      <c r="AA1441">
        <v>10</v>
      </c>
      <c r="AB1441" t="str">
        <f>IF(Table2[[#This Row],[TotalWorkingYears]]&lt;=5,"Early (0-5)",IF(Table2[[#This Row],[TotalWorkingYears]]&lt;=15,"Mid (6-15)","Senior (16+)"))</f>
        <v>Mid (6-15)</v>
      </c>
      <c r="AC1441">
        <v>2</v>
      </c>
      <c r="AD1441">
        <v>3</v>
      </c>
      <c r="AE1441" t="s">
        <v>62</v>
      </c>
      <c r="AF1441">
        <v>7</v>
      </c>
      <c r="AG1441">
        <v>3</v>
      </c>
      <c r="AH1441">
        <v>4</v>
      </c>
    </row>
    <row r="1442" spans="1:34" x14ac:dyDescent="0.3">
      <c r="A1442" t="s">
        <v>57</v>
      </c>
      <c r="B1442">
        <v>0</v>
      </c>
      <c r="C1442" t="s">
        <v>39</v>
      </c>
      <c r="D1442">
        <v>688</v>
      </c>
      <c r="E1442" t="s">
        <v>40</v>
      </c>
      <c r="F1442">
        <v>4</v>
      </c>
      <c r="G1442" t="str">
        <f>IF(Table2[[#This Row],[DistanceFromHome]]&lt;=5, "short", IF(Table2[[#This Row],[DistanceFromHome]]&lt;=15, "medium", "long"))</f>
        <v>short</v>
      </c>
      <c r="H1442">
        <v>2</v>
      </c>
      <c r="I1442" t="s">
        <v>34</v>
      </c>
      <c r="J1442">
        <v>2025</v>
      </c>
      <c r="K1442">
        <v>4</v>
      </c>
      <c r="L1442" t="s">
        <v>35</v>
      </c>
      <c r="M1442">
        <v>97</v>
      </c>
      <c r="N1442">
        <v>3</v>
      </c>
      <c r="O1442">
        <v>2</v>
      </c>
      <c r="P1442" t="s">
        <v>48</v>
      </c>
      <c r="Q1442">
        <v>2</v>
      </c>
      <c r="R1442" t="s">
        <v>47</v>
      </c>
      <c r="S1442">
        <v>5131</v>
      </c>
      <c r="T1442">
        <v>9192</v>
      </c>
      <c r="U1442">
        <v>7</v>
      </c>
      <c r="V1442" t="s">
        <v>38</v>
      </c>
      <c r="W1442">
        <v>13</v>
      </c>
      <c r="X1442">
        <v>3</v>
      </c>
      <c r="Y1442">
        <v>2</v>
      </c>
      <c r="Z1442">
        <v>3</v>
      </c>
      <c r="AA1442">
        <v>18</v>
      </c>
      <c r="AB1442" t="str">
        <f>IF(Table2[[#This Row],[TotalWorkingYears]]&lt;=5,"Early (0-5)",IF(Table2[[#This Row],[TotalWorkingYears]]&lt;=15,"Mid (6-15)","Senior (16+)"))</f>
        <v>Senior (16+)</v>
      </c>
      <c r="AC1442">
        <v>3</v>
      </c>
      <c r="AD1442">
        <v>3</v>
      </c>
      <c r="AE1442" t="s">
        <v>64</v>
      </c>
      <c r="AF1442">
        <v>2</v>
      </c>
      <c r="AG1442">
        <v>0</v>
      </c>
      <c r="AH1442">
        <v>2</v>
      </c>
    </row>
    <row r="1443" spans="1:34" x14ac:dyDescent="0.3">
      <c r="A1443" t="s">
        <v>58</v>
      </c>
      <c r="B1443">
        <v>0</v>
      </c>
      <c r="C1443" t="s">
        <v>50</v>
      </c>
      <c r="D1443">
        <v>667</v>
      </c>
      <c r="E1443" t="s">
        <v>40</v>
      </c>
      <c r="F1443">
        <v>1</v>
      </c>
      <c r="G1443" t="str">
        <f>IF(Table2[[#This Row],[DistanceFromHome]]&lt;=5, "short", IF(Table2[[#This Row],[DistanceFromHome]]&lt;=15, "medium", "long"))</f>
        <v>short</v>
      </c>
      <c r="H1443">
        <v>4</v>
      </c>
      <c r="I1443" t="s">
        <v>34</v>
      </c>
      <c r="J1443">
        <v>2026</v>
      </c>
      <c r="K1443">
        <v>3</v>
      </c>
      <c r="L1443" t="s">
        <v>41</v>
      </c>
      <c r="M1443">
        <v>57</v>
      </c>
      <c r="N1443">
        <v>3</v>
      </c>
      <c r="O1443">
        <v>2</v>
      </c>
      <c r="P1443" t="s">
        <v>49</v>
      </c>
      <c r="Q1443">
        <v>3</v>
      </c>
      <c r="R1443" t="s">
        <v>47</v>
      </c>
      <c r="S1443">
        <v>6306</v>
      </c>
      <c r="T1443">
        <v>26236</v>
      </c>
      <c r="U1443">
        <v>1</v>
      </c>
      <c r="V1443" t="s">
        <v>38</v>
      </c>
      <c r="W1443">
        <v>21</v>
      </c>
      <c r="X1443">
        <v>4</v>
      </c>
      <c r="Y1443">
        <v>1</v>
      </c>
      <c r="Z1443">
        <v>1</v>
      </c>
      <c r="AA1443">
        <v>13</v>
      </c>
      <c r="AB1443" t="str">
        <f>IF(Table2[[#This Row],[TotalWorkingYears]]&lt;=5,"Early (0-5)",IF(Table2[[#This Row],[TotalWorkingYears]]&lt;=15,"Mid (6-15)","Senior (16+)"))</f>
        <v>Mid (6-15)</v>
      </c>
      <c r="AC1443">
        <v>2</v>
      </c>
      <c r="AD1443">
        <v>2</v>
      </c>
      <c r="AE1443" t="s">
        <v>65</v>
      </c>
      <c r="AF1443">
        <v>12</v>
      </c>
      <c r="AG1443">
        <v>1</v>
      </c>
      <c r="AH1443">
        <v>9</v>
      </c>
    </row>
    <row r="1444" spans="1:34" x14ac:dyDescent="0.3">
      <c r="A1444" t="s">
        <v>59</v>
      </c>
      <c r="B1444">
        <v>1</v>
      </c>
      <c r="C1444" t="s">
        <v>32</v>
      </c>
      <c r="D1444">
        <v>1092</v>
      </c>
      <c r="E1444" t="s">
        <v>40</v>
      </c>
      <c r="F1444">
        <v>1</v>
      </c>
      <c r="G1444" t="str">
        <f>IF(Table2[[#This Row],[DistanceFromHome]]&lt;=5, "short", IF(Table2[[#This Row],[DistanceFromHome]]&lt;=15, "medium", "long"))</f>
        <v>short</v>
      </c>
      <c r="H1444">
        <v>4</v>
      </c>
      <c r="I1444" t="s">
        <v>46</v>
      </c>
      <c r="J1444">
        <v>2027</v>
      </c>
      <c r="K1444">
        <v>1</v>
      </c>
      <c r="L1444" t="s">
        <v>41</v>
      </c>
      <c r="M1444">
        <v>36</v>
      </c>
      <c r="N1444">
        <v>3</v>
      </c>
      <c r="O1444">
        <v>1</v>
      </c>
      <c r="P1444" t="s">
        <v>42</v>
      </c>
      <c r="Q1444">
        <v>4</v>
      </c>
      <c r="R1444" t="s">
        <v>43</v>
      </c>
      <c r="S1444">
        <v>4787</v>
      </c>
      <c r="T1444">
        <v>26124</v>
      </c>
      <c r="U1444">
        <v>9</v>
      </c>
      <c r="V1444" t="s">
        <v>31</v>
      </c>
      <c r="W1444">
        <v>14</v>
      </c>
      <c r="X1444">
        <v>3</v>
      </c>
      <c r="Y1444">
        <v>2</v>
      </c>
      <c r="Z1444">
        <v>3</v>
      </c>
      <c r="AA1444">
        <v>4</v>
      </c>
      <c r="AB1444" t="str">
        <f>IF(Table2[[#This Row],[TotalWorkingYears]]&lt;=5,"Early (0-5)",IF(Table2[[#This Row],[TotalWorkingYears]]&lt;=15,"Mid (6-15)","Senior (16+)"))</f>
        <v>Early (0-5)</v>
      </c>
      <c r="AC1444">
        <v>3</v>
      </c>
      <c r="AD1444">
        <v>4</v>
      </c>
      <c r="AE1444" t="s">
        <v>63</v>
      </c>
      <c r="AF1444">
        <v>2</v>
      </c>
      <c r="AG1444">
        <v>2</v>
      </c>
      <c r="AH1444">
        <v>2</v>
      </c>
    </row>
    <row r="1445" spans="1:34" x14ac:dyDescent="0.3">
      <c r="A1445" t="s">
        <v>57</v>
      </c>
      <c r="B1445">
        <v>0</v>
      </c>
      <c r="C1445" t="s">
        <v>32</v>
      </c>
      <c r="D1445">
        <v>300</v>
      </c>
      <c r="E1445" t="s">
        <v>40</v>
      </c>
      <c r="F1445">
        <v>2</v>
      </c>
      <c r="G1445" t="str">
        <f>IF(Table2[[#This Row],[DistanceFromHome]]&lt;=5, "short", IF(Table2[[#This Row],[DistanceFromHome]]&lt;=15, "medium", "long"))</f>
        <v>short</v>
      </c>
      <c r="H1445">
        <v>3</v>
      </c>
      <c r="I1445" t="s">
        <v>34</v>
      </c>
      <c r="J1445">
        <v>2031</v>
      </c>
      <c r="K1445">
        <v>1</v>
      </c>
      <c r="L1445" t="s">
        <v>41</v>
      </c>
      <c r="M1445">
        <v>56</v>
      </c>
      <c r="N1445">
        <v>3</v>
      </c>
      <c r="O1445">
        <v>5</v>
      </c>
      <c r="P1445" t="s">
        <v>51</v>
      </c>
      <c r="Q1445">
        <v>3</v>
      </c>
      <c r="R1445" t="s">
        <v>43</v>
      </c>
      <c r="S1445">
        <v>18880</v>
      </c>
      <c r="T1445">
        <v>17312</v>
      </c>
      <c r="U1445">
        <v>5</v>
      </c>
      <c r="V1445" t="s">
        <v>38</v>
      </c>
      <c r="W1445">
        <v>11</v>
      </c>
      <c r="X1445">
        <v>3</v>
      </c>
      <c r="Y1445">
        <v>1</v>
      </c>
      <c r="Z1445">
        <v>0</v>
      </c>
      <c r="AA1445">
        <v>24</v>
      </c>
      <c r="AB1445" t="str">
        <f>IF(Table2[[#This Row],[TotalWorkingYears]]&lt;=5,"Early (0-5)",IF(Table2[[#This Row],[TotalWorkingYears]]&lt;=15,"Mid (6-15)","Senior (16+)"))</f>
        <v>Senior (16+)</v>
      </c>
      <c r="AC1445">
        <v>2</v>
      </c>
      <c r="AD1445">
        <v>2</v>
      </c>
      <c r="AE1445" t="s">
        <v>65</v>
      </c>
      <c r="AF1445">
        <v>6</v>
      </c>
      <c r="AG1445">
        <v>4</v>
      </c>
      <c r="AH1445">
        <v>14</v>
      </c>
    </row>
    <row r="1446" spans="1:34" x14ac:dyDescent="0.3">
      <c r="A1446" t="s">
        <v>58</v>
      </c>
      <c r="B1446">
        <v>1</v>
      </c>
      <c r="C1446" t="s">
        <v>32</v>
      </c>
      <c r="D1446">
        <v>310</v>
      </c>
      <c r="E1446" t="s">
        <v>40</v>
      </c>
      <c r="F1446">
        <v>7</v>
      </c>
      <c r="G1446" t="str">
        <f>IF(Table2[[#This Row],[DistanceFromHome]]&lt;=5, "short", IF(Table2[[#This Row],[DistanceFromHome]]&lt;=15, "medium", "long"))</f>
        <v>medium</v>
      </c>
      <c r="H1446">
        <v>2</v>
      </c>
      <c r="I1446" t="s">
        <v>55</v>
      </c>
      <c r="J1446">
        <v>2032</v>
      </c>
      <c r="K1446">
        <v>4</v>
      </c>
      <c r="L1446" t="s">
        <v>41</v>
      </c>
      <c r="M1446">
        <v>72</v>
      </c>
      <c r="N1446">
        <v>3</v>
      </c>
      <c r="O1446">
        <v>1</v>
      </c>
      <c r="P1446" t="s">
        <v>45</v>
      </c>
      <c r="Q1446">
        <v>3</v>
      </c>
      <c r="R1446" t="s">
        <v>43</v>
      </c>
      <c r="S1446">
        <v>2339</v>
      </c>
      <c r="T1446">
        <v>3666</v>
      </c>
      <c r="U1446">
        <v>8</v>
      </c>
      <c r="V1446" t="s">
        <v>38</v>
      </c>
      <c r="W1446">
        <v>11</v>
      </c>
      <c r="X1446">
        <v>3</v>
      </c>
      <c r="Y1446">
        <v>4</v>
      </c>
      <c r="Z1446">
        <v>1</v>
      </c>
      <c r="AA1446">
        <v>14</v>
      </c>
      <c r="AB1446" t="str">
        <f>IF(Table2[[#This Row],[TotalWorkingYears]]&lt;=5,"Early (0-5)",IF(Table2[[#This Row],[TotalWorkingYears]]&lt;=15,"Mid (6-15)","Senior (16+)"))</f>
        <v>Mid (6-15)</v>
      </c>
      <c r="AC1446">
        <v>4</v>
      </c>
      <c r="AD1446">
        <v>1</v>
      </c>
      <c r="AE1446" t="s">
        <v>62</v>
      </c>
      <c r="AF1446">
        <v>9</v>
      </c>
      <c r="AG1446">
        <v>9</v>
      </c>
      <c r="AH1446">
        <v>8</v>
      </c>
    </row>
    <row r="1447" spans="1:34" x14ac:dyDescent="0.3">
      <c r="A1447" t="s">
        <v>57</v>
      </c>
      <c r="B1447">
        <v>0</v>
      </c>
      <c r="C1447" t="s">
        <v>32</v>
      </c>
      <c r="D1447">
        <v>582</v>
      </c>
      <c r="E1447" t="s">
        <v>40</v>
      </c>
      <c r="F1447">
        <v>28</v>
      </c>
      <c r="G1447" t="str">
        <f>IF(Table2[[#This Row],[DistanceFromHome]]&lt;=5, "short", IF(Table2[[#This Row],[DistanceFromHome]]&lt;=15, "medium", "long"))</f>
        <v>long</v>
      </c>
      <c r="H1447">
        <v>4</v>
      </c>
      <c r="I1447" t="s">
        <v>34</v>
      </c>
      <c r="J1447">
        <v>2034</v>
      </c>
      <c r="K1447">
        <v>1</v>
      </c>
      <c r="L1447" t="s">
        <v>35</v>
      </c>
      <c r="M1447">
        <v>60</v>
      </c>
      <c r="N1447">
        <v>2</v>
      </c>
      <c r="O1447">
        <v>4</v>
      </c>
      <c r="P1447" t="s">
        <v>48</v>
      </c>
      <c r="Q1447">
        <v>2</v>
      </c>
      <c r="R1447" t="s">
        <v>43</v>
      </c>
      <c r="S1447">
        <v>13570</v>
      </c>
      <c r="T1447">
        <v>5640</v>
      </c>
      <c r="U1447">
        <v>0</v>
      </c>
      <c r="V1447" t="s">
        <v>38</v>
      </c>
      <c r="W1447">
        <v>23</v>
      </c>
      <c r="X1447">
        <v>4</v>
      </c>
      <c r="Y1447">
        <v>3</v>
      </c>
      <c r="Z1447">
        <v>1</v>
      </c>
      <c r="AA1447">
        <v>21</v>
      </c>
      <c r="AB1447" t="str">
        <f>IF(Table2[[#This Row],[TotalWorkingYears]]&lt;=5,"Early (0-5)",IF(Table2[[#This Row],[TotalWorkingYears]]&lt;=15,"Mid (6-15)","Senior (16+)"))</f>
        <v>Senior (16+)</v>
      </c>
      <c r="AC1447">
        <v>3</v>
      </c>
      <c r="AD1447">
        <v>3</v>
      </c>
      <c r="AE1447" t="s">
        <v>65</v>
      </c>
      <c r="AF1447">
        <v>7</v>
      </c>
      <c r="AG1447">
        <v>0</v>
      </c>
      <c r="AH1447">
        <v>10</v>
      </c>
    </row>
    <row r="1448" spans="1:34" x14ac:dyDescent="0.3">
      <c r="A1448" t="s">
        <v>59</v>
      </c>
      <c r="B1448">
        <v>0</v>
      </c>
      <c r="C1448" t="s">
        <v>32</v>
      </c>
      <c r="D1448">
        <v>704</v>
      </c>
      <c r="E1448" t="s">
        <v>33</v>
      </c>
      <c r="F1448">
        <v>28</v>
      </c>
      <c r="G1448" t="str">
        <f>IF(Table2[[#This Row],[DistanceFromHome]]&lt;=5, "short", IF(Table2[[#This Row],[DistanceFromHome]]&lt;=15, "medium", "long"))</f>
        <v>long</v>
      </c>
      <c r="H1448">
        <v>3</v>
      </c>
      <c r="I1448" t="s">
        <v>54</v>
      </c>
      <c r="J1448">
        <v>2035</v>
      </c>
      <c r="K1448">
        <v>4</v>
      </c>
      <c r="L1448" t="s">
        <v>35</v>
      </c>
      <c r="M1448">
        <v>95</v>
      </c>
      <c r="N1448">
        <v>2</v>
      </c>
      <c r="O1448">
        <v>2</v>
      </c>
      <c r="P1448" t="s">
        <v>36</v>
      </c>
      <c r="Q1448">
        <v>3</v>
      </c>
      <c r="R1448" t="s">
        <v>43</v>
      </c>
      <c r="S1448">
        <v>6712</v>
      </c>
      <c r="T1448">
        <v>8978</v>
      </c>
      <c r="U1448">
        <v>1</v>
      </c>
      <c r="V1448" t="s">
        <v>38</v>
      </c>
      <c r="W1448">
        <v>21</v>
      </c>
      <c r="X1448">
        <v>4</v>
      </c>
      <c r="Y1448">
        <v>4</v>
      </c>
      <c r="Z1448">
        <v>2</v>
      </c>
      <c r="AA1448">
        <v>8</v>
      </c>
      <c r="AB1448" t="str">
        <f>IF(Table2[[#This Row],[TotalWorkingYears]]&lt;=5,"Early (0-5)",IF(Table2[[#This Row],[TotalWorkingYears]]&lt;=15,"Mid (6-15)","Senior (16+)"))</f>
        <v>Mid (6-15)</v>
      </c>
      <c r="AC1448">
        <v>2</v>
      </c>
      <c r="AD1448">
        <v>3</v>
      </c>
      <c r="AE1448" t="s">
        <v>62</v>
      </c>
      <c r="AF1448">
        <v>7</v>
      </c>
      <c r="AG1448">
        <v>1</v>
      </c>
      <c r="AH1448">
        <v>7</v>
      </c>
    </row>
    <row r="1449" spans="1:34" x14ac:dyDescent="0.3">
      <c r="A1449" t="s">
        <v>57</v>
      </c>
      <c r="B1449">
        <v>0</v>
      </c>
      <c r="C1449" t="s">
        <v>50</v>
      </c>
      <c r="D1449">
        <v>301</v>
      </c>
      <c r="E1449" t="s">
        <v>33</v>
      </c>
      <c r="F1449">
        <v>15</v>
      </c>
      <c r="G1449" t="str">
        <f>IF(Table2[[#This Row],[DistanceFromHome]]&lt;=5, "short", IF(Table2[[#This Row],[DistanceFromHome]]&lt;=15, "medium", "long"))</f>
        <v>medium</v>
      </c>
      <c r="H1449">
        <v>4</v>
      </c>
      <c r="I1449" t="s">
        <v>54</v>
      </c>
      <c r="J1449">
        <v>2036</v>
      </c>
      <c r="K1449">
        <v>4</v>
      </c>
      <c r="L1449" t="s">
        <v>41</v>
      </c>
      <c r="M1449">
        <v>88</v>
      </c>
      <c r="N1449">
        <v>1</v>
      </c>
      <c r="O1449">
        <v>2</v>
      </c>
      <c r="P1449" t="s">
        <v>36</v>
      </c>
      <c r="Q1449">
        <v>4</v>
      </c>
      <c r="R1449" t="s">
        <v>47</v>
      </c>
      <c r="S1449">
        <v>5406</v>
      </c>
      <c r="T1449">
        <v>10436</v>
      </c>
      <c r="U1449">
        <v>1</v>
      </c>
      <c r="V1449" t="s">
        <v>38</v>
      </c>
      <c r="W1449">
        <v>24</v>
      </c>
      <c r="X1449">
        <v>4</v>
      </c>
      <c r="Y1449">
        <v>1</v>
      </c>
      <c r="Z1449">
        <v>1</v>
      </c>
      <c r="AA1449">
        <v>15</v>
      </c>
      <c r="AB1449" t="str">
        <f>IF(Table2[[#This Row],[TotalWorkingYears]]&lt;=5,"Early (0-5)",IF(Table2[[#This Row],[TotalWorkingYears]]&lt;=15,"Mid (6-15)","Senior (16+)"))</f>
        <v>Mid (6-15)</v>
      </c>
      <c r="AC1449">
        <v>4</v>
      </c>
      <c r="AD1449">
        <v>2</v>
      </c>
      <c r="AE1449" t="s">
        <v>65</v>
      </c>
      <c r="AF1449">
        <v>12</v>
      </c>
      <c r="AG1449">
        <v>11</v>
      </c>
      <c r="AH1449">
        <v>11</v>
      </c>
    </row>
    <row r="1450" spans="1:34" x14ac:dyDescent="0.3">
      <c r="A1450" t="s">
        <v>57</v>
      </c>
      <c r="B1450">
        <v>0</v>
      </c>
      <c r="C1450" t="s">
        <v>32</v>
      </c>
      <c r="D1450">
        <v>930</v>
      </c>
      <c r="E1450" t="s">
        <v>33</v>
      </c>
      <c r="F1450">
        <v>3</v>
      </c>
      <c r="G1450" t="str">
        <f>IF(Table2[[#This Row],[DistanceFromHome]]&lt;=5, "short", IF(Table2[[#This Row],[DistanceFromHome]]&lt;=15, "medium", "long"))</f>
        <v>short</v>
      </c>
      <c r="H1450">
        <v>3</v>
      </c>
      <c r="I1450" t="s">
        <v>34</v>
      </c>
      <c r="J1450">
        <v>2037</v>
      </c>
      <c r="K1450">
        <v>3</v>
      </c>
      <c r="L1450" t="s">
        <v>41</v>
      </c>
      <c r="M1450">
        <v>57</v>
      </c>
      <c r="N1450">
        <v>2</v>
      </c>
      <c r="O1450">
        <v>2</v>
      </c>
      <c r="P1450" t="s">
        <v>36</v>
      </c>
      <c r="Q1450">
        <v>2</v>
      </c>
      <c r="R1450" t="s">
        <v>47</v>
      </c>
      <c r="S1450">
        <v>8938</v>
      </c>
      <c r="T1450">
        <v>12227</v>
      </c>
      <c r="U1450">
        <v>2</v>
      </c>
      <c r="V1450" t="s">
        <v>38</v>
      </c>
      <c r="W1450">
        <v>11</v>
      </c>
      <c r="X1450">
        <v>3</v>
      </c>
      <c r="Y1450">
        <v>3</v>
      </c>
      <c r="Z1450">
        <v>1</v>
      </c>
      <c r="AA1450">
        <v>14</v>
      </c>
      <c r="AB1450" t="str">
        <f>IF(Table2[[#This Row],[TotalWorkingYears]]&lt;=5,"Early (0-5)",IF(Table2[[#This Row],[TotalWorkingYears]]&lt;=15,"Mid (6-15)","Senior (16+)"))</f>
        <v>Mid (6-15)</v>
      </c>
      <c r="AC1450">
        <v>5</v>
      </c>
      <c r="AD1450">
        <v>3</v>
      </c>
      <c r="AE1450" t="s">
        <v>64</v>
      </c>
      <c r="AF1450">
        <v>4</v>
      </c>
      <c r="AG1450">
        <v>0</v>
      </c>
      <c r="AH1450">
        <v>4</v>
      </c>
    </row>
    <row r="1451" spans="1:34" x14ac:dyDescent="0.3">
      <c r="A1451" t="s">
        <v>59</v>
      </c>
      <c r="B1451">
        <v>0</v>
      </c>
      <c r="C1451" t="s">
        <v>32</v>
      </c>
      <c r="D1451">
        <v>529</v>
      </c>
      <c r="E1451" t="s">
        <v>40</v>
      </c>
      <c r="F1451">
        <v>2</v>
      </c>
      <c r="G1451" t="str">
        <f>IF(Table2[[#This Row],[DistanceFromHome]]&lt;=5, "short", IF(Table2[[#This Row],[DistanceFromHome]]&lt;=15, "medium", "long"))</f>
        <v>short</v>
      </c>
      <c r="H1451">
        <v>3</v>
      </c>
      <c r="I1451" t="s">
        <v>55</v>
      </c>
      <c r="J1451">
        <v>2038</v>
      </c>
      <c r="K1451">
        <v>4</v>
      </c>
      <c r="L1451" t="s">
        <v>41</v>
      </c>
      <c r="M1451">
        <v>78</v>
      </c>
      <c r="N1451">
        <v>3</v>
      </c>
      <c r="O1451">
        <v>1</v>
      </c>
      <c r="P1451" t="s">
        <v>42</v>
      </c>
      <c r="Q1451">
        <v>1</v>
      </c>
      <c r="R1451" t="s">
        <v>37</v>
      </c>
      <c r="S1451">
        <v>2439</v>
      </c>
      <c r="T1451">
        <v>11288</v>
      </c>
      <c r="U1451">
        <v>1</v>
      </c>
      <c r="V1451" t="s">
        <v>38</v>
      </c>
      <c r="W1451">
        <v>14</v>
      </c>
      <c r="X1451">
        <v>3</v>
      </c>
      <c r="Y1451">
        <v>4</v>
      </c>
      <c r="Z1451">
        <v>0</v>
      </c>
      <c r="AA1451">
        <v>4</v>
      </c>
      <c r="AB1451" t="str">
        <f>IF(Table2[[#This Row],[TotalWorkingYears]]&lt;=5,"Early (0-5)",IF(Table2[[#This Row],[TotalWorkingYears]]&lt;=15,"Mid (6-15)","Senior (16+)"))</f>
        <v>Early (0-5)</v>
      </c>
      <c r="AC1451">
        <v>4</v>
      </c>
      <c r="AD1451">
        <v>3</v>
      </c>
      <c r="AE1451" t="s">
        <v>64</v>
      </c>
      <c r="AF1451">
        <v>2</v>
      </c>
      <c r="AG1451">
        <v>1</v>
      </c>
      <c r="AH1451">
        <v>2</v>
      </c>
    </row>
    <row r="1452" spans="1:34" x14ac:dyDescent="0.3">
      <c r="A1452" t="s">
        <v>59</v>
      </c>
      <c r="B1452">
        <v>0</v>
      </c>
      <c r="C1452" t="s">
        <v>32</v>
      </c>
      <c r="D1452">
        <v>1146</v>
      </c>
      <c r="E1452" t="s">
        <v>56</v>
      </c>
      <c r="F1452">
        <v>26</v>
      </c>
      <c r="G1452" t="str">
        <f>IF(Table2[[#This Row],[DistanceFromHome]]&lt;=5, "short", IF(Table2[[#This Row],[DistanceFromHome]]&lt;=15, "medium", "long"))</f>
        <v>long</v>
      </c>
      <c r="H1452">
        <v>4</v>
      </c>
      <c r="I1452" t="s">
        <v>34</v>
      </c>
      <c r="J1452">
        <v>2040</v>
      </c>
      <c r="K1452">
        <v>3</v>
      </c>
      <c r="L1452" t="s">
        <v>35</v>
      </c>
      <c r="M1452">
        <v>31</v>
      </c>
      <c r="N1452">
        <v>3</v>
      </c>
      <c r="O1452">
        <v>3</v>
      </c>
      <c r="P1452" t="s">
        <v>56</v>
      </c>
      <c r="Q1452">
        <v>4</v>
      </c>
      <c r="R1452" t="s">
        <v>37</v>
      </c>
      <c r="S1452">
        <v>8837</v>
      </c>
      <c r="T1452">
        <v>16642</v>
      </c>
      <c r="U1452">
        <v>1</v>
      </c>
      <c r="V1452" t="s">
        <v>31</v>
      </c>
      <c r="W1452">
        <v>16</v>
      </c>
      <c r="X1452">
        <v>3</v>
      </c>
      <c r="Y1452">
        <v>3</v>
      </c>
      <c r="Z1452">
        <v>0</v>
      </c>
      <c r="AA1452">
        <v>9</v>
      </c>
      <c r="AB1452" t="str">
        <f>IF(Table2[[#This Row],[TotalWorkingYears]]&lt;=5,"Early (0-5)",IF(Table2[[#This Row],[TotalWorkingYears]]&lt;=15,"Mid (6-15)","Senior (16+)"))</f>
        <v>Mid (6-15)</v>
      </c>
      <c r="AC1452">
        <v>2</v>
      </c>
      <c r="AD1452">
        <v>3</v>
      </c>
      <c r="AE1452" t="s">
        <v>62</v>
      </c>
      <c r="AF1452">
        <v>0</v>
      </c>
      <c r="AG1452">
        <v>1</v>
      </c>
      <c r="AH1452">
        <v>7</v>
      </c>
    </row>
    <row r="1453" spans="1:34" x14ac:dyDescent="0.3">
      <c r="A1453" t="s">
        <v>57</v>
      </c>
      <c r="B1453">
        <v>0</v>
      </c>
      <c r="C1453" t="s">
        <v>32</v>
      </c>
      <c r="D1453">
        <v>345</v>
      </c>
      <c r="E1453" t="s">
        <v>33</v>
      </c>
      <c r="F1453">
        <v>10</v>
      </c>
      <c r="G1453" t="str">
        <f>IF(Table2[[#This Row],[DistanceFromHome]]&lt;=5, "short", IF(Table2[[#This Row],[DistanceFromHome]]&lt;=15, "medium", "long"))</f>
        <v>medium</v>
      </c>
      <c r="H1453">
        <v>2</v>
      </c>
      <c r="I1453" t="s">
        <v>34</v>
      </c>
      <c r="J1453">
        <v>2041</v>
      </c>
      <c r="K1453">
        <v>1</v>
      </c>
      <c r="L1453" t="s">
        <v>35</v>
      </c>
      <c r="M1453">
        <v>100</v>
      </c>
      <c r="N1453">
        <v>3</v>
      </c>
      <c r="O1453">
        <v>2</v>
      </c>
      <c r="P1453" t="s">
        <v>36</v>
      </c>
      <c r="Q1453">
        <v>4</v>
      </c>
      <c r="R1453" t="s">
        <v>43</v>
      </c>
      <c r="S1453">
        <v>5343</v>
      </c>
      <c r="T1453">
        <v>5982</v>
      </c>
      <c r="U1453">
        <v>1</v>
      </c>
      <c r="V1453" t="s">
        <v>38</v>
      </c>
      <c r="W1453">
        <v>11</v>
      </c>
      <c r="X1453">
        <v>3</v>
      </c>
      <c r="Y1453">
        <v>3</v>
      </c>
      <c r="Z1453">
        <v>1</v>
      </c>
      <c r="AA1453">
        <v>10</v>
      </c>
      <c r="AB1453" t="str">
        <f>IF(Table2[[#This Row],[TotalWorkingYears]]&lt;=5,"Early (0-5)",IF(Table2[[#This Row],[TotalWorkingYears]]&lt;=15,"Mid (6-15)","Senior (16+)"))</f>
        <v>Mid (6-15)</v>
      </c>
      <c r="AC1453">
        <v>1</v>
      </c>
      <c r="AD1453">
        <v>3</v>
      </c>
      <c r="AE1453" t="s">
        <v>62</v>
      </c>
      <c r="AF1453">
        <v>7</v>
      </c>
      <c r="AG1453">
        <v>1</v>
      </c>
      <c r="AH1453">
        <v>9</v>
      </c>
    </row>
    <row r="1454" spans="1:34" x14ac:dyDescent="0.3">
      <c r="A1454" t="s">
        <v>58</v>
      </c>
      <c r="B1454">
        <v>1</v>
      </c>
      <c r="C1454" t="s">
        <v>39</v>
      </c>
      <c r="D1454">
        <v>878</v>
      </c>
      <c r="E1454" t="s">
        <v>33</v>
      </c>
      <c r="F1454">
        <v>1</v>
      </c>
      <c r="G1454" t="str">
        <f>IF(Table2[[#This Row],[DistanceFromHome]]&lt;=5, "short", IF(Table2[[#This Row],[DistanceFromHome]]&lt;=15, "medium", "long"))</f>
        <v>short</v>
      </c>
      <c r="H1454">
        <v>4</v>
      </c>
      <c r="I1454" t="s">
        <v>34</v>
      </c>
      <c r="J1454">
        <v>2044</v>
      </c>
      <c r="K1454">
        <v>2</v>
      </c>
      <c r="L1454" t="s">
        <v>41</v>
      </c>
      <c r="M1454">
        <v>94</v>
      </c>
      <c r="N1454">
        <v>3</v>
      </c>
      <c r="O1454">
        <v>2</v>
      </c>
      <c r="P1454" t="s">
        <v>36</v>
      </c>
      <c r="Q1454">
        <v>3</v>
      </c>
      <c r="R1454" t="s">
        <v>47</v>
      </c>
      <c r="S1454">
        <v>6728</v>
      </c>
      <c r="T1454">
        <v>14255</v>
      </c>
      <c r="U1454">
        <v>7</v>
      </c>
      <c r="V1454" t="s">
        <v>38</v>
      </c>
      <c r="W1454">
        <v>12</v>
      </c>
      <c r="X1454">
        <v>3</v>
      </c>
      <c r="Y1454">
        <v>4</v>
      </c>
      <c r="Z1454">
        <v>2</v>
      </c>
      <c r="AA1454">
        <v>12</v>
      </c>
      <c r="AB1454" t="str">
        <f>IF(Table2[[#This Row],[TotalWorkingYears]]&lt;=5,"Early (0-5)",IF(Table2[[#This Row],[TotalWorkingYears]]&lt;=15,"Mid (6-15)","Senior (16+)"))</f>
        <v>Mid (6-15)</v>
      </c>
      <c r="AC1454">
        <v>3</v>
      </c>
      <c r="AD1454">
        <v>3</v>
      </c>
      <c r="AE1454" t="s">
        <v>62</v>
      </c>
      <c r="AF1454">
        <v>3</v>
      </c>
      <c r="AG1454">
        <v>0</v>
      </c>
      <c r="AH1454">
        <v>1</v>
      </c>
    </row>
    <row r="1455" spans="1:34" x14ac:dyDescent="0.3">
      <c r="A1455" t="s">
        <v>57</v>
      </c>
      <c r="B1455">
        <v>0</v>
      </c>
      <c r="C1455" t="s">
        <v>32</v>
      </c>
      <c r="D1455">
        <v>1120</v>
      </c>
      <c r="E1455" t="s">
        <v>33</v>
      </c>
      <c r="F1455">
        <v>11</v>
      </c>
      <c r="G1455" t="str">
        <f>IF(Table2[[#This Row],[DistanceFromHome]]&lt;=5, "short", IF(Table2[[#This Row],[DistanceFromHome]]&lt;=15, "medium", "long"))</f>
        <v>medium</v>
      </c>
      <c r="H1455">
        <v>4</v>
      </c>
      <c r="I1455" t="s">
        <v>54</v>
      </c>
      <c r="J1455">
        <v>2045</v>
      </c>
      <c r="K1455">
        <v>2</v>
      </c>
      <c r="L1455" t="s">
        <v>35</v>
      </c>
      <c r="M1455">
        <v>100</v>
      </c>
      <c r="N1455">
        <v>2</v>
      </c>
      <c r="O1455">
        <v>2</v>
      </c>
      <c r="P1455" t="s">
        <v>36</v>
      </c>
      <c r="Q1455">
        <v>4</v>
      </c>
      <c r="R1455" t="s">
        <v>43</v>
      </c>
      <c r="S1455">
        <v>6652</v>
      </c>
      <c r="T1455">
        <v>14369</v>
      </c>
      <c r="U1455">
        <v>4</v>
      </c>
      <c r="V1455" t="s">
        <v>38</v>
      </c>
      <c r="W1455">
        <v>13</v>
      </c>
      <c r="X1455">
        <v>3</v>
      </c>
      <c r="Y1455">
        <v>1</v>
      </c>
      <c r="Z1455">
        <v>1</v>
      </c>
      <c r="AA1455">
        <v>8</v>
      </c>
      <c r="AB1455" t="str">
        <f>IF(Table2[[#This Row],[TotalWorkingYears]]&lt;=5,"Early (0-5)",IF(Table2[[#This Row],[TotalWorkingYears]]&lt;=15,"Mid (6-15)","Senior (16+)"))</f>
        <v>Mid (6-15)</v>
      </c>
      <c r="AC1455">
        <v>2</v>
      </c>
      <c r="AD1455">
        <v>2</v>
      </c>
      <c r="AE1455" t="s">
        <v>62</v>
      </c>
      <c r="AF1455">
        <v>3</v>
      </c>
      <c r="AG1455">
        <v>0</v>
      </c>
      <c r="AH1455">
        <v>0</v>
      </c>
    </row>
    <row r="1456" spans="1:34" x14ac:dyDescent="0.3">
      <c r="A1456" t="s">
        <v>57</v>
      </c>
      <c r="B1456">
        <v>0</v>
      </c>
      <c r="C1456" t="s">
        <v>32</v>
      </c>
      <c r="D1456">
        <v>374</v>
      </c>
      <c r="E1456" t="s">
        <v>33</v>
      </c>
      <c r="F1456">
        <v>20</v>
      </c>
      <c r="G1456" t="str">
        <f>IF(Table2[[#This Row],[DistanceFromHome]]&lt;=5, "short", IF(Table2[[#This Row],[DistanceFromHome]]&lt;=15, "medium", "long"))</f>
        <v>long</v>
      </c>
      <c r="H1456">
        <v>3</v>
      </c>
      <c r="I1456" t="s">
        <v>34</v>
      </c>
      <c r="J1456">
        <v>2046</v>
      </c>
      <c r="K1456">
        <v>4</v>
      </c>
      <c r="L1456" t="s">
        <v>35</v>
      </c>
      <c r="M1456">
        <v>50</v>
      </c>
      <c r="N1456">
        <v>3</v>
      </c>
      <c r="O1456">
        <v>2</v>
      </c>
      <c r="P1456" t="s">
        <v>36</v>
      </c>
      <c r="Q1456">
        <v>3</v>
      </c>
      <c r="R1456" t="s">
        <v>37</v>
      </c>
      <c r="S1456">
        <v>4850</v>
      </c>
      <c r="T1456">
        <v>23333</v>
      </c>
      <c r="U1456">
        <v>8</v>
      </c>
      <c r="V1456" t="s">
        <v>38</v>
      </c>
      <c r="W1456">
        <v>15</v>
      </c>
      <c r="X1456">
        <v>3</v>
      </c>
      <c r="Y1456">
        <v>3</v>
      </c>
      <c r="Z1456">
        <v>0</v>
      </c>
      <c r="AA1456">
        <v>8</v>
      </c>
      <c r="AB1456" t="str">
        <f>IF(Table2[[#This Row],[TotalWorkingYears]]&lt;=5,"Early (0-5)",IF(Table2[[#This Row],[TotalWorkingYears]]&lt;=15,"Mid (6-15)","Senior (16+)"))</f>
        <v>Mid (6-15)</v>
      </c>
      <c r="AC1456">
        <v>3</v>
      </c>
      <c r="AD1456">
        <v>3</v>
      </c>
      <c r="AE1456" t="s">
        <v>64</v>
      </c>
      <c r="AF1456">
        <v>3</v>
      </c>
      <c r="AG1456">
        <v>0</v>
      </c>
      <c r="AH1456">
        <v>1</v>
      </c>
    </row>
    <row r="1457" spans="1:34" x14ac:dyDescent="0.3">
      <c r="A1457" t="s">
        <v>57</v>
      </c>
      <c r="B1457">
        <v>0</v>
      </c>
      <c r="C1457" t="s">
        <v>32</v>
      </c>
      <c r="D1457">
        <v>1322</v>
      </c>
      <c r="E1457" t="s">
        <v>40</v>
      </c>
      <c r="F1457">
        <v>2</v>
      </c>
      <c r="G1457" t="str">
        <f>IF(Table2[[#This Row],[DistanceFromHome]]&lt;=5, "short", IF(Table2[[#This Row],[DistanceFromHome]]&lt;=15, "medium", "long"))</f>
        <v>short</v>
      </c>
      <c r="H1457">
        <v>4</v>
      </c>
      <c r="I1457" t="s">
        <v>34</v>
      </c>
      <c r="J1457">
        <v>2048</v>
      </c>
      <c r="K1457">
        <v>3</v>
      </c>
      <c r="L1457" t="s">
        <v>41</v>
      </c>
      <c r="M1457">
        <v>52</v>
      </c>
      <c r="N1457">
        <v>2</v>
      </c>
      <c r="O1457">
        <v>1</v>
      </c>
      <c r="P1457" t="s">
        <v>42</v>
      </c>
      <c r="Q1457">
        <v>3</v>
      </c>
      <c r="R1457" t="s">
        <v>37</v>
      </c>
      <c r="S1457">
        <v>2809</v>
      </c>
      <c r="T1457">
        <v>2725</v>
      </c>
      <c r="U1457">
        <v>2</v>
      </c>
      <c r="V1457" t="s">
        <v>38</v>
      </c>
      <c r="W1457">
        <v>14</v>
      </c>
      <c r="X1457">
        <v>3</v>
      </c>
      <c r="Y1457">
        <v>4</v>
      </c>
      <c r="Z1457">
        <v>0</v>
      </c>
      <c r="AA1457">
        <v>8</v>
      </c>
      <c r="AB1457" t="str">
        <f>IF(Table2[[#This Row],[TotalWorkingYears]]&lt;=5,"Early (0-5)",IF(Table2[[#This Row],[TotalWorkingYears]]&lt;=15,"Mid (6-15)","Senior (16+)"))</f>
        <v>Mid (6-15)</v>
      </c>
      <c r="AC1457">
        <v>2</v>
      </c>
      <c r="AD1457">
        <v>3</v>
      </c>
      <c r="AE1457" t="s">
        <v>63</v>
      </c>
      <c r="AF1457">
        <v>2</v>
      </c>
      <c r="AG1457">
        <v>2</v>
      </c>
      <c r="AH1457">
        <v>2</v>
      </c>
    </row>
    <row r="1458" spans="1:34" x14ac:dyDescent="0.3">
      <c r="A1458" t="s">
        <v>59</v>
      </c>
      <c r="B1458">
        <v>0</v>
      </c>
      <c r="C1458" t="s">
        <v>39</v>
      </c>
      <c r="D1458">
        <v>1199</v>
      </c>
      <c r="E1458" t="s">
        <v>40</v>
      </c>
      <c r="F1458">
        <v>18</v>
      </c>
      <c r="G1458" t="str">
        <f>IF(Table2[[#This Row],[DistanceFromHome]]&lt;=5, "short", IF(Table2[[#This Row],[DistanceFromHome]]&lt;=15, "medium", "long"))</f>
        <v>long</v>
      </c>
      <c r="H1458">
        <v>4</v>
      </c>
      <c r="I1458" t="s">
        <v>34</v>
      </c>
      <c r="J1458">
        <v>2049</v>
      </c>
      <c r="K1458">
        <v>3</v>
      </c>
      <c r="L1458" t="s">
        <v>41</v>
      </c>
      <c r="M1458">
        <v>80</v>
      </c>
      <c r="N1458">
        <v>3</v>
      </c>
      <c r="O1458">
        <v>2</v>
      </c>
      <c r="P1458" t="s">
        <v>49</v>
      </c>
      <c r="Q1458">
        <v>3</v>
      </c>
      <c r="R1458" t="s">
        <v>43</v>
      </c>
      <c r="S1458">
        <v>5689</v>
      </c>
      <c r="T1458">
        <v>24594</v>
      </c>
      <c r="U1458">
        <v>1</v>
      </c>
      <c r="V1458" t="s">
        <v>31</v>
      </c>
      <c r="W1458">
        <v>14</v>
      </c>
      <c r="X1458">
        <v>3</v>
      </c>
      <c r="Y1458">
        <v>4</v>
      </c>
      <c r="Z1458">
        <v>2</v>
      </c>
      <c r="AA1458">
        <v>10</v>
      </c>
      <c r="AB1458" t="str">
        <f>IF(Table2[[#This Row],[TotalWorkingYears]]&lt;=5,"Early (0-5)",IF(Table2[[#This Row],[TotalWorkingYears]]&lt;=15,"Mid (6-15)","Senior (16+)"))</f>
        <v>Mid (6-15)</v>
      </c>
      <c r="AC1458">
        <v>2</v>
      </c>
      <c r="AD1458">
        <v>4</v>
      </c>
      <c r="AE1458" t="s">
        <v>62</v>
      </c>
      <c r="AF1458">
        <v>2</v>
      </c>
      <c r="AG1458">
        <v>0</v>
      </c>
      <c r="AH1458">
        <v>2</v>
      </c>
    </row>
    <row r="1459" spans="1:34" x14ac:dyDescent="0.3">
      <c r="A1459" t="s">
        <v>57</v>
      </c>
      <c r="B1459">
        <v>0</v>
      </c>
      <c r="C1459" t="s">
        <v>32</v>
      </c>
      <c r="D1459">
        <v>1194</v>
      </c>
      <c r="E1459" t="s">
        <v>40</v>
      </c>
      <c r="F1459">
        <v>2</v>
      </c>
      <c r="G1459" t="str">
        <f>IF(Table2[[#This Row],[DistanceFromHome]]&lt;=5, "short", IF(Table2[[#This Row],[DistanceFromHome]]&lt;=15, "medium", "long"))</f>
        <v>short</v>
      </c>
      <c r="H1459">
        <v>4</v>
      </c>
      <c r="I1459" t="s">
        <v>46</v>
      </c>
      <c r="J1459">
        <v>2051</v>
      </c>
      <c r="K1459">
        <v>3</v>
      </c>
      <c r="L1459" t="s">
        <v>35</v>
      </c>
      <c r="M1459">
        <v>98</v>
      </c>
      <c r="N1459">
        <v>3</v>
      </c>
      <c r="O1459">
        <v>1</v>
      </c>
      <c r="P1459" t="s">
        <v>42</v>
      </c>
      <c r="Q1459">
        <v>3</v>
      </c>
      <c r="R1459" t="s">
        <v>43</v>
      </c>
      <c r="S1459">
        <v>2001</v>
      </c>
      <c r="T1459">
        <v>12549</v>
      </c>
      <c r="U1459">
        <v>2</v>
      </c>
      <c r="V1459" t="s">
        <v>38</v>
      </c>
      <c r="W1459">
        <v>14</v>
      </c>
      <c r="X1459">
        <v>3</v>
      </c>
      <c r="Y1459">
        <v>2</v>
      </c>
      <c r="Z1459">
        <v>3</v>
      </c>
      <c r="AA1459">
        <v>20</v>
      </c>
      <c r="AB1459" t="str">
        <f>IF(Table2[[#This Row],[TotalWorkingYears]]&lt;=5,"Early (0-5)",IF(Table2[[#This Row],[TotalWorkingYears]]&lt;=15,"Mid (6-15)","Senior (16+)"))</f>
        <v>Senior (16+)</v>
      </c>
      <c r="AC1459">
        <v>2</v>
      </c>
      <c r="AD1459">
        <v>3</v>
      </c>
      <c r="AE1459" t="s">
        <v>64</v>
      </c>
      <c r="AF1459">
        <v>3</v>
      </c>
      <c r="AG1459">
        <v>0</v>
      </c>
      <c r="AH1459">
        <v>2</v>
      </c>
    </row>
    <row r="1460" spans="1:34" x14ac:dyDescent="0.3">
      <c r="A1460" t="s">
        <v>59</v>
      </c>
      <c r="B1460">
        <v>0</v>
      </c>
      <c r="C1460" t="s">
        <v>32</v>
      </c>
      <c r="D1460">
        <v>287</v>
      </c>
      <c r="E1460" t="s">
        <v>40</v>
      </c>
      <c r="F1460">
        <v>1</v>
      </c>
      <c r="G1460" t="str">
        <f>IF(Table2[[#This Row],[DistanceFromHome]]&lt;=5, "short", IF(Table2[[#This Row],[DistanceFromHome]]&lt;=15, "medium", "long"))</f>
        <v>short</v>
      </c>
      <c r="H1460">
        <v>4</v>
      </c>
      <c r="I1460" t="s">
        <v>34</v>
      </c>
      <c r="J1460">
        <v>2052</v>
      </c>
      <c r="K1460">
        <v>3</v>
      </c>
      <c r="L1460" t="s">
        <v>35</v>
      </c>
      <c r="M1460">
        <v>62</v>
      </c>
      <c r="N1460">
        <v>1</v>
      </c>
      <c r="O1460">
        <v>1</v>
      </c>
      <c r="P1460" t="s">
        <v>42</v>
      </c>
      <c r="Q1460">
        <v>4</v>
      </c>
      <c r="R1460" t="s">
        <v>43</v>
      </c>
      <c r="S1460">
        <v>2977</v>
      </c>
      <c r="T1460">
        <v>8952</v>
      </c>
      <c r="U1460">
        <v>1</v>
      </c>
      <c r="V1460" t="s">
        <v>38</v>
      </c>
      <c r="W1460">
        <v>12</v>
      </c>
      <c r="X1460">
        <v>3</v>
      </c>
      <c r="Y1460">
        <v>4</v>
      </c>
      <c r="Z1460">
        <v>1</v>
      </c>
      <c r="AA1460">
        <v>4</v>
      </c>
      <c r="AB1460" t="str">
        <f>IF(Table2[[#This Row],[TotalWorkingYears]]&lt;=5,"Early (0-5)",IF(Table2[[#This Row],[TotalWorkingYears]]&lt;=15,"Mid (6-15)","Senior (16+)"))</f>
        <v>Early (0-5)</v>
      </c>
      <c r="AC1460">
        <v>5</v>
      </c>
      <c r="AD1460">
        <v>3</v>
      </c>
      <c r="AE1460" t="s">
        <v>64</v>
      </c>
      <c r="AF1460">
        <v>3</v>
      </c>
      <c r="AG1460">
        <v>1</v>
      </c>
      <c r="AH1460">
        <v>1</v>
      </c>
    </row>
    <row r="1461" spans="1:34" x14ac:dyDescent="0.3">
      <c r="A1461" t="s">
        <v>59</v>
      </c>
      <c r="B1461">
        <v>0</v>
      </c>
      <c r="C1461" t="s">
        <v>32</v>
      </c>
      <c r="D1461">
        <v>1378</v>
      </c>
      <c r="E1461" t="s">
        <v>40</v>
      </c>
      <c r="F1461">
        <v>13</v>
      </c>
      <c r="G1461" t="str">
        <f>IF(Table2[[#This Row],[DistanceFromHome]]&lt;=5, "short", IF(Table2[[#This Row],[DistanceFromHome]]&lt;=15, "medium", "long"))</f>
        <v>medium</v>
      </c>
      <c r="H1461">
        <v>2</v>
      </c>
      <c r="I1461" t="s">
        <v>44</v>
      </c>
      <c r="J1461">
        <v>2053</v>
      </c>
      <c r="K1461">
        <v>4</v>
      </c>
      <c r="L1461" t="s">
        <v>41</v>
      </c>
      <c r="M1461">
        <v>46</v>
      </c>
      <c r="N1461">
        <v>2</v>
      </c>
      <c r="O1461">
        <v>2</v>
      </c>
      <c r="P1461" t="s">
        <v>45</v>
      </c>
      <c r="Q1461">
        <v>2</v>
      </c>
      <c r="R1461" t="s">
        <v>43</v>
      </c>
      <c r="S1461">
        <v>4025</v>
      </c>
      <c r="T1461">
        <v>23679</v>
      </c>
      <c r="U1461">
        <v>4</v>
      </c>
      <c r="V1461" t="s">
        <v>31</v>
      </c>
      <c r="W1461">
        <v>13</v>
      </c>
      <c r="X1461">
        <v>3</v>
      </c>
      <c r="Y1461">
        <v>1</v>
      </c>
      <c r="Z1461">
        <v>1</v>
      </c>
      <c r="AA1461">
        <v>10</v>
      </c>
      <c r="AB1461" t="str">
        <f>IF(Table2[[#This Row],[TotalWorkingYears]]&lt;=5,"Early (0-5)",IF(Table2[[#This Row],[TotalWorkingYears]]&lt;=15,"Mid (6-15)","Senior (16+)"))</f>
        <v>Mid (6-15)</v>
      </c>
      <c r="AC1461">
        <v>2</v>
      </c>
      <c r="AD1461">
        <v>3</v>
      </c>
      <c r="AE1461" t="s">
        <v>64</v>
      </c>
      <c r="AF1461">
        <v>3</v>
      </c>
      <c r="AG1461">
        <v>0</v>
      </c>
      <c r="AH1461">
        <v>3</v>
      </c>
    </row>
    <row r="1462" spans="1:34" x14ac:dyDescent="0.3">
      <c r="A1462" t="s">
        <v>59</v>
      </c>
      <c r="B1462">
        <v>0</v>
      </c>
      <c r="C1462" t="s">
        <v>32</v>
      </c>
      <c r="D1462">
        <v>468</v>
      </c>
      <c r="E1462" t="s">
        <v>40</v>
      </c>
      <c r="F1462">
        <v>28</v>
      </c>
      <c r="G1462" t="str">
        <f>IF(Table2[[#This Row],[DistanceFromHome]]&lt;=5, "short", IF(Table2[[#This Row],[DistanceFromHome]]&lt;=15, "medium", "long"))</f>
        <v>long</v>
      </c>
      <c r="H1462">
        <v>4</v>
      </c>
      <c r="I1462" t="s">
        <v>46</v>
      </c>
      <c r="J1462">
        <v>2054</v>
      </c>
      <c r="K1462">
        <v>4</v>
      </c>
      <c r="L1462" t="s">
        <v>35</v>
      </c>
      <c r="M1462">
        <v>73</v>
      </c>
      <c r="N1462">
        <v>2</v>
      </c>
      <c r="O1462">
        <v>1</v>
      </c>
      <c r="P1462" t="s">
        <v>42</v>
      </c>
      <c r="Q1462">
        <v>1</v>
      </c>
      <c r="R1462" t="s">
        <v>37</v>
      </c>
      <c r="S1462">
        <v>3785</v>
      </c>
      <c r="T1462">
        <v>8489</v>
      </c>
      <c r="U1462">
        <v>1</v>
      </c>
      <c r="V1462" t="s">
        <v>38</v>
      </c>
      <c r="W1462">
        <v>14</v>
      </c>
      <c r="X1462">
        <v>3</v>
      </c>
      <c r="Y1462">
        <v>2</v>
      </c>
      <c r="Z1462">
        <v>0</v>
      </c>
      <c r="AA1462">
        <v>5</v>
      </c>
      <c r="AB1462" t="str">
        <f>IF(Table2[[#This Row],[TotalWorkingYears]]&lt;=5,"Early (0-5)",IF(Table2[[#This Row],[TotalWorkingYears]]&lt;=15,"Mid (6-15)","Senior (16+)"))</f>
        <v>Early (0-5)</v>
      </c>
      <c r="AC1462">
        <v>3</v>
      </c>
      <c r="AD1462">
        <v>1</v>
      </c>
      <c r="AE1462" t="s">
        <v>64</v>
      </c>
      <c r="AF1462">
        <v>4</v>
      </c>
      <c r="AG1462">
        <v>0</v>
      </c>
      <c r="AH1462">
        <v>4</v>
      </c>
    </row>
    <row r="1463" spans="1:34" x14ac:dyDescent="0.3">
      <c r="A1463" t="s">
        <v>58</v>
      </c>
      <c r="B1463">
        <v>1</v>
      </c>
      <c r="C1463" t="s">
        <v>32</v>
      </c>
      <c r="D1463">
        <v>410</v>
      </c>
      <c r="E1463" t="s">
        <v>33</v>
      </c>
      <c r="F1463">
        <v>28</v>
      </c>
      <c r="G1463" t="str">
        <f>IF(Table2[[#This Row],[DistanceFromHome]]&lt;=5, "short", IF(Table2[[#This Row],[DistanceFromHome]]&lt;=15, "medium", "long"))</f>
        <v>long</v>
      </c>
      <c r="H1463">
        <v>3</v>
      </c>
      <c r="I1463" t="s">
        <v>54</v>
      </c>
      <c r="J1463">
        <v>2055</v>
      </c>
      <c r="K1463">
        <v>4</v>
      </c>
      <c r="L1463" t="s">
        <v>41</v>
      </c>
      <c r="M1463">
        <v>39</v>
      </c>
      <c r="N1463">
        <v>2</v>
      </c>
      <c r="O1463">
        <v>3</v>
      </c>
      <c r="P1463" t="s">
        <v>36</v>
      </c>
      <c r="Q1463">
        <v>1</v>
      </c>
      <c r="R1463" t="s">
        <v>47</v>
      </c>
      <c r="S1463">
        <v>10854</v>
      </c>
      <c r="T1463">
        <v>16586</v>
      </c>
      <c r="U1463">
        <v>4</v>
      </c>
      <c r="V1463" t="s">
        <v>31</v>
      </c>
      <c r="W1463">
        <v>13</v>
      </c>
      <c r="X1463">
        <v>3</v>
      </c>
      <c r="Y1463">
        <v>2</v>
      </c>
      <c r="Z1463">
        <v>1</v>
      </c>
      <c r="AA1463">
        <v>20</v>
      </c>
      <c r="AB1463" t="str">
        <f>IF(Table2[[#This Row],[TotalWorkingYears]]&lt;=5,"Early (0-5)",IF(Table2[[#This Row],[TotalWorkingYears]]&lt;=15,"Mid (6-15)","Senior (16+)"))</f>
        <v>Senior (16+)</v>
      </c>
      <c r="AC1463">
        <v>3</v>
      </c>
      <c r="AD1463">
        <v>3</v>
      </c>
      <c r="AE1463" t="s">
        <v>64</v>
      </c>
      <c r="AF1463">
        <v>2</v>
      </c>
      <c r="AG1463">
        <v>2</v>
      </c>
      <c r="AH1463">
        <v>0</v>
      </c>
    </row>
    <row r="1464" spans="1:34" x14ac:dyDescent="0.3">
      <c r="A1464" t="s">
        <v>57</v>
      </c>
      <c r="B1464">
        <v>0</v>
      </c>
      <c r="C1464" t="s">
        <v>32</v>
      </c>
      <c r="D1464">
        <v>722</v>
      </c>
      <c r="E1464" t="s">
        <v>33</v>
      </c>
      <c r="F1464">
        <v>24</v>
      </c>
      <c r="G1464" t="str">
        <f>IF(Table2[[#This Row],[DistanceFromHome]]&lt;=5, "short", IF(Table2[[#This Row],[DistanceFromHome]]&lt;=15, "medium", "long"))</f>
        <v>long</v>
      </c>
      <c r="H1464">
        <v>1</v>
      </c>
      <c r="I1464" t="s">
        <v>54</v>
      </c>
      <c r="J1464">
        <v>2056</v>
      </c>
      <c r="K1464">
        <v>2</v>
      </c>
      <c r="L1464" t="s">
        <v>35</v>
      </c>
      <c r="M1464">
        <v>60</v>
      </c>
      <c r="N1464">
        <v>2</v>
      </c>
      <c r="O1464">
        <v>4</v>
      </c>
      <c r="P1464" t="s">
        <v>36</v>
      </c>
      <c r="Q1464">
        <v>4</v>
      </c>
      <c r="R1464" t="s">
        <v>43</v>
      </c>
      <c r="S1464">
        <v>12031</v>
      </c>
      <c r="T1464">
        <v>8828</v>
      </c>
      <c r="U1464">
        <v>0</v>
      </c>
      <c r="V1464" t="s">
        <v>38</v>
      </c>
      <c r="W1464">
        <v>11</v>
      </c>
      <c r="X1464">
        <v>3</v>
      </c>
      <c r="Y1464">
        <v>1</v>
      </c>
      <c r="Z1464">
        <v>1</v>
      </c>
      <c r="AA1464">
        <v>21</v>
      </c>
      <c r="AB1464" t="str">
        <f>IF(Table2[[#This Row],[TotalWorkingYears]]&lt;=5,"Early (0-5)",IF(Table2[[#This Row],[TotalWorkingYears]]&lt;=15,"Mid (6-15)","Senior (16+)"))</f>
        <v>Senior (16+)</v>
      </c>
      <c r="AC1464">
        <v>2</v>
      </c>
      <c r="AD1464">
        <v>2</v>
      </c>
      <c r="AE1464" t="s">
        <v>65</v>
      </c>
      <c r="AF1464">
        <v>9</v>
      </c>
      <c r="AG1464">
        <v>9</v>
      </c>
      <c r="AH1464">
        <v>6</v>
      </c>
    </row>
    <row r="1465" spans="1:34" x14ac:dyDescent="0.3">
      <c r="A1465" t="s">
        <v>59</v>
      </c>
      <c r="B1465">
        <v>0</v>
      </c>
      <c r="C1465" t="s">
        <v>50</v>
      </c>
      <c r="D1465">
        <v>325</v>
      </c>
      <c r="E1465" t="s">
        <v>40</v>
      </c>
      <c r="F1465">
        <v>5</v>
      </c>
      <c r="G1465" t="str">
        <f>IF(Table2[[#This Row],[DistanceFromHome]]&lt;=5, "short", IF(Table2[[#This Row],[DistanceFromHome]]&lt;=15, "medium", "long"))</f>
        <v>short</v>
      </c>
      <c r="H1465">
        <v>3</v>
      </c>
      <c r="I1465" t="s">
        <v>46</v>
      </c>
      <c r="J1465">
        <v>2057</v>
      </c>
      <c r="K1465">
        <v>2</v>
      </c>
      <c r="L1465" t="s">
        <v>41</v>
      </c>
      <c r="M1465">
        <v>74</v>
      </c>
      <c r="N1465">
        <v>3</v>
      </c>
      <c r="O1465">
        <v>2</v>
      </c>
      <c r="P1465" t="s">
        <v>48</v>
      </c>
      <c r="Q1465">
        <v>1</v>
      </c>
      <c r="R1465" t="s">
        <v>37</v>
      </c>
      <c r="S1465">
        <v>9936</v>
      </c>
      <c r="T1465">
        <v>3787</v>
      </c>
      <c r="U1465">
        <v>0</v>
      </c>
      <c r="V1465" t="s">
        <v>38</v>
      </c>
      <c r="W1465">
        <v>19</v>
      </c>
      <c r="X1465">
        <v>3</v>
      </c>
      <c r="Y1465">
        <v>2</v>
      </c>
      <c r="Z1465">
        <v>0</v>
      </c>
      <c r="AA1465">
        <v>10</v>
      </c>
      <c r="AB1465" t="str">
        <f>IF(Table2[[#This Row],[TotalWorkingYears]]&lt;=5,"Early (0-5)",IF(Table2[[#This Row],[TotalWorkingYears]]&lt;=15,"Mid (6-15)","Senior (16+)"))</f>
        <v>Mid (6-15)</v>
      </c>
      <c r="AC1465">
        <v>2</v>
      </c>
      <c r="AD1465">
        <v>3</v>
      </c>
      <c r="AE1465" t="s">
        <v>62</v>
      </c>
      <c r="AF1465">
        <v>4</v>
      </c>
      <c r="AG1465">
        <v>1</v>
      </c>
      <c r="AH1465">
        <v>7</v>
      </c>
    </row>
    <row r="1466" spans="1:34" x14ac:dyDescent="0.3">
      <c r="A1466" t="s">
        <v>59</v>
      </c>
      <c r="B1466">
        <v>0</v>
      </c>
      <c r="C1466" t="s">
        <v>32</v>
      </c>
      <c r="D1466">
        <v>1167</v>
      </c>
      <c r="E1466" t="s">
        <v>33</v>
      </c>
      <c r="F1466">
        <v>5</v>
      </c>
      <c r="G1466" t="str">
        <f>IF(Table2[[#This Row],[DistanceFromHome]]&lt;=5, "short", IF(Table2[[#This Row],[DistanceFromHome]]&lt;=15, "medium", "long"))</f>
        <v>short</v>
      </c>
      <c r="H1466">
        <v>3</v>
      </c>
      <c r="I1466" t="s">
        <v>44</v>
      </c>
      <c r="J1466">
        <v>2060</v>
      </c>
      <c r="K1466">
        <v>4</v>
      </c>
      <c r="L1466" t="s">
        <v>35</v>
      </c>
      <c r="M1466">
        <v>30</v>
      </c>
      <c r="N1466">
        <v>2</v>
      </c>
      <c r="O1466">
        <v>1</v>
      </c>
      <c r="P1466" t="s">
        <v>52</v>
      </c>
      <c r="Q1466">
        <v>3</v>
      </c>
      <c r="R1466" t="s">
        <v>37</v>
      </c>
      <c r="S1466">
        <v>2966</v>
      </c>
      <c r="T1466">
        <v>21378</v>
      </c>
      <c r="U1466">
        <v>0</v>
      </c>
      <c r="V1466" t="s">
        <v>38</v>
      </c>
      <c r="W1466">
        <v>18</v>
      </c>
      <c r="X1466">
        <v>3</v>
      </c>
      <c r="Y1466">
        <v>4</v>
      </c>
      <c r="Z1466">
        <v>0</v>
      </c>
      <c r="AA1466">
        <v>5</v>
      </c>
      <c r="AB1466" t="str">
        <f>IF(Table2[[#This Row],[TotalWorkingYears]]&lt;=5,"Early (0-5)",IF(Table2[[#This Row],[TotalWorkingYears]]&lt;=15,"Mid (6-15)","Senior (16+)"))</f>
        <v>Early (0-5)</v>
      </c>
      <c r="AC1466">
        <v>2</v>
      </c>
      <c r="AD1466">
        <v>3</v>
      </c>
      <c r="AE1466" t="s">
        <v>64</v>
      </c>
      <c r="AF1466">
        <v>2</v>
      </c>
      <c r="AG1466">
        <v>0</v>
      </c>
      <c r="AH1466">
        <v>0</v>
      </c>
    </row>
    <row r="1467" spans="1:34" x14ac:dyDescent="0.3">
      <c r="A1467" t="s">
        <v>57</v>
      </c>
      <c r="B1467">
        <v>0</v>
      </c>
      <c r="C1467" t="s">
        <v>39</v>
      </c>
      <c r="D1467">
        <v>884</v>
      </c>
      <c r="E1467" t="s">
        <v>40</v>
      </c>
      <c r="F1467">
        <v>23</v>
      </c>
      <c r="G1467" t="str">
        <f>IF(Table2[[#This Row],[DistanceFromHome]]&lt;=5, "short", IF(Table2[[#This Row],[DistanceFromHome]]&lt;=15, "medium", "long"))</f>
        <v>long</v>
      </c>
      <c r="H1467">
        <v>2</v>
      </c>
      <c r="I1467" t="s">
        <v>46</v>
      </c>
      <c r="J1467">
        <v>2061</v>
      </c>
      <c r="K1467">
        <v>3</v>
      </c>
      <c r="L1467" t="s">
        <v>41</v>
      </c>
      <c r="M1467">
        <v>41</v>
      </c>
      <c r="N1467">
        <v>4</v>
      </c>
      <c r="O1467">
        <v>2</v>
      </c>
      <c r="P1467" t="s">
        <v>45</v>
      </c>
      <c r="Q1467">
        <v>4</v>
      </c>
      <c r="R1467" t="s">
        <v>43</v>
      </c>
      <c r="S1467">
        <v>2571</v>
      </c>
      <c r="T1467">
        <v>12290</v>
      </c>
      <c r="U1467">
        <v>4</v>
      </c>
      <c r="V1467" t="s">
        <v>38</v>
      </c>
      <c r="W1467">
        <v>17</v>
      </c>
      <c r="X1467">
        <v>3</v>
      </c>
      <c r="Y1467">
        <v>3</v>
      </c>
      <c r="Z1467">
        <v>1</v>
      </c>
      <c r="AA1467">
        <v>17</v>
      </c>
      <c r="AB1467" t="str">
        <f>IF(Table2[[#This Row],[TotalWorkingYears]]&lt;=5,"Early (0-5)",IF(Table2[[#This Row],[TotalWorkingYears]]&lt;=15,"Mid (6-15)","Senior (16+)"))</f>
        <v>Senior (16+)</v>
      </c>
      <c r="AC1467">
        <v>3</v>
      </c>
      <c r="AD1467">
        <v>3</v>
      </c>
      <c r="AE1467" t="s">
        <v>64</v>
      </c>
      <c r="AF1467">
        <v>2</v>
      </c>
      <c r="AG1467">
        <v>0</v>
      </c>
      <c r="AH1467">
        <v>3</v>
      </c>
    </row>
    <row r="1468" spans="1:34" x14ac:dyDescent="0.3">
      <c r="A1468" t="s">
        <v>57</v>
      </c>
      <c r="B1468">
        <v>0</v>
      </c>
      <c r="C1468" t="s">
        <v>32</v>
      </c>
      <c r="D1468">
        <v>613</v>
      </c>
      <c r="E1468" t="s">
        <v>40</v>
      </c>
      <c r="F1468">
        <v>6</v>
      </c>
      <c r="G1468" t="str">
        <f>IF(Table2[[#This Row],[DistanceFromHome]]&lt;=5, "short", IF(Table2[[#This Row],[DistanceFromHome]]&lt;=15, "medium", "long"))</f>
        <v>medium</v>
      </c>
      <c r="H1468">
        <v>1</v>
      </c>
      <c r="I1468" t="s">
        <v>46</v>
      </c>
      <c r="J1468">
        <v>2062</v>
      </c>
      <c r="K1468">
        <v>4</v>
      </c>
      <c r="L1468" t="s">
        <v>41</v>
      </c>
      <c r="M1468">
        <v>42</v>
      </c>
      <c r="N1468">
        <v>2</v>
      </c>
      <c r="O1468">
        <v>3</v>
      </c>
      <c r="P1468" t="s">
        <v>49</v>
      </c>
      <c r="Q1468">
        <v>1</v>
      </c>
      <c r="R1468" t="s">
        <v>43</v>
      </c>
      <c r="S1468">
        <v>9991</v>
      </c>
      <c r="T1468">
        <v>21457</v>
      </c>
      <c r="U1468">
        <v>4</v>
      </c>
      <c r="V1468" t="s">
        <v>38</v>
      </c>
      <c r="W1468">
        <v>15</v>
      </c>
      <c r="X1468">
        <v>3</v>
      </c>
      <c r="Y1468">
        <v>1</v>
      </c>
      <c r="Z1468">
        <v>1</v>
      </c>
      <c r="AA1468">
        <v>9</v>
      </c>
      <c r="AB1468" t="str">
        <f>IF(Table2[[#This Row],[TotalWorkingYears]]&lt;=5,"Early (0-5)",IF(Table2[[#This Row],[TotalWorkingYears]]&lt;=15,"Mid (6-15)","Senior (16+)"))</f>
        <v>Mid (6-15)</v>
      </c>
      <c r="AC1468">
        <v>5</v>
      </c>
      <c r="AD1468">
        <v>3</v>
      </c>
      <c r="AE1468" t="s">
        <v>62</v>
      </c>
      <c r="AF1468">
        <v>7</v>
      </c>
      <c r="AG1468">
        <v>1</v>
      </c>
      <c r="AH1468">
        <v>7</v>
      </c>
    </row>
    <row r="1469" spans="1:34" x14ac:dyDescent="0.3">
      <c r="A1469" t="s">
        <v>59</v>
      </c>
      <c r="B1469">
        <v>0</v>
      </c>
      <c r="C1469" t="s">
        <v>32</v>
      </c>
      <c r="D1469">
        <v>155</v>
      </c>
      <c r="E1469" t="s">
        <v>40</v>
      </c>
      <c r="F1469">
        <v>4</v>
      </c>
      <c r="G1469" t="str">
        <f>IF(Table2[[#This Row],[DistanceFromHome]]&lt;=5, "short", IF(Table2[[#This Row],[DistanceFromHome]]&lt;=15, "medium", "long"))</f>
        <v>short</v>
      </c>
      <c r="H1469">
        <v>3</v>
      </c>
      <c r="I1469" t="s">
        <v>34</v>
      </c>
      <c r="J1469">
        <v>2064</v>
      </c>
      <c r="K1469">
        <v>2</v>
      </c>
      <c r="L1469" t="s">
        <v>41</v>
      </c>
      <c r="M1469">
        <v>87</v>
      </c>
      <c r="N1469">
        <v>4</v>
      </c>
      <c r="O1469">
        <v>2</v>
      </c>
      <c r="P1469" t="s">
        <v>48</v>
      </c>
      <c r="Q1469">
        <v>2</v>
      </c>
      <c r="R1469" t="s">
        <v>43</v>
      </c>
      <c r="S1469">
        <v>6142</v>
      </c>
      <c r="T1469">
        <v>5174</v>
      </c>
      <c r="U1469">
        <v>1</v>
      </c>
      <c r="V1469" t="s">
        <v>31</v>
      </c>
      <c r="W1469">
        <v>20</v>
      </c>
      <c r="X1469">
        <v>4</v>
      </c>
      <c r="Y1469">
        <v>2</v>
      </c>
      <c r="Z1469">
        <v>1</v>
      </c>
      <c r="AA1469">
        <v>6</v>
      </c>
      <c r="AB1469" t="str">
        <f>IF(Table2[[#This Row],[TotalWorkingYears]]&lt;=5,"Early (0-5)",IF(Table2[[#This Row],[TotalWorkingYears]]&lt;=15,"Mid (6-15)","Senior (16+)"))</f>
        <v>Mid (6-15)</v>
      </c>
      <c r="AC1469">
        <v>0</v>
      </c>
      <c r="AD1469">
        <v>3</v>
      </c>
      <c r="AE1469" t="s">
        <v>62</v>
      </c>
      <c r="AF1469">
        <v>2</v>
      </c>
      <c r="AG1469">
        <v>0</v>
      </c>
      <c r="AH1469">
        <v>3</v>
      </c>
    </row>
    <row r="1470" spans="1:34" x14ac:dyDescent="0.3">
      <c r="A1470" t="s">
        <v>58</v>
      </c>
      <c r="B1470">
        <v>0</v>
      </c>
      <c r="C1470" t="s">
        <v>39</v>
      </c>
      <c r="D1470">
        <v>1023</v>
      </c>
      <c r="E1470" t="s">
        <v>33</v>
      </c>
      <c r="F1470">
        <v>2</v>
      </c>
      <c r="G1470" t="str">
        <f>IF(Table2[[#This Row],[DistanceFromHome]]&lt;=5, "short", IF(Table2[[#This Row],[DistanceFromHome]]&lt;=15, "medium", "long"))</f>
        <v>short</v>
      </c>
      <c r="H1470">
        <v>3</v>
      </c>
      <c r="I1470" t="s">
        <v>46</v>
      </c>
      <c r="J1470">
        <v>2065</v>
      </c>
      <c r="K1470">
        <v>4</v>
      </c>
      <c r="L1470" t="s">
        <v>41</v>
      </c>
      <c r="M1470">
        <v>63</v>
      </c>
      <c r="N1470">
        <v>2</v>
      </c>
      <c r="O1470">
        <v>2</v>
      </c>
      <c r="P1470" t="s">
        <v>36</v>
      </c>
      <c r="Q1470">
        <v>2</v>
      </c>
      <c r="R1470" t="s">
        <v>43</v>
      </c>
      <c r="S1470">
        <v>5390</v>
      </c>
      <c r="T1470">
        <v>13243</v>
      </c>
      <c r="U1470">
        <v>2</v>
      </c>
      <c r="V1470" t="s">
        <v>38</v>
      </c>
      <c r="W1470">
        <v>14</v>
      </c>
      <c r="X1470">
        <v>3</v>
      </c>
      <c r="Y1470">
        <v>4</v>
      </c>
      <c r="Z1470">
        <v>0</v>
      </c>
      <c r="AA1470">
        <v>17</v>
      </c>
      <c r="AB1470" t="str">
        <f>IF(Table2[[#This Row],[TotalWorkingYears]]&lt;=5,"Early (0-5)",IF(Table2[[#This Row],[TotalWorkingYears]]&lt;=15,"Mid (6-15)","Senior (16+)"))</f>
        <v>Senior (16+)</v>
      </c>
      <c r="AC1470">
        <v>3</v>
      </c>
      <c r="AD1470">
        <v>2</v>
      </c>
      <c r="AE1470" t="s">
        <v>62</v>
      </c>
      <c r="AF1470">
        <v>6</v>
      </c>
      <c r="AG1470">
        <v>0</v>
      </c>
      <c r="AH1470">
        <v>8</v>
      </c>
    </row>
    <row r="1471" spans="1:34" x14ac:dyDescent="0.3">
      <c r="A1471" t="s">
        <v>59</v>
      </c>
      <c r="B1471">
        <v>0</v>
      </c>
      <c r="C1471" t="s">
        <v>32</v>
      </c>
      <c r="D1471">
        <v>628</v>
      </c>
      <c r="E1471" t="s">
        <v>40</v>
      </c>
      <c r="F1471">
        <v>8</v>
      </c>
      <c r="G1471" t="str">
        <f>IF(Table2[[#This Row],[DistanceFromHome]]&lt;=5, "short", IF(Table2[[#This Row],[DistanceFromHome]]&lt;=15, "medium", "long"))</f>
        <v>medium</v>
      </c>
      <c r="H1471">
        <v>3</v>
      </c>
      <c r="I1471" t="s">
        <v>46</v>
      </c>
      <c r="J1471">
        <v>2068</v>
      </c>
      <c r="K1471">
        <v>2</v>
      </c>
      <c r="L1471" t="s">
        <v>41</v>
      </c>
      <c r="M1471">
        <v>82</v>
      </c>
      <c r="N1471">
        <v>4</v>
      </c>
      <c r="O1471">
        <v>2</v>
      </c>
      <c r="P1471" t="s">
        <v>45</v>
      </c>
      <c r="Q1471">
        <v>3</v>
      </c>
      <c r="R1471" t="s">
        <v>43</v>
      </c>
      <c r="S1471">
        <v>4404</v>
      </c>
      <c r="T1471">
        <v>10228</v>
      </c>
      <c r="U1471">
        <v>2</v>
      </c>
      <c r="V1471" t="s">
        <v>38</v>
      </c>
      <c r="W1471">
        <v>12</v>
      </c>
      <c r="X1471">
        <v>3</v>
      </c>
      <c r="Y1471">
        <v>1</v>
      </c>
      <c r="Z1471">
        <v>0</v>
      </c>
      <c r="AA1471">
        <v>6</v>
      </c>
      <c r="AB1471" t="str">
        <f>IF(Table2[[#This Row],[TotalWorkingYears]]&lt;=5,"Early (0-5)",IF(Table2[[#This Row],[TotalWorkingYears]]&lt;=15,"Mid (6-15)","Senior (16+)"))</f>
        <v>Mid (6-15)</v>
      </c>
      <c r="AC1471">
        <v>3</v>
      </c>
      <c r="AD1471">
        <v>4</v>
      </c>
      <c r="AE1471" t="s">
        <v>64</v>
      </c>
      <c r="AF1471">
        <v>3</v>
      </c>
      <c r="AG1471">
        <v>1</v>
      </c>
      <c r="AH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65"/>
  <sheetViews>
    <sheetView topLeftCell="A70" zoomScale="85" zoomScaleNormal="85" workbookViewId="0">
      <selection activeCell="L36" sqref="L36:L39"/>
    </sheetView>
  </sheetViews>
  <sheetFormatPr defaultRowHeight="14.4" x14ac:dyDescent="0.3"/>
  <cols>
    <col min="1" max="1" width="23.88671875" customWidth="1"/>
    <col min="2" max="2" width="19.21875" customWidth="1"/>
    <col min="3" max="3" width="18.33203125" customWidth="1"/>
    <col min="6" max="6" width="16.21875" customWidth="1"/>
    <col min="7" max="7" width="19.21875" customWidth="1"/>
    <col min="8" max="8" width="4" customWidth="1"/>
    <col min="9" max="9" width="11.44140625" customWidth="1"/>
    <col min="10" max="10" width="10.77734375" customWidth="1"/>
    <col min="11" max="11" width="17.109375" customWidth="1"/>
    <col min="12" max="12" width="16.44140625" customWidth="1"/>
    <col min="13" max="13" width="8.6640625" customWidth="1"/>
    <col min="14" max="15" width="11.44140625" customWidth="1"/>
    <col min="16" max="16" width="17.109375" customWidth="1"/>
    <col min="17" max="17" width="19.21875" customWidth="1"/>
    <col min="18" max="18" width="4" customWidth="1"/>
    <col min="19" max="19" width="25.5546875" customWidth="1"/>
    <col min="20" max="20" width="4" customWidth="1"/>
    <col min="21" max="21" width="17.109375" customWidth="1"/>
    <col min="22" max="22" width="16.44140625" customWidth="1"/>
    <col min="23" max="23" width="4" customWidth="1"/>
    <col min="24" max="24" width="11.44140625" customWidth="1"/>
    <col min="25" max="2947" width="15.5546875" bestFit="1" customWidth="1"/>
    <col min="2948" max="2948" width="19.33203125" bestFit="1" customWidth="1"/>
    <col min="2949" max="2949" width="20.33203125" bestFit="1" customWidth="1"/>
  </cols>
  <sheetData>
    <row r="2" spans="1:21" x14ac:dyDescent="0.3">
      <c r="A2" t="s">
        <v>66</v>
      </c>
      <c r="F2" t="s">
        <v>82</v>
      </c>
      <c r="K2" t="s">
        <v>89</v>
      </c>
    </row>
    <row r="3" spans="1:21" x14ac:dyDescent="0.3">
      <c r="A3" s="2" t="s">
        <v>67</v>
      </c>
      <c r="B3" t="s">
        <v>69</v>
      </c>
      <c r="F3" s="2" t="s">
        <v>67</v>
      </c>
      <c r="G3" t="s">
        <v>69</v>
      </c>
      <c r="H3" t="s">
        <v>70</v>
      </c>
      <c r="K3" s="2" t="s">
        <v>67</v>
      </c>
      <c r="L3" t="s">
        <v>69</v>
      </c>
      <c r="M3" t="s">
        <v>70</v>
      </c>
      <c r="Q3" t="s">
        <v>69</v>
      </c>
      <c r="S3" t="s">
        <v>86</v>
      </c>
      <c r="U3" t="s">
        <v>104</v>
      </c>
    </row>
    <row r="4" spans="1:21" x14ac:dyDescent="0.3">
      <c r="A4" s="3" t="s">
        <v>56</v>
      </c>
      <c r="B4" s="9">
        <v>0.19047619047619047</v>
      </c>
      <c r="F4" s="3" t="s">
        <v>35</v>
      </c>
      <c r="G4" s="9">
        <v>0.14795918367346939</v>
      </c>
      <c r="H4" s="1">
        <v>588</v>
      </c>
      <c r="K4" s="3" t="s">
        <v>47</v>
      </c>
      <c r="L4" s="9">
        <v>0.10091743119266056</v>
      </c>
      <c r="M4" s="1">
        <v>327</v>
      </c>
      <c r="Q4" s="9">
        <v>0.16122448979591836</v>
      </c>
      <c r="S4" s="1">
        <v>1470</v>
      </c>
      <c r="U4" s="1">
        <v>237</v>
      </c>
    </row>
    <row r="5" spans="1:21" x14ac:dyDescent="0.3">
      <c r="A5" s="3" t="s">
        <v>40</v>
      </c>
      <c r="B5" s="9">
        <v>0.13839750260145681</v>
      </c>
      <c r="F5" s="3" t="s">
        <v>41</v>
      </c>
      <c r="G5" s="9">
        <v>0.17006802721088435</v>
      </c>
      <c r="H5" s="1">
        <v>882</v>
      </c>
      <c r="K5" s="3" t="s">
        <v>43</v>
      </c>
      <c r="L5" s="9">
        <v>0.12481426448736999</v>
      </c>
      <c r="M5" s="1">
        <v>673</v>
      </c>
    </row>
    <row r="6" spans="1:21" x14ac:dyDescent="0.3">
      <c r="A6" s="3" t="s">
        <v>33</v>
      </c>
      <c r="B6" s="9">
        <v>0.20627802690582961</v>
      </c>
      <c r="F6" s="3" t="s">
        <v>68</v>
      </c>
      <c r="G6" s="9">
        <v>0.16122448979591836</v>
      </c>
      <c r="H6" s="1">
        <v>1470</v>
      </c>
      <c r="K6" s="3" t="s">
        <v>37</v>
      </c>
      <c r="L6" s="9">
        <v>0.25531914893617019</v>
      </c>
      <c r="M6" s="1">
        <v>470</v>
      </c>
    </row>
    <row r="7" spans="1:21" x14ac:dyDescent="0.3">
      <c r="A7" s="3" t="s">
        <v>68</v>
      </c>
      <c r="B7" s="9">
        <v>0.16122448979591836</v>
      </c>
      <c r="K7" s="3" t="s">
        <v>68</v>
      </c>
      <c r="L7" s="9">
        <v>0.16122448979591836</v>
      </c>
      <c r="M7" s="1">
        <v>1470</v>
      </c>
    </row>
    <row r="11" spans="1:21" x14ac:dyDescent="0.3">
      <c r="A11" t="s">
        <v>71</v>
      </c>
      <c r="F11" t="s">
        <v>83</v>
      </c>
      <c r="K11" t="s">
        <v>90</v>
      </c>
    </row>
    <row r="12" spans="1:21" x14ac:dyDescent="0.3">
      <c r="A12" s="2" t="s">
        <v>67</v>
      </c>
      <c r="B12" t="s">
        <v>69</v>
      </c>
      <c r="F12" s="2" t="s">
        <v>67</v>
      </c>
      <c r="G12" t="s">
        <v>69</v>
      </c>
      <c r="K12" s="2" t="s">
        <v>67</v>
      </c>
      <c r="L12" t="s">
        <v>69</v>
      </c>
      <c r="M12" t="s">
        <v>70</v>
      </c>
    </row>
    <row r="13" spans="1:21" x14ac:dyDescent="0.3">
      <c r="A13" s="3" t="s">
        <v>38</v>
      </c>
      <c r="B13" s="9">
        <v>0.10436432637571158</v>
      </c>
      <c r="F13" s="3" t="s">
        <v>58</v>
      </c>
      <c r="G13" s="9">
        <v>0.12454212454212454</v>
      </c>
      <c r="K13" s="3">
        <v>0</v>
      </c>
      <c r="L13" s="9">
        <v>0.24405705229793978</v>
      </c>
      <c r="M13" s="1">
        <v>631</v>
      </c>
    </row>
    <row r="14" spans="1:21" x14ac:dyDescent="0.3">
      <c r="A14" s="3" t="s">
        <v>31</v>
      </c>
      <c r="B14" s="9">
        <v>0.30528846153846156</v>
      </c>
      <c r="F14" s="3" t="s">
        <v>57</v>
      </c>
      <c r="G14" s="9">
        <v>9.1880341880341887E-2</v>
      </c>
      <c r="K14" s="3">
        <v>1</v>
      </c>
      <c r="L14" s="9">
        <v>9.3959731543624164E-2</v>
      </c>
      <c r="M14" s="1">
        <v>596</v>
      </c>
    </row>
    <row r="15" spans="1:21" x14ac:dyDescent="0.3">
      <c r="A15" s="3" t="s">
        <v>68</v>
      </c>
      <c r="B15" s="9">
        <v>0.16122448979591836</v>
      </c>
      <c r="F15" s="3" t="s">
        <v>59</v>
      </c>
      <c r="G15" s="9">
        <v>0.19141914191419143</v>
      </c>
      <c r="K15" s="3">
        <v>2</v>
      </c>
      <c r="L15" s="9">
        <v>7.5949367088607597E-2</v>
      </c>
      <c r="M15" s="1">
        <v>158</v>
      </c>
    </row>
    <row r="16" spans="1:21" x14ac:dyDescent="0.3">
      <c r="F16" s="3" t="s">
        <v>60</v>
      </c>
      <c r="G16" s="9">
        <v>0.35772357723577236</v>
      </c>
      <c r="K16" s="3">
        <v>3</v>
      </c>
      <c r="L16" s="9">
        <v>0.17647058823529413</v>
      </c>
      <c r="M16" s="1">
        <v>85</v>
      </c>
    </row>
    <row r="17" spans="1:24" x14ac:dyDescent="0.3">
      <c r="F17" s="3" t="s">
        <v>68</v>
      </c>
      <c r="G17" s="9">
        <v>0.16122448979591836</v>
      </c>
      <c r="K17" s="3" t="s">
        <v>68</v>
      </c>
      <c r="L17" s="9">
        <v>0.16122448979591836</v>
      </c>
      <c r="M17" s="1">
        <v>1470</v>
      </c>
    </row>
    <row r="18" spans="1:24" x14ac:dyDescent="0.3">
      <c r="F18" s="3"/>
      <c r="G18" s="4"/>
      <c r="H18" s="1"/>
      <c r="K18" s="3"/>
      <c r="L18" s="4"/>
      <c r="M18" s="1"/>
    </row>
    <row r="19" spans="1:24" x14ac:dyDescent="0.3">
      <c r="F19" s="3"/>
      <c r="G19" s="4"/>
      <c r="H19" s="1"/>
      <c r="K19" s="3"/>
      <c r="L19" s="4"/>
      <c r="M19" s="1"/>
    </row>
    <row r="21" spans="1:24" x14ac:dyDescent="0.3">
      <c r="A21" t="s">
        <v>72</v>
      </c>
      <c r="F21" t="s">
        <v>84</v>
      </c>
      <c r="K21" t="s">
        <v>91</v>
      </c>
    </row>
    <row r="22" spans="1:24" x14ac:dyDescent="0.3">
      <c r="A22" s="2" t="s">
        <v>67</v>
      </c>
      <c r="B22" t="s">
        <v>69</v>
      </c>
      <c r="F22" s="2" t="s">
        <v>86</v>
      </c>
      <c r="G22" s="2" t="s">
        <v>85</v>
      </c>
      <c r="K22" s="2" t="s">
        <v>67</v>
      </c>
      <c r="L22" t="s">
        <v>69</v>
      </c>
      <c r="P22" s="2" t="s">
        <v>103</v>
      </c>
      <c r="Q22" s="2" t="s">
        <v>85</v>
      </c>
      <c r="U22" s="2" t="s">
        <v>103</v>
      </c>
      <c r="V22" s="2" t="s">
        <v>85</v>
      </c>
    </row>
    <row r="23" spans="1:24" x14ac:dyDescent="0.3">
      <c r="A23" s="3" t="s">
        <v>73</v>
      </c>
      <c r="B23" s="9">
        <v>0.25276752767527677</v>
      </c>
      <c r="F23" s="2" t="s">
        <v>67</v>
      </c>
      <c r="G23">
        <v>0</v>
      </c>
      <c r="H23">
        <v>1</v>
      </c>
      <c r="I23" t="s">
        <v>68</v>
      </c>
      <c r="K23" s="3" t="s">
        <v>93</v>
      </c>
      <c r="L23" s="9">
        <v>0.20668693009118541</v>
      </c>
      <c r="P23" s="2" t="s">
        <v>67</v>
      </c>
      <c r="Q23">
        <v>0</v>
      </c>
      <c r="R23">
        <v>1</v>
      </c>
      <c r="S23" t="s">
        <v>68</v>
      </c>
      <c r="U23" s="2" t="s">
        <v>67</v>
      </c>
      <c r="V23">
        <v>0</v>
      </c>
      <c r="W23">
        <v>1</v>
      </c>
      <c r="X23" t="s">
        <v>68</v>
      </c>
    </row>
    <row r="24" spans="1:24" x14ac:dyDescent="0.3">
      <c r="A24" s="3" t="s">
        <v>74</v>
      </c>
      <c r="B24" s="9">
        <v>0.10750507099391481</v>
      </c>
      <c r="F24" s="3" t="s">
        <v>38</v>
      </c>
      <c r="G24" s="1">
        <v>944</v>
      </c>
      <c r="H24" s="1">
        <v>110</v>
      </c>
      <c r="I24" s="1">
        <v>1054</v>
      </c>
      <c r="J24" s="1"/>
      <c r="K24" s="3" t="s">
        <v>94</v>
      </c>
      <c r="L24" s="9">
        <v>0.16110019646365423</v>
      </c>
      <c r="P24" s="3" t="s">
        <v>93</v>
      </c>
      <c r="Q24" s="1">
        <v>261</v>
      </c>
      <c r="R24" s="1">
        <v>68</v>
      </c>
      <c r="S24" s="1">
        <v>329</v>
      </c>
      <c r="U24" s="3" t="s">
        <v>73</v>
      </c>
      <c r="V24" s="1">
        <v>405</v>
      </c>
      <c r="W24" s="1">
        <v>137</v>
      </c>
      <c r="X24" s="1">
        <v>542</v>
      </c>
    </row>
    <row r="25" spans="1:24" x14ac:dyDescent="0.3">
      <c r="A25" s="3" t="s">
        <v>75</v>
      </c>
      <c r="B25" s="9">
        <v>0.14285714285714285</v>
      </c>
      <c r="F25" s="3" t="s">
        <v>31</v>
      </c>
      <c r="G25" s="1">
        <v>289</v>
      </c>
      <c r="H25" s="1">
        <v>127</v>
      </c>
      <c r="I25" s="1">
        <v>416</v>
      </c>
      <c r="J25" s="1"/>
      <c r="K25" s="3" t="s">
        <v>95</v>
      </c>
      <c r="L25" s="9">
        <v>0.13765822784810128</v>
      </c>
      <c r="P25" s="3" t="s">
        <v>94</v>
      </c>
      <c r="Q25" s="1">
        <v>427</v>
      </c>
      <c r="R25" s="1">
        <v>82</v>
      </c>
      <c r="S25" s="1">
        <v>509</v>
      </c>
      <c r="U25" s="3" t="s">
        <v>74</v>
      </c>
      <c r="V25" s="1">
        <v>440</v>
      </c>
      <c r="W25" s="1">
        <v>53</v>
      </c>
      <c r="X25" s="1">
        <v>493</v>
      </c>
    </row>
    <row r="26" spans="1:24" x14ac:dyDescent="0.3">
      <c r="A26" s="3" t="s">
        <v>76</v>
      </c>
      <c r="B26" s="9">
        <v>0.16666666666666666</v>
      </c>
      <c r="F26" s="3" t="s">
        <v>68</v>
      </c>
      <c r="G26" s="1">
        <v>1233</v>
      </c>
      <c r="H26" s="1">
        <v>237</v>
      </c>
      <c r="I26" s="1">
        <v>1470</v>
      </c>
      <c r="J26" s="1"/>
      <c r="K26" s="3" t="s">
        <v>68</v>
      </c>
      <c r="L26" s="9">
        <v>0.16122448979591836</v>
      </c>
      <c r="P26" s="3" t="s">
        <v>95</v>
      </c>
      <c r="Q26" s="1">
        <v>545</v>
      </c>
      <c r="R26" s="1">
        <v>87</v>
      </c>
      <c r="S26" s="1">
        <v>632</v>
      </c>
      <c r="U26" s="3" t="s">
        <v>75</v>
      </c>
      <c r="V26" s="1">
        <v>132</v>
      </c>
      <c r="W26" s="1">
        <v>22</v>
      </c>
      <c r="X26" s="1">
        <v>154</v>
      </c>
    </row>
    <row r="27" spans="1:24" x14ac:dyDescent="0.3">
      <c r="A27" s="3" t="s">
        <v>77</v>
      </c>
      <c r="B27" s="9">
        <v>6.7796610169491525E-2</v>
      </c>
      <c r="P27" s="3" t="s">
        <v>68</v>
      </c>
      <c r="Q27" s="1">
        <v>1233</v>
      </c>
      <c r="R27" s="1">
        <v>237</v>
      </c>
      <c r="S27" s="1">
        <v>1470</v>
      </c>
      <c r="U27" s="3" t="s">
        <v>76</v>
      </c>
      <c r="V27" s="1">
        <v>80</v>
      </c>
      <c r="W27" s="1">
        <v>16</v>
      </c>
      <c r="X27" s="1">
        <v>96</v>
      </c>
    </row>
    <row r="28" spans="1:24" x14ac:dyDescent="0.3">
      <c r="A28" s="3" t="s">
        <v>78</v>
      </c>
      <c r="B28" s="9">
        <v>1.3157894736842105E-2</v>
      </c>
      <c r="U28" s="3" t="s">
        <v>77</v>
      </c>
      <c r="V28" s="1">
        <v>55</v>
      </c>
      <c r="W28" s="1">
        <v>4</v>
      </c>
      <c r="X28" s="1">
        <v>59</v>
      </c>
    </row>
    <row r="29" spans="1:24" x14ac:dyDescent="0.3">
      <c r="A29" s="3" t="s">
        <v>79</v>
      </c>
      <c r="B29" s="9">
        <v>0.08</v>
      </c>
      <c r="U29" s="3" t="s">
        <v>78</v>
      </c>
      <c r="V29" s="1">
        <v>75</v>
      </c>
      <c r="W29" s="1">
        <v>1</v>
      </c>
      <c r="X29" s="1">
        <v>76</v>
      </c>
    </row>
    <row r="30" spans="1:24" x14ac:dyDescent="0.3">
      <c r="A30" s="3" t="s">
        <v>68</v>
      </c>
      <c r="B30" s="9">
        <v>0.16122448979591836</v>
      </c>
      <c r="U30" s="3" t="s">
        <v>79</v>
      </c>
      <c r="V30" s="1">
        <v>46</v>
      </c>
      <c r="W30" s="1">
        <v>4</v>
      </c>
      <c r="X30" s="1">
        <v>50</v>
      </c>
    </row>
    <row r="31" spans="1:24" x14ac:dyDescent="0.3">
      <c r="U31" s="3" t="s">
        <v>68</v>
      </c>
      <c r="V31" s="1">
        <v>1233</v>
      </c>
      <c r="W31" s="1">
        <v>237</v>
      </c>
      <c r="X31" s="1">
        <v>1470</v>
      </c>
    </row>
    <row r="34" spans="1:24" x14ac:dyDescent="0.3">
      <c r="A34" t="s">
        <v>80</v>
      </c>
      <c r="F34" t="s">
        <v>87</v>
      </c>
      <c r="K34" t="s">
        <v>102</v>
      </c>
    </row>
    <row r="35" spans="1:24" x14ac:dyDescent="0.3">
      <c r="A35" s="2" t="s">
        <v>67</v>
      </c>
      <c r="B35" t="s">
        <v>69</v>
      </c>
      <c r="F35" s="2" t="s">
        <v>67</v>
      </c>
      <c r="G35" t="s">
        <v>69</v>
      </c>
      <c r="K35" s="2" t="s">
        <v>67</v>
      </c>
      <c r="L35" t="s">
        <v>69</v>
      </c>
      <c r="M35" t="s">
        <v>70</v>
      </c>
      <c r="P35" s="2" t="s">
        <v>103</v>
      </c>
      <c r="Q35" s="2" t="s">
        <v>85</v>
      </c>
      <c r="U35" s="2" t="s">
        <v>103</v>
      </c>
      <c r="V35" s="2" t="s">
        <v>85</v>
      </c>
    </row>
    <row r="36" spans="1:24" x14ac:dyDescent="0.3">
      <c r="A36" s="3" t="s">
        <v>63</v>
      </c>
      <c r="B36" s="9">
        <v>0.2982456140350877</v>
      </c>
      <c r="F36" s="3" t="s">
        <v>50</v>
      </c>
      <c r="G36" s="9">
        <v>0.08</v>
      </c>
      <c r="K36" s="3" t="s">
        <v>97</v>
      </c>
      <c r="L36" s="9">
        <v>0.28797468354430378</v>
      </c>
      <c r="M36" s="1">
        <v>316</v>
      </c>
      <c r="P36" s="2" t="s">
        <v>67</v>
      </c>
      <c r="Q36">
        <v>0</v>
      </c>
      <c r="R36">
        <v>1</v>
      </c>
      <c r="S36" t="s">
        <v>68</v>
      </c>
      <c r="U36" s="2" t="s">
        <v>67</v>
      </c>
      <c r="V36">
        <v>0</v>
      </c>
      <c r="W36">
        <v>1</v>
      </c>
      <c r="X36" t="s">
        <v>68</v>
      </c>
    </row>
    <row r="37" spans="1:24" x14ac:dyDescent="0.3">
      <c r="A37" s="3" t="s">
        <v>64</v>
      </c>
      <c r="B37" s="9">
        <v>0.13824884792626729</v>
      </c>
      <c r="F37" s="3" t="s">
        <v>39</v>
      </c>
      <c r="G37" s="9">
        <v>0.24909747292418771</v>
      </c>
      <c r="K37" s="3" t="s">
        <v>98</v>
      </c>
      <c r="L37" s="9">
        <v>0.14411027568922305</v>
      </c>
      <c r="M37" s="1">
        <v>798</v>
      </c>
      <c r="P37" s="3" t="s">
        <v>97</v>
      </c>
      <c r="Q37" s="1">
        <v>225</v>
      </c>
      <c r="R37" s="1">
        <v>91</v>
      </c>
      <c r="S37" s="1">
        <v>316</v>
      </c>
      <c r="U37" s="3" t="s">
        <v>56</v>
      </c>
      <c r="V37" s="1">
        <v>51</v>
      </c>
      <c r="W37" s="1">
        <v>12</v>
      </c>
      <c r="X37" s="1">
        <v>63</v>
      </c>
    </row>
    <row r="38" spans="1:24" x14ac:dyDescent="0.3">
      <c r="A38" s="3" t="s">
        <v>62</v>
      </c>
      <c r="B38" s="9">
        <v>0.12276785714285714</v>
      </c>
      <c r="F38" s="3" t="s">
        <v>32</v>
      </c>
      <c r="G38" s="9">
        <v>0.14956855225311602</v>
      </c>
      <c r="K38" s="3" t="s">
        <v>99</v>
      </c>
      <c r="L38" s="9">
        <v>8.7078651685393263E-2</v>
      </c>
      <c r="M38" s="1">
        <v>356</v>
      </c>
      <c r="P38" s="3" t="s">
        <v>98</v>
      </c>
      <c r="Q38" s="1">
        <v>683</v>
      </c>
      <c r="R38" s="1">
        <v>115</v>
      </c>
      <c r="S38" s="1">
        <v>798</v>
      </c>
      <c r="U38" s="3" t="s">
        <v>40</v>
      </c>
      <c r="V38" s="1">
        <v>828</v>
      </c>
      <c r="W38" s="1">
        <v>133</v>
      </c>
      <c r="X38" s="1">
        <v>961</v>
      </c>
    </row>
    <row r="39" spans="1:24" x14ac:dyDescent="0.3">
      <c r="A39" s="3" t="s">
        <v>65</v>
      </c>
      <c r="B39" s="9">
        <v>8.1300813008130079E-2</v>
      </c>
      <c r="F39" s="3" t="s">
        <v>68</v>
      </c>
      <c r="G39" s="9">
        <v>0.16122448979591836</v>
      </c>
      <c r="K39" s="3" t="s">
        <v>68</v>
      </c>
      <c r="L39" s="9">
        <v>0.16122448979591836</v>
      </c>
      <c r="M39" s="1">
        <v>1470</v>
      </c>
      <c r="P39" s="3" t="s">
        <v>99</v>
      </c>
      <c r="Q39" s="1">
        <v>325</v>
      </c>
      <c r="R39" s="1">
        <v>31</v>
      </c>
      <c r="S39" s="1">
        <v>356</v>
      </c>
      <c r="U39" s="3" t="s">
        <v>33</v>
      </c>
      <c r="V39" s="1">
        <v>354</v>
      </c>
      <c r="W39" s="1">
        <v>92</v>
      </c>
      <c r="X39" s="1">
        <v>446</v>
      </c>
    </row>
    <row r="40" spans="1:24" x14ac:dyDescent="0.3">
      <c r="A40" s="3" t="s">
        <v>68</v>
      </c>
      <c r="B40" s="9">
        <v>0.16122448979591836</v>
      </c>
      <c r="P40" s="3" t="s">
        <v>68</v>
      </c>
      <c r="Q40" s="1">
        <v>1233</v>
      </c>
      <c r="R40" s="1">
        <v>237</v>
      </c>
      <c r="S40" s="1">
        <v>1470</v>
      </c>
      <c r="U40" s="3" t="s">
        <v>68</v>
      </c>
      <c r="V40" s="1">
        <v>1233</v>
      </c>
      <c r="W40" s="1">
        <v>237</v>
      </c>
      <c r="X40" s="1">
        <v>1470</v>
      </c>
    </row>
    <row r="44" spans="1:24" x14ac:dyDescent="0.3">
      <c r="A44" t="s">
        <v>81</v>
      </c>
      <c r="F44" t="s">
        <v>88</v>
      </c>
    </row>
    <row r="45" spans="1:24" x14ac:dyDescent="0.3">
      <c r="A45" s="2" t="s">
        <v>67</v>
      </c>
      <c r="B45" t="s">
        <v>69</v>
      </c>
      <c r="F45" s="2" t="s">
        <v>67</v>
      </c>
      <c r="G45" t="s">
        <v>69</v>
      </c>
      <c r="H45" t="s">
        <v>70</v>
      </c>
      <c r="K45" s="2" t="s">
        <v>103</v>
      </c>
      <c r="L45" s="2" t="s">
        <v>85</v>
      </c>
      <c r="P45" s="2" t="s">
        <v>103</v>
      </c>
      <c r="Q45" s="2" t="s">
        <v>85</v>
      </c>
      <c r="U45" s="2" t="s">
        <v>103</v>
      </c>
      <c r="V45" s="2" t="s">
        <v>85</v>
      </c>
    </row>
    <row r="46" spans="1:24" x14ac:dyDescent="0.3">
      <c r="A46" s="3" t="s">
        <v>53</v>
      </c>
      <c r="B46" s="9">
        <v>2.5000000000000001E-2</v>
      </c>
      <c r="F46" s="3">
        <v>1</v>
      </c>
      <c r="G46" s="9">
        <v>0.22837370242214533</v>
      </c>
      <c r="H46" s="1">
        <v>289</v>
      </c>
      <c r="K46" s="2" t="s">
        <v>67</v>
      </c>
      <c r="L46">
        <v>0</v>
      </c>
      <c r="M46">
        <v>1</v>
      </c>
      <c r="N46" t="s">
        <v>68</v>
      </c>
      <c r="P46" s="2" t="s">
        <v>67</v>
      </c>
      <c r="Q46">
        <v>0</v>
      </c>
      <c r="R46">
        <v>1</v>
      </c>
      <c r="S46" t="s">
        <v>68</v>
      </c>
      <c r="U46" s="2" t="s">
        <v>67</v>
      </c>
      <c r="V46">
        <v>0</v>
      </c>
      <c r="W46">
        <v>1</v>
      </c>
      <c r="X46" t="s">
        <v>68</v>
      </c>
    </row>
    <row r="47" spans="1:24" x14ac:dyDescent="0.3">
      <c r="A47" s="3" t="s">
        <v>51</v>
      </c>
      <c r="B47" s="9">
        <v>4.9019607843137254E-2</v>
      </c>
      <c r="F47" s="3">
        <v>2</v>
      </c>
      <c r="G47" s="9">
        <v>0.16428571428571428</v>
      </c>
      <c r="H47" s="1">
        <v>280</v>
      </c>
      <c r="K47" s="3">
        <v>1</v>
      </c>
      <c r="L47" s="1">
        <v>223</v>
      </c>
      <c r="M47" s="1">
        <v>66</v>
      </c>
      <c r="N47" s="1">
        <v>289</v>
      </c>
      <c r="O47" s="1"/>
      <c r="P47" s="3" t="s">
        <v>60</v>
      </c>
      <c r="Q47" s="1">
        <v>79</v>
      </c>
      <c r="R47" s="1">
        <v>44</v>
      </c>
      <c r="S47" s="1">
        <v>123</v>
      </c>
      <c r="U47" s="3" t="s">
        <v>63</v>
      </c>
      <c r="V47" s="1">
        <v>240</v>
      </c>
      <c r="W47" s="1">
        <v>102</v>
      </c>
      <c r="X47" s="1">
        <v>342</v>
      </c>
    </row>
    <row r="48" spans="1:24" x14ac:dyDescent="0.3">
      <c r="A48" s="3" t="s">
        <v>49</v>
      </c>
      <c r="B48" s="9">
        <v>6.8702290076335881E-2</v>
      </c>
      <c r="F48" s="3">
        <v>3</v>
      </c>
      <c r="G48" s="9">
        <v>0.16515837104072398</v>
      </c>
      <c r="H48" s="1">
        <v>442</v>
      </c>
      <c r="K48" s="3">
        <v>2</v>
      </c>
      <c r="L48" s="1">
        <v>234</v>
      </c>
      <c r="M48" s="1">
        <v>46</v>
      </c>
      <c r="N48" s="1">
        <v>280</v>
      </c>
      <c r="O48" s="1"/>
      <c r="P48" s="3" t="s">
        <v>59</v>
      </c>
      <c r="Q48" s="1">
        <v>490</v>
      </c>
      <c r="R48" s="1">
        <v>116</v>
      </c>
      <c r="S48" s="1">
        <v>606</v>
      </c>
      <c r="U48" s="3" t="s">
        <v>64</v>
      </c>
      <c r="V48" s="1">
        <v>374</v>
      </c>
      <c r="W48" s="1">
        <v>60</v>
      </c>
      <c r="X48" s="1">
        <v>434</v>
      </c>
    </row>
    <row r="49" spans="1:24" x14ac:dyDescent="0.3">
      <c r="A49" s="3" t="s">
        <v>48</v>
      </c>
      <c r="B49" s="9">
        <v>6.8965517241379309E-2</v>
      </c>
      <c r="F49" s="3">
        <v>4</v>
      </c>
      <c r="G49" s="9">
        <v>0.11328976034858387</v>
      </c>
      <c r="H49" s="1">
        <v>459</v>
      </c>
      <c r="K49" s="3">
        <v>3</v>
      </c>
      <c r="L49" s="1">
        <v>369</v>
      </c>
      <c r="M49" s="1">
        <v>73</v>
      </c>
      <c r="N49" s="1">
        <v>442</v>
      </c>
      <c r="O49" s="1"/>
      <c r="P49" s="3" t="s">
        <v>57</v>
      </c>
      <c r="Q49" s="1">
        <v>425</v>
      </c>
      <c r="R49" s="1">
        <v>43</v>
      </c>
      <c r="S49" s="1">
        <v>468</v>
      </c>
      <c r="U49" s="3" t="s">
        <v>62</v>
      </c>
      <c r="V49" s="1">
        <v>393</v>
      </c>
      <c r="W49" s="1">
        <v>55</v>
      </c>
      <c r="X49" s="1">
        <v>448</v>
      </c>
    </row>
    <row r="50" spans="1:24" x14ac:dyDescent="0.3">
      <c r="A50" s="3" t="s">
        <v>42</v>
      </c>
      <c r="B50" s="9">
        <v>0.16095890410958905</v>
      </c>
      <c r="F50" s="3" t="s">
        <v>68</v>
      </c>
      <c r="G50" s="9">
        <v>0.16122448979591836</v>
      </c>
      <c r="H50" s="1">
        <v>1470</v>
      </c>
      <c r="K50" s="3">
        <v>4</v>
      </c>
      <c r="L50" s="1">
        <v>407</v>
      </c>
      <c r="M50" s="1">
        <v>52</v>
      </c>
      <c r="N50" s="1">
        <v>459</v>
      </c>
      <c r="O50" s="1"/>
      <c r="P50" s="3" t="s">
        <v>58</v>
      </c>
      <c r="Q50" s="1">
        <v>239</v>
      </c>
      <c r="R50" s="1">
        <v>34</v>
      </c>
      <c r="S50" s="1">
        <v>273</v>
      </c>
      <c r="U50" s="3" t="s">
        <v>65</v>
      </c>
      <c r="V50" s="1">
        <v>226</v>
      </c>
      <c r="W50" s="1">
        <v>20</v>
      </c>
      <c r="X50" s="1">
        <v>246</v>
      </c>
    </row>
    <row r="51" spans="1:24" x14ac:dyDescent="0.3">
      <c r="A51" s="3" t="s">
        <v>36</v>
      </c>
      <c r="B51" s="9">
        <v>0.17484662576687116</v>
      </c>
      <c r="K51" s="3" t="s">
        <v>68</v>
      </c>
      <c r="L51" s="1">
        <v>1233</v>
      </c>
      <c r="M51" s="1">
        <v>237</v>
      </c>
      <c r="N51" s="1">
        <v>1470</v>
      </c>
      <c r="O51" s="1"/>
      <c r="P51" s="3" t="s">
        <v>68</v>
      </c>
      <c r="Q51" s="1">
        <v>1233</v>
      </c>
      <c r="R51" s="1">
        <v>237</v>
      </c>
      <c r="S51" s="1">
        <v>1470</v>
      </c>
      <c r="U51" s="3" t="s">
        <v>68</v>
      </c>
      <c r="V51" s="1">
        <v>1233</v>
      </c>
      <c r="W51" s="1">
        <v>237</v>
      </c>
      <c r="X51" s="1">
        <v>1470</v>
      </c>
    </row>
    <row r="52" spans="1:24" x14ac:dyDescent="0.3">
      <c r="A52" s="3" t="s">
        <v>56</v>
      </c>
      <c r="B52" s="9">
        <v>0.23076923076923078</v>
      </c>
    </row>
    <row r="53" spans="1:24" x14ac:dyDescent="0.3">
      <c r="A53" s="3" t="s">
        <v>45</v>
      </c>
      <c r="B53" s="9">
        <v>0.23938223938223938</v>
      </c>
    </row>
    <row r="54" spans="1:24" x14ac:dyDescent="0.3">
      <c r="A54" s="3" t="s">
        <v>52</v>
      </c>
      <c r="B54" s="9">
        <v>0.39759036144578314</v>
      </c>
      <c r="U54" s="2" t="s">
        <v>103</v>
      </c>
      <c r="V54" s="2" t="s">
        <v>85</v>
      </c>
    </row>
    <row r="55" spans="1:24" x14ac:dyDescent="0.3">
      <c r="A55" s="3" t="s">
        <v>68</v>
      </c>
      <c r="B55" s="9">
        <v>0.16122448979591836</v>
      </c>
      <c r="F55" s="2" t="s">
        <v>103</v>
      </c>
      <c r="G55" s="2" t="s">
        <v>85</v>
      </c>
      <c r="U55" s="2" t="s">
        <v>67</v>
      </c>
      <c r="V55">
        <v>0</v>
      </c>
      <c r="W55">
        <v>1</v>
      </c>
      <c r="X55" t="s">
        <v>68</v>
      </c>
    </row>
    <row r="56" spans="1:24" x14ac:dyDescent="0.3">
      <c r="F56" s="2" t="s">
        <v>67</v>
      </c>
      <c r="G56">
        <v>0</v>
      </c>
      <c r="H56">
        <v>1</v>
      </c>
      <c r="I56" t="s">
        <v>68</v>
      </c>
      <c r="U56" s="3" t="s">
        <v>49</v>
      </c>
      <c r="V56" s="1">
        <v>122</v>
      </c>
      <c r="W56" s="1">
        <v>9</v>
      </c>
      <c r="X56" s="1">
        <v>131</v>
      </c>
    </row>
    <row r="57" spans="1:24" x14ac:dyDescent="0.3">
      <c r="F57" s="3" t="s">
        <v>50</v>
      </c>
      <c r="G57" s="1">
        <v>138</v>
      </c>
      <c r="H57" s="1">
        <v>12</v>
      </c>
      <c r="I57" s="1">
        <v>150</v>
      </c>
      <c r="U57" s="3" t="s">
        <v>56</v>
      </c>
      <c r="V57" s="1">
        <v>40</v>
      </c>
      <c r="W57" s="1">
        <v>12</v>
      </c>
      <c r="X57" s="1">
        <v>52</v>
      </c>
    </row>
    <row r="58" spans="1:24" x14ac:dyDescent="0.3">
      <c r="F58" s="3" t="s">
        <v>39</v>
      </c>
      <c r="G58" s="1">
        <v>208</v>
      </c>
      <c r="H58" s="1">
        <v>69</v>
      </c>
      <c r="I58" s="1">
        <v>277</v>
      </c>
      <c r="U58" s="3" t="s">
        <v>45</v>
      </c>
      <c r="V58" s="1">
        <v>197</v>
      </c>
      <c r="W58" s="1">
        <v>62</v>
      </c>
      <c r="X58" s="1">
        <v>259</v>
      </c>
    </row>
    <row r="59" spans="1:24" x14ac:dyDescent="0.3">
      <c r="F59" s="3" t="s">
        <v>32</v>
      </c>
      <c r="G59" s="1">
        <v>887</v>
      </c>
      <c r="H59" s="1">
        <v>156</v>
      </c>
      <c r="I59" s="1">
        <v>1043</v>
      </c>
      <c r="U59" s="3" t="s">
        <v>51</v>
      </c>
      <c r="V59" s="1">
        <v>97</v>
      </c>
      <c r="W59" s="1">
        <v>5</v>
      </c>
      <c r="X59" s="1">
        <v>102</v>
      </c>
    </row>
    <row r="60" spans="1:24" x14ac:dyDescent="0.3">
      <c r="F60" s="3" t="s">
        <v>68</v>
      </c>
      <c r="G60" s="1">
        <v>1233</v>
      </c>
      <c r="H60" s="1">
        <v>237</v>
      </c>
      <c r="I60" s="1">
        <v>1470</v>
      </c>
      <c r="U60" s="3" t="s">
        <v>48</v>
      </c>
      <c r="V60" s="1">
        <v>135</v>
      </c>
      <c r="W60" s="1">
        <v>10</v>
      </c>
      <c r="X60" s="1">
        <v>145</v>
      </c>
    </row>
    <row r="61" spans="1:24" x14ac:dyDescent="0.3">
      <c r="U61" s="3" t="s">
        <v>53</v>
      </c>
      <c r="V61" s="1">
        <v>78</v>
      </c>
      <c r="W61" s="1">
        <v>2</v>
      </c>
      <c r="X61" s="1">
        <v>80</v>
      </c>
    </row>
    <row r="62" spans="1:24" x14ac:dyDescent="0.3">
      <c r="U62" s="3" t="s">
        <v>42</v>
      </c>
      <c r="V62" s="1">
        <v>245</v>
      </c>
      <c r="W62" s="1">
        <v>47</v>
      </c>
      <c r="X62" s="1">
        <v>292</v>
      </c>
    </row>
    <row r="63" spans="1:24" x14ac:dyDescent="0.3">
      <c r="U63" s="3" t="s">
        <v>36</v>
      </c>
      <c r="V63" s="1">
        <v>269</v>
      </c>
      <c r="W63" s="1">
        <v>57</v>
      </c>
      <c r="X63" s="1">
        <v>326</v>
      </c>
    </row>
    <row r="64" spans="1:24" x14ac:dyDescent="0.3">
      <c r="U64" s="3" t="s">
        <v>52</v>
      </c>
      <c r="V64" s="1">
        <v>50</v>
      </c>
      <c r="W64" s="1">
        <v>33</v>
      </c>
      <c r="X64" s="1">
        <v>83</v>
      </c>
    </row>
    <row r="65" spans="21:24" x14ac:dyDescent="0.3">
      <c r="U65" s="3" t="s">
        <v>68</v>
      </c>
      <c r="V65" s="1">
        <v>1233</v>
      </c>
      <c r="W65" s="1">
        <v>237</v>
      </c>
      <c r="X65" s="1">
        <v>1470</v>
      </c>
    </row>
  </sheetData>
  <pageMargins left="0.7" right="0.7" top="0.75" bottom="0.75" header="0.3" footer="0.3"/>
  <drawing r:id="rId27"/>
  <extLst>
    <ext xmlns:x14="http://schemas.microsoft.com/office/spreadsheetml/2009/9/main" uri="{A8765BA9-456A-4dab-B4F3-ACF838C121DE}">
      <x14:slicerList>
        <x14:slicer r:id="rId2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A17" sqref="A17:B25"/>
    </sheetView>
  </sheetViews>
  <sheetFormatPr defaultRowHeight="14.4" x14ac:dyDescent="0.3"/>
  <cols>
    <col min="1" max="1" width="18" bestFit="1" customWidth="1"/>
    <col min="2" max="2" width="11.5546875" bestFit="1" customWidth="1"/>
    <col min="4" max="4" width="14.109375" customWidth="1"/>
  </cols>
  <sheetData>
    <row r="1" spans="1:4" x14ac:dyDescent="0.3">
      <c r="A1" t="s">
        <v>14</v>
      </c>
      <c r="B1" t="s">
        <v>105</v>
      </c>
    </row>
    <row r="2" spans="1:4" x14ac:dyDescent="0.3">
      <c r="A2" t="s">
        <v>53</v>
      </c>
      <c r="B2" s="4">
        <v>2.5000000000000001E-2</v>
      </c>
      <c r="D2" t="str">
        <f>"Highest risk "&amp;INDEX(A2:A10,MATCH(MAX(B2:B10),B2:B10,0))&amp;" ("&amp;TEXT(MAX(B2:B10),"0%")&amp;")"</f>
        <v>Highest risk Sales Representative (40%)</v>
      </c>
    </row>
    <row r="3" spans="1:4" x14ac:dyDescent="0.3">
      <c r="A3" t="s">
        <v>51</v>
      </c>
      <c r="B3" s="4">
        <v>4.9019607843137254E-2</v>
      </c>
    </row>
    <row r="4" spans="1:4" x14ac:dyDescent="0.3">
      <c r="A4" t="s">
        <v>49</v>
      </c>
      <c r="B4" s="4">
        <v>6.8702290076335881E-2</v>
      </c>
    </row>
    <row r="5" spans="1:4" x14ac:dyDescent="0.3">
      <c r="A5" t="s">
        <v>48</v>
      </c>
      <c r="B5" s="4">
        <v>6.8965517241379309E-2</v>
      </c>
    </row>
    <row r="6" spans="1:4" x14ac:dyDescent="0.3">
      <c r="A6" t="s">
        <v>42</v>
      </c>
      <c r="B6" s="4">
        <v>0.16095890410958905</v>
      </c>
    </row>
    <row r="7" spans="1:4" x14ac:dyDescent="0.3">
      <c r="A7" t="s">
        <v>36</v>
      </c>
      <c r="B7" s="4">
        <v>0.17484662576687116</v>
      </c>
    </row>
    <row r="8" spans="1:4" x14ac:dyDescent="0.3">
      <c r="A8" t="s">
        <v>56</v>
      </c>
      <c r="B8" s="4">
        <v>0.23076923076923078</v>
      </c>
    </row>
    <row r="9" spans="1:4" x14ac:dyDescent="0.3">
      <c r="A9" t="s">
        <v>45</v>
      </c>
      <c r="B9" s="4">
        <v>0.23938223938223938</v>
      </c>
    </row>
    <row r="10" spans="1:4" x14ac:dyDescent="0.3">
      <c r="A10" t="s">
        <v>52</v>
      </c>
      <c r="B10" s="4">
        <v>0.39759036144578314</v>
      </c>
    </row>
    <row r="14" spans="1:4" x14ac:dyDescent="0.3">
      <c r="A14">
        <f>COUNTIFS(Table2[OverTime],"Yes",Table2[DistanceFromHome1],"long")</f>
        <v>101</v>
      </c>
    </row>
    <row r="17" spans="1:2" x14ac:dyDescent="0.3">
      <c r="A17" t="s">
        <v>115</v>
      </c>
      <c r="B17" t="s">
        <v>116</v>
      </c>
    </row>
    <row r="18" spans="1:2" x14ac:dyDescent="0.3">
      <c r="A18" t="s">
        <v>20</v>
      </c>
      <c r="B18" t="s">
        <v>122</v>
      </c>
    </row>
    <row r="19" spans="1:2" x14ac:dyDescent="0.3">
      <c r="A19" t="s">
        <v>117</v>
      </c>
      <c r="B19" t="s">
        <v>122</v>
      </c>
    </row>
    <row r="20" spans="1:2" x14ac:dyDescent="0.3">
      <c r="A20" t="s">
        <v>118</v>
      </c>
      <c r="B20" t="s">
        <v>122</v>
      </c>
    </row>
    <row r="21" spans="1:2" x14ac:dyDescent="0.3">
      <c r="A21" t="s">
        <v>0</v>
      </c>
      <c r="B21" t="s">
        <v>122</v>
      </c>
    </row>
    <row r="22" spans="1:2" x14ac:dyDescent="0.3">
      <c r="A22" t="s">
        <v>119</v>
      </c>
      <c r="B22" t="s">
        <v>122</v>
      </c>
    </row>
    <row r="23" spans="1:2" x14ac:dyDescent="0.3">
      <c r="A23" t="s">
        <v>120</v>
      </c>
      <c r="B23" t="s">
        <v>123</v>
      </c>
    </row>
    <row r="24" spans="1:2" x14ac:dyDescent="0.3">
      <c r="A24" t="s">
        <v>4</v>
      </c>
      <c r="B24" t="s">
        <v>124</v>
      </c>
    </row>
    <row r="25" spans="1:2" x14ac:dyDescent="0.3">
      <c r="A25" t="s">
        <v>121</v>
      </c>
      <c r="B25"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93"/>
  <sheetViews>
    <sheetView workbookViewId="0">
      <selection activeCell="L89" sqref="L89"/>
    </sheetView>
  </sheetViews>
  <sheetFormatPr defaultRowHeight="14.4" x14ac:dyDescent="0.3"/>
  <cols>
    <col min="2" max="2" width="23.109375" customWidth="1"/>
    <col min="5" max="5" width="10.5546875" bestFit="1" customWidth="1"/>
    <col min="10" max="10" width="12" bestFit="1" customWidth="1"/>
  </cols>
  <sheetData>
    <row r="3" spans="2:10" x14ac:dyDescent="0.3">
      <c r="B3" t="s">
        <v>84</v>
      </c>
    </row>
    <row r="4" spans="2:10" x14ac:dyDescent="0.3">
      <c r="B4" t="s">
        <v>86</v>
      </c>
      <c r="C4" t="s">
        <v>85</v>
      </c>
    </row>
    <row r="5" spans="2:10" x14ac:dyDescent="0.3">
      <c r="B5" t="s">
        <v>67</v>
      </c>
      <c r="C5">
        <v>0</v>
      </c>
      <c r="D5">
        <v>1</v>
      </c>
      <c r="E5" t="s">
        <v>68</v>
      </c>
      <c r="G5" s="5" t="s">
        <v>100</v>
      </c>
      <c r="J5" s="5" t="s">
        <v>101</v>
      </c>
    </row>
    <row r="6" spans="2:10" x14ac:dyDescent="0.3">
      <c r="B6" t="s">
        <v>38</v>
      </c>
      <c r="C6">
        <v>944</v>
      </c>
      <c r="D6">
        <v>110</v>
      </c>
      <c r="E6">
        <v>1054</v>
      </c>
      <c r="G6">
        <f>$E6*C$8/$E$8</f>
        <v>884.06938775510207</v>
      </c>
      <c r="H6">
        <f>$E6*D$8/$E$8</f>
        <v>169.93061224489796</v>
      </c>
      <c r="J6">
        <f>_xlfn.CHISQ.TEST(C6:D7,G6:H7)</f>
        <v>3.861517910432876E-21</v>
      </c>
    </row>
    <row r="7" spans="2:10" x14ac:dyDescent="0.3">
      <c r="B7" t="s">
        <v>31</v>
      </c>
      <c r="C7">
        <v>289</v>
      </c>
      <c r="D7">
        <v>127</v>
      </c>
      <c r="E7">
        <v>416</v>
      </c>
      <c r="G7">
        <f>$E7*C$8/$E$8</f>
        <v>348.93061224489799</v>
      </c>
      <c r="H7">
        <f>$E7*D$8/$E$8</f>
        <v>67.069387755102042</v>
      </c>
    </row>
    <row r="8" spans="2:10" x14ac:dyDescent="0.3">
      <c r="B8" t="s">
        <v>68</v>
      </c>
      <c r="C8">
        <v>1233</v>
      </c>
      <c r="D8">
        <v>237</v>
      </c>
      <c r="E8">
        <v>1470</v>
      </c>
    </row>
    <row r="11" spans="2:10" x14ac:dyDescent="0.3">
      <c r="B11" t="s">
        <v>91</v>
      </c>
    </row>
    <row r="12" spans="2:10" x14ac:dyDescent="0.3">
      <c r="B12" t="s">
        <v>67</v>
      </c>
      <c r="C12">
        <v>0</v>
      </c>
      <c r="D12">
        <v>1</v>
      </c>
      <c r="E12" t="s">
        <v>68</v>
      </c>
      <c r="G12" s="5" t="s">
        <v>100</v>
      </c>
      <c r="J12" s="5" t="s">
        <v>101</v>
      </c>
    </row>
    <row r="13" spans="2:10" x14ac:dyDescent="0.3">
      <c r="B13" t="s">
        <v>93</v>
      </c>
      <c r="C13">
        <v>261</v>
      </c>
      <c r="D13">
        <v>68</v>
      </c>
      <c r="E13">
        <v>329</v>
      </c>
      <c r="G13" s="4">
        <f>$E13*C$16/$E$16</f>
        <v>275.95714285714286</v>
      </c>
      <c r="H13" s="4">
        <f>$E13*D$16/$E$16</f>
        <v>53.042857142857144</v>
      </c>
      <c r="J13">
        <f>_xlfn.CHISQ.TEST(C13:D15,G13:H15)</f>
        <v>2.2105007179627378E-2</v>
      </c>
    </row>
    <row r="14" spans="2:10" x14ac:dyDescent="0.3">
      <c r="B14" t="s">
        <v>94</v>
      </c>
      <c r="C14">
        <v>427</v>
      </c>
      <c r="D14">
        <v>82</v>
      </c>
      <c r="E14">
        <v>509</v>
      </c>
      <c r="G14" s="4">
        <f>$E14*C$16/$E$16</f>
        <v>426.93673469387755</v>
      </c>
      <c r="H14" s="4">
        <f>$E14*D$16/$E$16</f>
        <v>82.063265306122446</v>
      </c>
    </row>
    <row r="15" spans="2:10" x14ac:dyDescent="0.3">
      <c r="B15" t="s">
        <v>95</v>
      </c>
      <c r="C15">
        <v>545</v>
      </c>
      <c r="D15">
        <v>87</v>
      </c>
      <c r="E15">
        <v>632</v>
      </c>
      <c r="G15" s="4">
        <f>$E15*C$16/$E$16</f>
        <v>530.10612244897959</v>
      </c>
      <c r="H15" s="4">
        <f t="shared" ref="H15" si="0">$E15*D$16/$E$16</f>
        <v>101.89387755102041</v>
      </c>
    </row>
    <row r="16" spans="2:10" x14ac:dyDescent="0.3">
      <c r="B16" t="s">
        <v>68</v>
      </c>
      <c r="C16">
        <v>1233</v>
      </c>
      <c r="D16">
        <v>237</v>
      </c>
      <c r="E16">
        <v>1470</v>
      </c>
    </row>
    <row r="17" spans="2:10" x14ac:dyDescent="0.3">
      <c r="C17" s="4"/>
      <c r="D17" s="4"/>
      <c r="E17" s="4"/>
    </row>
    <row r="18" spans="2:10" x14ac:dyDescent="0.3">
      <c r="C18" s="4"/>
      <c r="D18" s="4"/>
      <c r="E18" s="4"/>
    </row>
    <row r="19" spans="2:10" x14ac:dyDescent="0.3">
      <c r="B19" t="s">
        <v>102</v>
      </c>
    </row>
    <row r="20" spans="2:10" x14ac:dyDescent="0.3">
      <c r="B20" t="s">
        <v>67</v>
      </c>
      <c r="C20">
        <v>0</v>
      </c>
      <c r="D20">
        <v>1</v>
      </c>
      <c r="E20" t="s">
        <v>68</v>
      </c>
      <c r="G20" s="5" t="s">
        <v>100</v>
      </c>
      <c r="J20" s="5" t="s">
        <v>101</v>
      </c>
    </row>
    <row r="21" spans="2:10" x14ac:dyDescent="0.3">
      <c r="B21" t="s">
        <v>97</v>
      </c>
      <c r="C21">
        <v>225</v>
      </c>
      <c r="D21">
        <v>91</v>
      </c>
      <c r="E21">
        <v>316</v>
      </c>
      <c r="G21" s="4">
        <f t="shared" ref="G21:H23" si="1">$E21*C$24/$E$24</f>
        <v>265.0530612244898</v>
      </c>
      <c r="H21" s="4">
        <f t="shared" si="1"/>
        <v>50.946938775510205</v>
      </c>
      <c r="J21">
        <f>_xlfn.CHISQ.TEST(C21:D23,G21:H23)</f>
        <v>2.1381682671021314E-12</v>
      </c>
    </row>
    <row r="22" spans="2:10" x14ac:dyDescent="0.3">
      <c r="B22" t="s">
        <v>98</v>
      </c>
      <c r="C22">
        <v>683</v>
      </c>
      <c r="D22">
        <v>115</v>
      </c>
      <c r="E22">
        <v>798</v>
      </c>
      <c r="G22" s="4">
        <f t="shared" si="1"/>
        <v>669.34285714285716</v>
      </c>
      <c r="H22" s="4">
        <f t="shared" si="1"/>
        <v>128.65714285714284</v>
      </c>
    </row>
    <row r="23" spans="2:10" x14ac:dyDescent="0.3">
      <c r="B23" t="s">
        <v>99</v>
      </c>
      <c r="C23">
        <v>325</v>
      </c>
      <c r="D23">
        <v>31</v>
      </c>
      <c r="E23">
        <v>356</v>
      </c>
      <c r="G23" s="4">
        <f t="shared" si="1"/>
        <v>298.60408163265305</v>
      </c>
      <c r="H23" s="4">
        <f t="shared" si="1"/>
        <v>57.395918367346937</v>
      </c>
    </row>
    <row r="24" spans="2:10" x14ac:dyDescent="0.3">
      <c r="B24" t="s">
        <v>68</v>
      </c>
      <c r="C24">
        <v>1233</v>
      </c>
      <c r="D24">
        <v>237</v>
      </c>
      <c r="E24">
        <v>1470</v>
      </c>
    </row>
    <row r="27" spans="2:10" x14ac:dyDescent="0.3">
      <c r="B27" t="s">
        <v>88</v>
      </c>
    </row>
    <row r="28" spans="2:10" x14ac:dyDescent="0.3">
      <c r="B28" t="s">
        <v>67</v>
      </c>
      <c r="C28">
        <v>0</v>
      </c>
      <c r="D28">
        <v>1</v>
      </c>
      <c r="E28" t="s">
        <v>68</v>
      </c>
      <c r="G28" s="5" t="s">
        <v>100</v>
      </c>
      <c r="J28" s="5" t="s">
        <v>101</v>
      </c>
    </row>
    <row r="29" spans="2:10" x14ac:dyDescent="0.3">
      <c r="B29" s="3">
        <v>1</v>
      </c>
      <c r="C29">
        <v>223</v>
      </c>
      <c r="D29">
        <v>66</v>
      </c>
      <c r="E29">
        <v>289</v>
      </c>
      <c r="G29" s="4">
        <f>$E29*C$33/$E$33</f>
        <v>242.4061224489796</v>
      </c>
      <c r="H29" s="4">
        <f>$E29*D$33/$E$33</f>
        <v>46.593877551020405</v>
      </c>
      <c r="J29">
        <f>_xlfn.CHISQ.TEST(C29:D31,G29:H31)</f>
        <v>7.8044570121560677E-3</v>
      </c>
    </row>
    <row r="30" spans="2:10" x14ac:dyDescent="0.3">
      <c r="B30" s="3">
        <v>2</v>
      </c>
      <c r="C30">
        <v>234</v>
      </c>
      <c r="D30">
        <v>46</v>
      </c>
      <c r="E30">
        <v>280</v>
      </c>
      <c r="G30" s="4">
        <f t="shared" ref="G30:H31" si="2">$E30*C$33/$E$33</f>
        <v>234.85714285714286</v>
      </c>
      <c r="H30" s="4">
        <f t="shared" si="2"/>
        <v>45.142857142857146</v>
      </c>
    </row>
    <row r="31" spans="2:10" x14ac:dyDescent="0.3">
      <c r="B31" s="3">
        <v>3</v>
      </c>
      <c r="C31">
        <v>369</v>
      </c>
      <c r="D31">
        <v>73</v>
      </c>
      <c r="E31">
        <v>442</v>
      </c>
      <c r="G31" s="4">
        <f t="shared" si="2"/>
        <v>370.73877551020411</v>
      </c>
      <c r="H31" s="4">
        <f t="shared" si="2"/>
        <v>71.261224489795921</v>
      </c>
    </row>
    <row r="32" spans="2:10" x14ac:dyDescent="0.3">
      <c r="B32" s="3">
        <v>4</v>
      </c>
      <c r="C32">
        <v>407</v>
      </c>
      <c r="D32">
        <v>52</v>
      </c>
      <c r="E32">
        <v>459</v>
      </c>
    </row>
    <row r="33" spans="2:10" x14ac:dyDescent="0.3">
      <c r="B33" t="s">
        <v>68</v>
      </c>
      <c r="C33">
        <v>1233</v>
      </c>
      <c r="D33">
        <v>237</v>
      </c>
      <c r="E33">
        <v>1470</v>
      </c>
    </row>
    <row r="36" spans="2:10" x14ac:dyDescent="0.3">
      <c r="B36" t="s">
        <v>87</v>
      </c>
    </row>
    <row r="37" spans="2:10" x14ac:dyDescent="0.3">
      <c r="B37" t="s">
        <v>67</v>
      </c>
      <c r="C37">
        <v>0</v>
      </c>
      <c r="D37">
        <v>1</v>
      </c>
      <c r="E37" t="s">
        <v>68</v>
      </c>
      <c r="G37" s="5" t="s">
        <v>100</v>
      </c>
      <c r="J37" s="5" t="s">
        <v>101</v>
      </c>
    </row>
    <row r="38" spans="2:10" x14ac:dyDescent="0.3">
      <c r="B38" t="s">
        <v>50</v>
      </c>
      <c r="C38">
        <v>138</v>
      </c>
      <c r="D38">
        <v>12</v>
      </c>
      <c r="E38">
        <v>150</v>
      </c>
      <c r="G38" s="4">
        <f>$E38*C$41/$E$41</f>
        <v>125.81632653061224</v>
      </c>
      <c r="H38" s="4">
        <f>$E38*D$41/$E$41</f>
        <v>24.183673469387756</v>
      </c>
      <c r="J38">
        <f>_xlfn.CHISQ.TEST(C38:D40,G38:H40)</f>
        <v>5.6086144764499307E-6</v>
      </c>
    </row>
    <row r="39" spans="2:10" x14ac:dyDescent="0.3">
      <c r="B39" t="s">
        <v>39</v>
      </c>
      <c r="C39">
        <v>208</v>
      </c>
      <c r="D39">
        <v>69</v>
      </c>
      <c r="E39">
        <v>277</v>
      </c>
      <c r="G39" s="4">
        <f t="shared" ref="G39:H40" si="3">$E39*C$41/$E$41</f>
        <v>232.34081632653061</v>
      </c>
      <c r="H39" s="4">
        <f t="shared" si="3"/>
        <v>44.659183673469386</v>
      </c>
    </row>
    <row r="40" spans="2:10" x14ac:dyDescent="0.3">
      <c r="B40" t="s">
        <v>32</v>
      </c>
      <c r="C40">
        <v>887</v>
      </c>
      <c r="D40">
        <v>156</v>
      </c>
      <c r="E40">
        <v>1043</v>
      </c>
      <c r="G40" s="4">
        <f t="shared" si="3"/>
        <v>874.84285714285716</v>
      </c>
      <c r="H40" s="4">
        <f t="shared" si="3"/>
        <v>168.15714285714284</v>
      </c>
    </row>
    <row r="41" spans="2:10" x14ac:dyDescent="0.3">
      <c r="B41" t="s">
        <v>68</v>
      </c>
      <c r="C41">
        <v>1233</v>
      </c>
      <c r="D41">
        <v>237</v>
      </c>
      <c r="E41">
        <v>1470</v>
      </c>
    </row>
    <row r="44" spans="2:10" x14ac:dyDescent="0.3">
      <c r="B44" t="s">
        <v>112</v>
      </c>
    </row>
    <row r="45" spans="2:10" x14ac:dyDescent="0.3">
      <c r="B45" t="s">
        <v>67</v>
      </c>
      <c r="C45">
        <v>0</v>
      </c>
      <c r="D45">
        <v>1</v>
      </c>
      <c r="E45" t="s">
        <v>68</v>
      </c>
      <c r="G45" s="5" t="s">
        <v>100</v>
      </c>
      <c r="J45" s="5" t="s">
        <v>101</v>
      </c>
    </row>
    <row r="46" spans="2:10" x14ac:dyDescent="0.3">
      <c r="B46" t="s">
        <v>73</v>
      </c>
      <c r="C46">
        <v>405</v>
      </c>
      <c r="D46">
        <v>137</v>
      </c>
      <c r="E46">
        <v>542</v>
      </c>
      <c r="G46" s="4">
        <f>$E46*C$53/$E$53</f>
        <v>454.61632653061224</v>
      </c>
      <c r="H46" s="4">
        <f>$E46*D$53/$E$53</f>
        <v>87.383673469387759</v>
      </c>
      <c r="J46">
        <f>_xlfn.CHISQ.TEST(C46:D52,G46:H52)</f>
        <v>1.0623343871279269E-11</v>
      </c>
    </row>
    <row r="47" spans="2:10" x14ac:dyDescent="0.3">
      <c r="B47" t="s">
        <v>74</v>
      </c>
      <c r="C47">
        <v>440</v>
      </c>
      <c r="D47">
        <v>53</v>
      </c>
      <c r="E47">
        <v>493</v>
      </c>
      <c r="G47" s="4">
        <f>$E47*C$53/$E$53</f>
        <v>413.51632653061222</v>
      </c>
      <c r="H47" s="4">
        <f>$E47*D$53/$E$53</f>
        <v>79.483673469387753</v>
      </c>
    </row>
    <row r="48" spans="2:10" x14ac:dyDescent="0.3">
      <c r="B48" t="s">
        <v>75</v>
      </c>
      <c r="C48">
        <v>132</v>
      </c>
      <c r="D48">
        <v>22</v>
      </c>
      <c r="E48">
        <v>154</v>
      </c>
      <c r="G48" s="4">
        <f>$E48*C$53/$E$53</f>
        <v>129.17142857142858</v>
      </c>
      <c r="H48" s="4">
        <f>$E48*D$53/$E$53</f>
        <v>24.828571428571429</v>
      </c>
    </row>
    <row r="49" spans="2:10" x14ac:dyDescent="0.3">
      <c r="B49" t="s">
        <v>76</v>
      </c>
      <c r="C49">
        <v>80</v>
      </c>
      <c r="D49">
        <v>16</v>
      </c>
      <c r="E49">
        <v>96</v>
      </c>
      <c r="G49" s="4">
        <f>$E49*C$53/$E$53</f>
        <v>80.522448979591843</v>
      </c>
      <c r="H49" s="4">
        <f>$E49*D$53/$E$53</f>
        <v>15.477551020408164</v>
      </c>
    </row>
    <row r="50" spans="2:10" x14ac:dyDescent="0.3">
      <c r="B50" t="s">
        <v>77</v>
      </c>
      <c r="C50">
        <v>55</v>
      </c>
      <c r="D50">
        <v>4</v>
      </c>
      <c r="E50">
        <v>59</v>
      </c>
      <c r="G50" s="4">
        <f>$E50*C$53/$E$53</f>
        <v>49.487755102040815</v>
      </c>
      <c r="H50" s="4">
        <f>$E50*D$53/$E$53</f>
        <v>9.5122448979591834</v>
      </c>
    </row>
    <row r="51" spans="2:10" x14ac:dyDescent="0.3">
      <c r="B51" t="s">
        <v>78</v>
      </c>
      <c r="C51">
        <v>75</v>
      </c>
      <c r="D51">
        <v>1</v>
      </c>
      <c r="E51">
        <v>76</v>
      </c>
      <c r="G51" s="4">
        <f>$E51*C$53/$E$53</f>
        <v>63.746938775510202</v>
      </c>
      <c r="H51" s="4">
        <f>$E51*D$53/$E$53</f>
        <v>12.253061224489796</v>
      </c>
    </row>
    <row r="52" spans="2:10" x14ac:dyDescent="0.3">
      <c r="B52" t="s">
        <v>79</v>
      </c>
      <c r="C52">
        <v>46</v>
      </c>
      <c r="D52">
        <v>4</v>
      </c>
      <c r="E52">
        <v>50</v>
      </c>
      <c r="G52" s="4">
        <f>$E52*C$53/$E$53</f>
        <v>41.938775510204081</v>
      </c>
      <c r="H52" s="4">
        <f>$E52*D$53/$E$53</f>
        <v>8.0612244897959187</v>
      </c>
    </row>
    <row r="53" spans="2:10" x14ac:dyDescent="0.3">
      <c r="B53" t="s">
        <v>68</v>
      </c>
      <c r="C53">
        <v>1233</v>
      </c>
      <c r="D53">
        <v>237</v>
      </c>
      <c r="E53">
        <v>1470</v>
      </c>
    </row>
    <row r="56" spans="2:10" x14ac:dyDescent="0.3">
      <c r="B56" t="s">
        <v>66</v>
      </c>
    </row>
    <row r="57" spans="2:10" x14ac:dyDescent="0.3">
      <c r="B57" t="s">
        <v>67</v>
      </c>
      <c r="C57">
        <v>0</v>
      </c>
      <c r="D57">
        <v>1</v>
      </c>
      <c r="E57" t="s">
        <v>68</v>
      </c>
      <c r="G57" s="5" t="s">
        <v>100</v>
      </c>
      <c r="J57" s="5" t="s">
        <v>101</v>
      </c>
    </row>
    <row r="58" spans="2:10" x14ac:dyDescent="0.3">
      <c r="B58" t="s">
        <v>56</v>
      </c>
      <c r="C58">
        <v>51</v>
      </c>
      <c r="D58">
        <v>12</v>
      </c>
      <c r="E58">
        <v>63</v>
      </c>
      <c r="G58" s="4">
        <f>$E58*C$61/$E$61</f>
        <v>52.842857142857142</v>
      </c>
      <c r="H58" s="4">
        <f>$E58*D$61/$E$61</f>
        <v>10.157142857142857</v>
      </c>
      <c r="J58">
        <f>_xlfn.CHISQ.TEST(C58:D60,G58:H60)</f>
        <v>4.525606574479632E-3</v>
      </c>
    </row>
    <row r="59" spans="2:10" x14ac:dyDescent="0.3">
      <c r="B59" t="s">
        <v>40</v>
      </c>
      <c r="C59">
        <v>828</v>
      </c>
      <c r="D59">
        <v>133</v>
      </c>
      <c r="E59">
        <v>961</v>
      </c>
      <c r="G59" s="4">
        <f t="shared" ref="G59:H60" si="4">$E59*C$61/$E$61</f>
        <v>806.0632653061225</v>
      </c>
      <c r="H59" s="4">
        <f t="shared" si="4"/>
        <v>154.93673469387755</v>
      </c>
    </row>
    <row r="60" spans="2:10" x14ac:dyDescent="0.3">
      <c r="B60" t="s">
        <v>33</v>
      </c>
      <c r="C60">
        <v>354</v>
      </c>
      <c r="D60">
        <v>92</v>
      </c>
      <c r="E60">
        <v>446</v>
      </c>
      <c r="G60" s="4">
        <f t="shared" si="4"/>
        <v>374.0938775510204</v>
      </c>
      <c r="H60" s="4">
        <f t="shared" si="4"/>
        <v>71.906122448979588</v>
      </c>
    </row>
    <row r="61" spans="2:10" x14ac:dyDescent="0.3">
      <c r="B61" t="s">
        <v>68</v>
      </c>
      <c r="C61">
        <v>1233</v>
      </c>
      <c r="D61">
        <v>237</v>
      </c>
      <c r="E61">
        <v>1470</v>
      </c>
    </row>
    <row r="64" spans="2:10" x14ac:dyDescent="0.3">
      <c r="B64" t="s">
        <v>83</v>
      </c>
    </row>
    <row r="65" spans="2:10" x14ac:dyDescent="0.3">
      <c r="B65" t="s">
        <v>67</v>
      </c>
      <c r="C65">
        <v>0</v>
      </c>
      <c r="D65">
        <v>1</v>
      </c>
      <c r="E65" t="s">
        <v>68</v>
      </c>
      <c r="G65" s="5" t="s">
        <v>100</v>
      </c>
      <c r="J65" s="5" t="s">
        <v>101</v>
      </c>
    </row>
    <row r="66" spans="2:10" x14ac:dyDescent="0.3">
      <c r="B66" t="s">
        <v>60</v>
      </c>
      <c r="C66">
        <v>79</v>
      </c>
      <c r="D66">
        <v>44</v>
      </c>
      <c r="E66">
        <v>123</v>
      </c>
      <c r="G66" s="4">
        <f>$E66*C$70/$E$70</f>
        <v>103.16938775510204</v>
      </c>
      <c r="H66" s="4">
        <f>$E66*D$70/$E$70</f>
        <v>19.83061224489796</v>
      </c>
      <c r="J66">
        <f>_xlfn.CHISQ.TEST(C66:D69,G66:H69)</f>
        <v>1.1917758473066244E-12</v>
      </c>
    </row>
    <row r="67" spans="2:10" x14ac:dyDescent="0.3">
      <c r="B67" t="s">
        <v>59</v>
      </c>
      <c r="C67">
        <v>490</v>
      </c>
      <c r="D67">
        <v>116</v>
      </c>
      <c r="E67">
        <v>606</v>
      </c>
      <c r="G67" s="4">
        <f t="shared" ref="G67:H69" si="5">$E67*C$70/$E$70</f>
        <v>508.29795918367347</v>
      </c>
      <c r="H67" s="4">
        <f t="shared" si="5"/>
        <v>97.70204081632653</v>
      </c>
    </row>
    <row r="68" spans="2:10" x14ac:dyDescent="0.3">
      <c r="B68" t="s">
        <v>57</v>
      </c>
      <c r="C68">
        <v>425</v>
      </c>
      <c r="D68">
        <v>43</v>
      </c>
      <c r="E68">
        <v>468</v>
      </c>
      <c r="G68" s="4">
        <f t="shared" si="5"/>
        <v>392.54693877551023</v>
      </c>
      <c r="H68" s="4">
        <f t="shared" si="5"/>
        <v>75.453061224489801</v>
      </c>
    </row>
    <row r="69" spans="2:10" x14ac:dyDescent="0.3">
      <c r="B69" t="s">
        <v>58</v>
      </c>
      <c r="C69">
        <v>239</v>
      </c>
      <c r="D69">
        <v>34</v>
      </c>
      <c r="E69">
        <v>273</v>
      </c>
      <c r="G69" s="4">
        <f t="shared" si="5"/>
        <v>228.98571428571429</v>
      </c>
      <c r="H69" s="4">
        <f t="shared" si="5"/>
        <v>44.014285714285712</v>
      </c>
    </row>
    <row r="70" spans="2:10" x14ac:dyDescent="0.3">
      <c r="B70" t="s">
        <v>68</v>
      </c>
      <c r="C70">
        <v>1233</v>
      </c>
      <c r="D70">
        <v>237</v>
      </c>
      <c r="E70">
        <v>1470</v>
      </c>
    </row>
    <row r="73" spans="2:10" x14ac:dyDescent="0.3">
      <c r="B73" t="s">
        <v>113</v>
      </c>
    </row>
    <row r="74" spans="2:10" x14ac:dyDescent="0.3">
      <c r="B74" t="s">
        <v>67</v>
      </c>
      <c r="C74">
        <v>0</v>
      </c>
      <c r="D74">
        <v>1</v>
      </c>
      <c r="E74" t="s">
        <v>68</v>
      </c>
      <c r="G74" s="5" t="s">
        <v>100</v>
      </c>
      <c r="J74" s="5" t="s">
        <v>101</v>
      </c>
    </row>
    <row r="75" spans="2:10" x14ac:dyDescent="0.3">
      <c r="B75" t="s">
        <v>63</v>
      </c>
      <c r="C75">
        <v>240</v>
      </c>
      <c r="D75">
        <v>102</v>
      </c>
      <c r="E75">
        <v>342</v>
      </c>
      <c r="G75" s="4">
        <f>$E75*C$79/$E$79</f>
        <v>286.86122448979592</v>
      </c>
      <c r="H75" s="4">
        <f>$E75*D$79/$E$79</f>
        <v>55.138775510204084</v>
      </c>
      <c r="J75">
        <f>_xlfn.CHISQ.TEST(C75:D78,G75:H78)</f>
        <v>3.5616978952432771E-14</v>
      </c>
    </row>
    <row r="76" spans="2:10" x14ac:dyDescent="0.3">
      <c r="B76" t="s">
        <v>64</v>
      </c>
      <c r="C76">
        <v>374</v>
      </c>
      <c r="D76">
        <v>60</v>
      </c>
      <c r="E76">
        <v>434</v>
      </c>
      <c r="G76" s="4">
        <f t="shared" ref="G76:H78" si="6">$E76*C$79/$E$79</f>
        <v>364.02857142857141</v>
      </c>
      <c r="H76" s="4">
        <f t="shared" si="6"/>
        <v>69.971428571428575</v>
      </c>
    </row>
    <row r="77" spans="2:10" x14ac:dyDescent="0.3">
      <c r="B77" t="s">
        <v>62</v>
      </c>
      <c r="C77">
        <v>393</v>
      </c>
      <c r="D77">
        <v>55</v>
      </c>
      <c r="E77">
        <v>448</v>
      </c>
      <c r="G77" s="4">
        <f t="shared" si="6"/>
        <v>375.77142857142854</v>
      </c>
      <c r="H77" s="4">
        <f t="shared" si="6"/>
        <v>72.228571428571428</v>
      </c>
    </row>
    <row r="78" spans="2:10" x14ac:dyDescent="0.3">
      <c r="B78" t="s">
        <v>65</v>
      </c>
      <c r="C78">
        <v>226</v>
      </c>
      <c r="D78">
        <v>20</v>
      </c>
      <c r="E78">
        <v>246</v>
      </c>
      <c r="G78" s="4">
        <f t="shared" si="6"/>
        <v>206.33877551020407</v>
      </c>
      <c r="H78" s="4">
        <f t="shared" si="6"/>
        <v>39.66122448979592</v>
      </c>
    </row>
    <row r="79" spans="2:10" x14ac:dyDescent="0.3">
      <c r="B79" t="s">
        <v>68</v>
      </c>
      <c r="C79">
        <v>1233</v>
      </c>
      <c r="D79">
        <v>237</v>
      </c>
      <c r="E79">
        <v>1470</v>
      </c>
    </row>
    <row r="82" spans="2:10" x14ac:dyDescent="0.3">
      <c r="B82" t="s">
        <v>114</v>
      </c>
    </row>
    <row r="83" spans="2:10" x14ac:dyDescent="0.3">
      <c r="B83" t="s">
        <v>67</v>
      </c>
      <c r="C83">
        <v>0</v>
      </c>
      <c r="D83">
        <v>1</v>
      </c>
      <c r="E83" t="s">
        <v>68</v>
      </c>
      <c r="G83" s="5" t="s">
        <v>100</v>
      </c>
      <c r="J83" s="5" t="s">
        <v>101</v>
      </c>
    </row>
    <row r="84" spans="2:10" x14ac:dyDescent="0.3">
      <c r="B84" t="s">
        <v>49</v>
      </c>
      <c r="C84">
        <v>122</v>
      </c>
      <c r="D84">
        <v>9</v>
      </c>
      <c r="E84">
        <v>131</v>
      </c>
      <c r="G84" s="4">
        <f>$E84*C$93/$E$93</f>
        <v>109.87959183673469</v>
      </c>
      <c r="H84" s="4">
        <f>$E84*D$93/$E$93</f>
        <v>21.120408163265306</v>
      </c>
      <c r="J84">
        <f>_xlfn.CHISQ.TEST(C84:D92,G84:H92)</f>
        <v>2.7524816380506551E-15</v>
      </c>
    </row>
    <row r="85" spans="2:10" x14ac:dyDescent="0.3">
      <c r="B85" t="s">
        <v>56</v>
      </c>
      <c r="C85">
        <v>40</v>
      </c>
      <c r="D85">
        <v>12</v>
      </c>
      <c r="E85">
        <v>52</v>
      </c>
      <c r="G85" s="4">
        <f t="shared" ref="G85:H92" si="7">$E85*C$93/$E$93</f>
        <v>43.616326530612248</v>
      </c>
      <c r="H85" s="4">
        <f t="shared" si="7"/>
        <v>8.3836734693877553</v>
      </c>
    </row>
    <row r="86" spans="2:10" x14ac:dyDescent="0.3">
      <c r="B86" t="s">
        <v>45</v>
      </c>
      <c r="C86">
        <v>197</v>
      </c>
      <c r="D86">
        <v>62</v>
      </c>
      <c r="E86">
        <v>259</v>
      </c>
      <c r="G86" s="4">
        <f t="shared" si="7"/>
        <v>217.24285714285713</v>
      </c>
      <c r="H86" s="4">
        <f t="shared" si="7"/>
        <v>41.75714285714286</v>
      </c>
    </row>
    <row r="87" spans="2:10" x14ac:dyDescent="0.3">
      <c r="B87" t="s">
        <v>51</v>
      </c>
      <c r="C87">
        <v>97</v>
      </c>
      <c r="D87">
        <v>5</v>
      </c>
      <c r="E87">
        <v>102</v>
      </c>
      <c r="G87" s="4">
        <f t="shared" si="7"/>
        <v>85.555102040816323</v>
      </c>
      <c r="H87" s="4">
        <f t="shared" si="7"/>
        <v>16.444897959183674</v>
      </c>
    </row>
    <row r="88" spans="2:10" x14ac:dyDescent="0.3">
      <c r="B88" t="s">
        <v>48</v>
      </c>
      <c r="C88">
        <v>135</v>
      </c>
      <c r="D88">
        <v>10</v>
      </c>
      <c r="E88">
        <v>145</v>
      </c>
      <c r="G88" s="4">
        <f t="shared" si="7"/>
        <v>121.62244897959184</v>
      </c>
      <c r="H88" s="4">
        <f t="shared" si="7"/>
        <v>23.377551020408163</v>
      </c>
    </row>
    <row r="89" spans="2:10" x14ac:dyDescent="0.3">
      <c r="B89" t="s">
        <v>53</v>
      </c>
      <c r="C89">
        <v>78</v>
      </c>
      <c r="D89">
        <v>2</v>
      </c>
      <c r="E89">
        <v>80</v>
      </c>
      <c r="G89" s="4">
        <f t="shared" si="7"/>
        <v>67.102040816326536</v>
      </c>
      <c r="H89" s="4">
        <f t="shared" si="7"/>
        <v>12.897959183673469</v>
      </c>
    </row>
    <row r="90" spans="2:10" x14ac:dyDescent="0.3">
      <c r="B90" t="s">
        <v>42</v>
      </c>
      <c r="C90">
        <v>245</v>
      </c>
      <c r="D90">
        <v>47</v>
      </c>
      <c r="E90">
        <v>292</v>
      </c>
      <c r="G90" s="4">
        <f t="shared" si="7"/>
        <v>244.92244897959185</v>
      </c>
      <c r="H90" s="4">
        <f t="shared" si="7"/>
        <v>47.077551020408166</v>
      </c>
    </row>
    <row r="91" spans="2:10" x14ac:dyDescent="0.3">
      <c r="B91" t="s">
        <v>36</v>
      </c>
      <c r="C91">
        <v>269</v>
      </c>
      <c r="D91">
        <v>57</v>
      </c>
      <c r="E91">
        <v>326</v>
      </c>
      <c r="G91" s="4">
        <f t="shared" si="7"/>
        <v>273.44081632653064</v>
      </c>
      <c r="H91" s="4">
        <f t="shared" si="7"/>
        <v>52.559183673469384</v>
      </c>
    </row>
    <row r="92" spans="2:10" x14ac:dyDescent="0.3">
      <c r="B92" t="s">
        <v>52</v>
      </c>
      <c r="C92">
        <v>50</v>
      </c>
      <c r="D92">
        <v>33</v>
      </c>
      <c r="E92">
        <v>83</v>
      </c>
      <c r="G92" s="4">
        <f t="shared" si="7"/>
        <v>69.618367346938768</v>
      </c>
      <c r="H92" s="4">
        <f t="shared" si="7"/>
        <v>13.381632653061224</v>
      </c>
    </row>
    <row r="93" spans="2:10" x14ac:dyDescent="0.3">
      <c r="B93" t="s">
        <v>68</v>
      </c>
      <c r="C93">
        <v>1233</v>
      </c>
      <c r="D93">
        <v>237</v>
      </c>
      <c r="E93">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tabSelected="1" zoomScaleNormal="100" workbookViewId="0">
      <selection activeCell="C4" sqref="C4"/>
    </sheetView>
  </sheetViews>
  <sheetFormatPr defaultRowHeight="14.4" x14ac:dyDescent="0.3"/>
  <cols>
    <col min="1" max="2" width="9.6640625" style="8" customWidth="1"/>
    <col min="3" max="4" width="10.21875" style="8" customWidth="1"/>
    <col min="5" max="5" width="21.33203125" style="8" customWidth="1"/>
    <col min="6" max="6" width="8.88671875" style="8"/>
    <col min="7" max="7" width="16.44140625" style="8" customWidth="1"/>
    <col min="8" max="8" width="8.88671875" style="8"/>
    <col min="9" max="9" width="14.44140625" style="8" customWidth="1"/>
    <col min="10" max="10" width="8.88671875" style="8"/>
    <col min="11" max="11" width="24.44140625" style="8" customWidth="1"/>
    <col min="12" max="12" width="4.77734375" style="8" customWidth="1"/>
    <col min="13" max="13" width="8.88671875" style="8"/>
    <col min="14" max="14" width="7.77734375" style="8" customWidth="1"/>
    <col min="15" max="15" width="14.88671875" style="8" customWidth="1"/>
    <col min="16" max="16" width="12.33203125" style="8" customWidth="1"/>
    <col min="17" max="17" width="0.21875" style="8" customWidth="1"/>
    <col min="18" max="16384" width="8.88671875" style="8"/>
  </cols>
  <sheetData>
    <row r="1" spans="1:17" s="6" customFormat="1" ht="0.6" customHeight="1" x14ac:dyDescent="0.3"/>
    <row r="2" spans="1:17" s="6" customFormat="1" ht="21" x14ac:dyDescent="0.3">
      <c r="A2" s="22" t="s">
        <v>111</v>
      </c>
      <c r="B2" s="22"/>
      <c r="C2" s="22"/>
      <c r="D2" s="22"/>
      <c r="E2" s="22"/>
      <c r="F2" s="22"/>
      <c r="G2" s="22"/>
      <c r="H2" s="22"/>
      <c r="I2" s="22"/>
      <c r="J2" s="22"/>
      <c r="K2" s="22"/>
      <c r="L2" s="22"/>
      <c r="M2" s="22"/>
      <c r="N2" s="22"/>
      <c r="O2" s="22"/>
      <c r="P2" s="22"/>
      <c r="Q2" s="22"/>
    </row>
    <row r="3" spans="1:17" s="6" customFormat="1" x14ac:dyDescent="0.3"/>
    <row r="4" spans="1:17" s="6" customFormat="1" ht="15.6" x14ac:dyDescent="0.3">
      <c r="E4" s="7" t="s">
        <v>127</v>
      </c>
      <c r="G4" s="7" t="s">
        <v>109</v>
      </c>
      <c r="I4" s="7" t="s">
        <v>107</v>
      </c>
      <c r="K4" s="12" t="s">
        <v>108</v>
      </c>
      <c r="L4" s="14"/>
      <c r="M4" s="16" t="s">
        <v>110</v>
      </c>
      <c r="N4" s="16"/>
      <c r="O4" s="16"/>
      <c r="P4" s="16"/>
      <c r="Q4" s="16"/>
    </row>
    <row r="5" spans="1:17" s="6" customFormat="1" ht="23.4" x14ac:dyDescent="0.3">
      <c r="E5" s="10">
        <v>0.16122448979591836</v>
      </c>
      <c r="G5" s="11">
        <v>1470</v>
      </c>
      <c r="I5" s="11">
        <v>237</v>
      </c>
      <c r="K5" s="13" t="s">
        <v>106</v>
      </c>
      <c r="L5" s="13"/>
      <c r="M5" s="15">
        <v>101</v>
      </c>
      <c r="N5" s="15"/>
      <c r="O5" s="15"/>
      <c r="P5" s="15"/>
      <c r="Q5" s="15"/>
    </row>
    <row r="6" spans="1:17" s="6" customFormat="1" x14ac:dyDescent="0.3"/>
    <row r="7" spans="1:17" s="6" customFormat="1" x14ac:dyDescent="0.3">
      <c r="O7" s="19" t="s">
        <v>125</v>
      </c>
      <c r="P7" s="20"/>
    </row>
    <row r="8" spans="1:17" s="6" customFormat="1" x14ac:dyDescent="0.3">
      <c r="O8" s="21" t="s">
        <v>115</v>
      </c>
      <c r="P8" s="21" t="s">
        <v>116</v>
      </c>
    </row>
    <row r="9" spans="1:17" s="6" customFormat="1" x14ac:dyDescent="0.3">
      <c r="O9" s="17" t="s">
        <v>20</v>
      </c>
      <c r="P9" s="17" t="s">
        <v>122</v>
      </c>
    </row>
    <row r="10" spans="1:17" s="6" customFormat="1" x14ac:dyDescent="0.3">
      <c r="O10" s="17" t="s">
        <v>117</v>
      </c>
      <c r="P10" s="17" t="s">
        <v>122</v>
      </c>
    </row>
    <row r="11" spans="1:17" s="6" customFormat="1" x14ac:dyDescent="0.3">
      <c r="O11" s="17" t="s">
        <v>118</v>
      </c>
      <c r="P11" s="17" t="s">
        <v>122</v>
      </c>
    </row>
    <row r="12" spans="1:17" s="6" customFormat="1" x14ac:dyDescent="0.3">
      <c r="O12" s="17" t="s">
        <v>0</v>
      </c>
      <c r="P12" s="17" t="s">
        <v>122</v>
      </c>
    </row>
    <row r="13" spans="1:17" s="6" customFormat="1" x14ac:dyDescent="0.3">
      <c r="O13" s="17" t="s">
        <v>119</v>
      </c>
      <c r="P13" s="17" t="s">
        <v>122</v>
      </c>
    </row>
    <row r="14" spans="1:17" s="6" customFormat="1" x14ac:dyDescent="0.3">
      <c r="O14" s="17" t="s">
        <v>120</v>
      </c>
      <c r="P14" s="17" t="s">
        <v>123</v>
      </c>
    </row>
    <row r="15" spans="1:17" s="6" customFormat="1" x14ac:dyDescent="0.3">
      <c r="O15" s="17" t="s">
        <v>4</v>
      </c>
      <c r="P15" s="17" t="s">
        <v>124</v>
      </c>
    </row>
    <row r="16" spans="1:17" s="6" customFormat="1" x14ac:dyDescent="0.3">
      <c r="O16" s="17" t="s">
        <v>121</v>
      </c>
      <c r="P16" s="17" t="s">
        <v>124</v>
      </c>
    </row>
    <row r="17" spans="4:7" s="6" customFormat="1" x14ac:dyDescent="0.3"/>
    <row r="18" spans="4:7" s="6" customFormat="1" x14ac:dyDescent="0.3"/>
    <row r="19" spans="4:7" s="6" customFormat="1" x14ac:dyDescent="0.3"/>
    <row r="20" spans="4:7" s="6" customFormat="1" x14ac:dyDescent="0.3"/>
    <row r="21" spans="4:7" s="6" customFormat="1" x14ac:dyDescent="0.3"/>
    <row r="22" spans="4:7" s="6" customFormat="1" x14ac:dyDescent="0.3"/>
    <row r="23" spans="4:7" s="6" customFormat="1" x14ac:dyDescent="0.3"/>
    <row r="24" spans="4:7" s="6" customFormat="1" x14ac:dyDescent="0.3"/>
    <row r="25" spans="4:7" s="6" customFormat="1" x14ac:dyDescent="0.3"/>
    <row r="26" spans="4:7" s="6" customFormat="1" x14ac:dyDescent="0.3"/>
    <row r="27" spans="4:7" s="6" customFormat="1" x14ac:dyDescent="0.3"/>
    <row r="28" spans="4:7" s="6" customFormat="1" x14ac:dyDescent="0.3">
      <c r="D28" s="18" t="s">
        <v>126</v>
      </c>
      <c r="E28" s="18"/>
      <c r="F28" s="18"/>
      <c r="G28" s="18"/>
    </row>
    <row r="29" spans="4:7" s="6" customFormat="1" x14ac:dyDescent="0.3"/>
    <row r="30" spans="4:7" s="6" customFormat="1" x14ac:dyDescent="0.3"/>
  </sheetData>
  <mergeCells count="5">
    <mergeCell ref="A2:Q2"/>
    <mergeCell ref="O7:P7"/>
    <mergeCell ref="D28:G28"/>
    <mergeCell ref="M4:Q4"/>
    <mergeCell ref="M5:Q5"/>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Pivot table results</vt:lpstr>
      <vt:lpstr>helper</vt:lpstr>
      <vt:lpstr>chi2 test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Elnaz Zareei</dc:creator>
  <cp:lastModifiedBy>Elnaz Zareei</cp:lastModifiedBy>
  <dcterms:created xsi:type="dcterms:W3CDTF">2026-07-23T20:29:36Z</dcterms:created>
  <dcterms:modified xsi:type="dcterms:W3CDTF">2026-07-24T13:45:04Z</dcterms:modified>
</cp:coreProperties>
</file>